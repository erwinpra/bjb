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winpranata/Documents/www/bjb/"/>
    </mc:Choice>
  </mc:AlternateContent>
  <xr:revisionPtr revIDLastSave="0" documentId="13_ncr:1_{DBC020AF-DF32-1344-BB7B-1799E7DC6347}" xr6:coauthVersionLast="47" xr6:coauthVersionMax="47" xr10:uidLastSave="{00000000-0000-0000-0000-000000000000}"/>
  <bookViews>
    <workbookView xWindow="0" yWindow="740" windowWidth="30240" windowHeight="18900" xr2:uid="{A7149291-5796-C348-B4DC-A2F9F969C97D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C13" i="1"/>
  <c r="N10" i="1" l="1"/>
  <c r="N11" i="1" s="1"/>
  <c r="M10" i="1"/>
  <c r="M11" i="1" s="1"/>
  <c r="L10" i="1"/>
  <c r="L11" i="1" s="1"/>
  <c r="K10" i="1"/>
  <c r="K11" i="1" s="1"/>
  <c r="J10" i="1"/>
  <c r="J11" i="1" s="1"/>
  <c r="I10" i="1"/>
  <c r="I11" i="1" s="1"/>
  <c r="H10" i="1"/>
  <c r="H11" i="1" s="1"/>
  <c r="G10" i="1"/>
  <c r="G11" i="1" s="1"/>
  <c r="F10" i="1"/>
  <c r="F11" i="1" s="1"/>
  <c r="E10" i="1"/>
  <c r="E11" i="1" s="1"/>
  <c r="D10" i="1"/>
  <c r="D11" i="1" s="1"/>
  <c r="C10" i="1"/>
  <c r="C11" i="1" s="1"/>
  <c r="C12" i="1" l="1"/>
  <c r="D12" i="1" l="1"/>
  <c r="C14" i="1"/>
  <c r="E12" i="1" l="1"/>
  <c r="D14" i="1"/>
  <c r="F12" i="1" l="1"/>
  <c r="E13" i="1"/>
  <c r="E14" i="1"/>
  <c r="G12" i="1" l="1"/>
  <c r="F14" i="1"/>
  <c r="G14" i="1" s="1"/>
  <c r="F13" i="1"/>
  <c r="H12" i="1" l="1"/>
  <c r="G13" i="1"/>
  <c r="I12" i="1" l="1"/>
  <c r="H13" i="1"/>
  <c r="H14" i="1"/>
  <c r="I14" i="1" s="1"/>
  <c r="J12" i="1" l="1"/>
  <c r="I13" i="1"/>
  <c r="K12" i="1" l="1"/>
  <c r="J13" i="1"/>
  <c r="J14" i="1"/>
  <c r="K14" i="1" s="1"/>
  <c r="L12" i="1" l="1"/>
  <c r="K13" i="1"/>
  <c r="M12" i="1" l="1"/>
  <c r="L13" i="1"/>
  <c r="L14" i="1"/>
  <c r="M14" i="1" s="1"/>
  <c r="N12" i="1" l="1"/>
  <c r="N13" i="1" s="1"/>
  <c r="M13" i="1"/>
  <c r="N14" i="1" l="1"/>
</calcChain>
</file>

<file path=xl/sharedStrings.xml><?xml version="1.0" encoding="utf-8"?>
<sst xmlns="http://schemas.openxmlformats.org/spreadsheetml/2006/main" count="15" uniqueCount="15">
  <si>
    <t>BULAN</t>
  </si>
  <si>
    <t>Pusat</t>
  </si>
  <si>
    <t>Cabang 1</t>
  </si>
  <si>
    <t>Tiktok</t>
  </si>
  <si>
    <t>Shopee</t>
  </si>
  <si>
    <t>Lazada</t>
  </si>
  <si>
    <t>Blibli</t>
  </si>
  <si>
    <t>E-Commerce</t>
  </si>
  <si>
    <t>Reguler</t>
  </si>
  <si>
    <t>Total</t>
  </si>
  <si>
    <t>PPh Final</t>
  </si>
  <si>
    <t>Total Peredaran Bruto</t>
  </si>
  <si>
    <t>Perhitungan Pengurangan</t>
  </si>
  <si>
    <t>PPh Final
Harus Dibayar</t>
  </si>
  <si>
    <t>Cabang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</si>
</sst>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4"/>
      <color theme="1"/>
      <name val="Calibri (Body)"/>
    </font>
    <font>
      <sz val="14"/>
      <name val="Calibri (Body)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3" fontId="0" fillId="0" borderId="0" xfId="0" applyNumberFormat="1"/>
    <xf numFmtId="0" fontId="4" fillId="0" borderId="0" xfId="2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1" fontId="6" fillId="0" borderId="0" xfId="1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41" fontId="5" fillId="0" borderId="0" xfId="0" applyNumberFormat="1" applyFont="1" applyAlignment="1">
      <alignment horizontal="left"/>
    </xf>
    <xf numFmtId="0" fontId="8" fillId="0" borderId="0" xfId="2" applyFont="1" applyAlignment="1">
      <alignment horizontal="left" vertical="center"/>
    </xf>
    <xf numFmtId="3" fontId="5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Comma [0]" xfId="1" builtinId="6"/>
    <cellStyle name="Normal" xfId="0" builtinId="0"/>
    <cellStyle name="Normal 2" xfId="2" xr:uid="{8490104C-3043-5B49-9A5E-F2F58EE17E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A223-7E80-7F41-8C11-99EB88B5B103}">
  <dimension ref="A1:P16"/>
  <sheetViews>
    <sheetView tabSelected="1" workbookViewId="0">
      <selection activeCell="F9" sqref="F9"/>
    </sheetView>
  </sheetViews>
  <sheetFormatPr baseColWidth="10" defaultRowHeight="16" x14ac:dyDescent="0.2"/>
  <cols>
    <col min="1" max="1" width="31.83203125" bestFit="1" customWidth="1"/>
    <col min="2" max="2" width="11.33203125" bestFit="1" customWidth="1"/>
    <col min="3" max="4" width="14" bestFit="1" customWidth="1"/>
    <col min="5" max="14" width="15.6640625" bestFit="1" customWidth="1"/>
    <col min="15" max="15" width="18.5" bestFit="1" customWidth="1"/>
    <col min="16" max="16" width="12.6640625" bestFit="1" customWidth="1"/>
  </cols>
  <sheetData>
    <row r="1" spans="1:16" ht="21" x14ac:dyDescent="0.25">
      <c r="A1" s="8"/>
      <c r="B1" s="8"/>
      <c r="C1" s="15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3"/>
      <c r="P1" s="3"/>
    </row>
    <row r="2" spans="1:16" ht="16" customHeight="1" x14ac:dyDescent="0.25">
      <c r="A2" s="8"/>
      <c r="B2" s="8"/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3"/>
      <c r="P2" s="3"/>
    </row>
    <row r="3" spans="1:16" ht="21" x14ac:dyDescent="0.25">
      <c r="A3" s="7" t="s">
        <v>8</v>
      </c>
      <c r="B3" s="9" t="s">
        <v>1</v>
      </c>
      <c r="C3" s="10">
        <v>300000000</v>
      </c>
      <c r="D3" s="10">
        <v>300000000</v>
      </c>
      <c r="E3" s="10">
        <v>300000000</v>
      </c>
      <c r="F3" s="10">
        <v>300000000</v>
      </c>
      <c r="G3" s="10">
        <v>300000000</v>
      </c>
      <c r="H3" s="10">
        <v>300000000</v>
      </c>
      <c r="I3" s="10">
        <v>300000000</v>
      </c>
      <c r="J3" s="10">
        <v>300000000</v>
      </c>
      <c r="K3" s="10">
        <v>600000000</v>
      </c>
      <c r="L3" s="10">
        <v>600000000</v>
      </c>
      <c r="M3" s="10">
        <v>600000000</v>
      </c>
      <c r="N3" s="10">
        <v>600000000</v>
      </c>
      <c r="O3" s="5"/>
      <c r="P3" s="4"/>
    </row>
    <row r="4" spans="1:16" ht="21" x14ac:dyDescent="0.25">
      <c r="A4" s="7"/>
      <c r="B4" s="9" t="s">
        <v>2</v>
      </c>
      <c r="C4" s="10">
        <v>100000000</v>
      </c>
      <c r="D4" s="10">
        <v>100000000</v>
      </c>
      <c r="E4" s="10">
        <v>100000000</v>
      </c>
      <c r="F4" s="10">
        <v>100000000</v>
      </c>
      <c r="G4" s="10">
        <v>100000000</v>
      </c>
      <c r="H4" s="10">
        <v>100000000</v>
      </c>
      <c r="I4" s="10">
        <v>100000000</v>
      </c>
      <c r="J4" s="10">
        <v>100000000</v>
      </c>
      <c r="K4" s="10">
        <v>100000000</v>
      </c>
      <c r="L4" s="10">
        <v>200000000</v>
      </c>
      <c r="M4" s="10">
        <v>200000000</v>
      </c>
      <c r="N4" s="10">
        <v>200000000</v>
      </c>
      <c r="O4" s="5"/>
      <c r="P4" s="4"/>
    </row>
    <row r="5" spans="1:16" ht="21" x14ac:dyDescent="0.25">
      <c r="A5" s="7"/>
      <c r="B5" s="9" t="s">
        <v>14</v>
      </c>
      <c r="C5" s="10">
        <v>50000000</v>
      </c>
      <c r="D5" s="10">
        <v>50000000</v>
      </c>
      <c r="E5" s="10">
        <v>50000000</v>
      </c>
      <c r="F5" s="10">
        <v>50000000</v>
      </c>
      <c r="G5" s="10">
        <v>50000000</v>
      </c>
      <c r="H5" s="10">
        <v>50000000</v>
      </c>
      <c r="I5" s="10">
        <v>50000000</v>
      </c>
      <c r="J5" s="10">
        <v>50000000</v>
      </c>
      <c r="K5" s="10">
        <v>50000000</v>
      </c>
      <c r="L5" s="10">
        <v>100000000</v>
      </c>
      <c r="M5" s="10">
        <v>100000000</v>
      </c>
      <c r="N5" s="10">
        <v>100000000</v>
      </c>
      <c r="O5" s="5"/>
      <c r="P5" s="4"/>
    </row>
    <row r="6" spans="1:16" ht="21" x14ac:dyDescent="0.25">
      <c r="A6" s="7" t="s">
        <v>7</v>
      </c>
      <c r="B6" s="9" t="s">
        <v>3</v>
      </c>
      <c r="C6" s="10">
        <v>1000000</v>
      </c>
      <c r="D6" s="10">
        <v>1000000</v>
      </c>
      <c r="E6" s="10">
        <v>1000000</v>
      </c>
      <c r="F6" s="10">
        <v>1000000</v>
      </c>
      <c r="G6" s="10">
        <v>1000000</v>
      </c>
      <c r="H6" s="10">
        <v>1000000</v>
      </c>
      <c r="I6" s="10">
        <v>1000000</v>
      </c>
      <c r="J6" s="10">
        <v>1000000</v>
      </c>
      <c r="K6" s="10">
        <v>1000000</v>
      </c>
      <c r="L6" s="10">
        <v>1500000</v>
      </c>
      <c r="M6" s="10">
        <v>1500000</v>
      </c>
      <c r="N6" s="10">
        <v>1500000</v>
      </c>
      <c r="O6" s="5"/>
      <c r="P6" s="4"/>
    </row>
    <row r="7" spans="1:16" ht="21" x14ac:dyDescent="0.25">
      <c r="A7" s="7"/>
      <c r="B7" s="9" t="s">
        <v>4</v>
      </c>
      <c r="C7" s="10">
        <v>1000000</v>
      </c>
      <c r="D7" s="10">
        <v>1000000</v>
      </c>
      <c r="E7" s="10">
        <v>1000000</v>
      </c>
      <c r="F7" s="10">
        <v>1000000</v>
      </c>
      <c r="G7" s="10">
        <v>1000000</v>
      </c>
      <c r="H7" s="10">
        <v>1000000</v>
      </c>
      <c r="I7" s="10">
        <v>1000000</v>
      </c>
      <c r="J7" s="10">
        <v>1000000</v>
      </c>
      <c r="K7" s="10">
        <v>1000000</v>
      </c>
      <c r="L7" s="10">
        <v>1500000</v>
      </c>
      <c r="M7" s="10">
        <v>1500000</v>
      </c>
      <c r="N7" s="10">
        <v>1500000</v>
      </c>
      <c r="O7" s="5"/>
      <c r="P7" s="4"/>
    </row>
    <row r="8" spans="1:16" ht="21" x14ac:dyDescent="0.25">
      <c r="A8" s="7"/>
      <c r="B8" s="9" t="s">
        <v>5</v>
      </c>
      <c r="C8" s="10">
        <v>1000000</v>
      </c>
      <c r="D8" s="10">
        <v>1000000</v>
      </c>
      <c r="E8" s="10">
        <v>1000000</v>
      </c>
      <c r="F8" s="10">
        <v>1000000</v>
      </c>
      <c r="G8" s="10">
        <v>1000000</v>
      </c>
      <c r="H8" s="10">
        <v>1000000</v>
      </c>
      <c r="I8" s="10">
        <v>1000000</v>
      </c>
      <c r="J8" s="10">
        <v>1000000</v>
      </c>
      <c r="K8" s="10">
        <v>1000000</v>
      </c>
      <c r="L8" s="10">
        <v>1500000</v>
      </c>
      <c r="M8" s="10">
        <v>1500000</v>
      </c>
      <c r="N8" s="10">
        <v>1500000</v>
      </c>
      <c r="O8" s="5"/>
      <c r="P8" s="4"/>
    </row>
    <row r="9" spans="1:16" ht="21" x14ac:dyDescent="0.25">
      <c r="A9" s="7"/>
      <c r="B9" s="9" t="s">
        <v>6</v>
      </c>
      <c r="C9" s="10">
        <v>1000000</v>
      </c>
      <c r="D9" s="10">
        <v>1000000</v>
      </c>
      <c r="E9" s="10">
        <v>1000000</v>
      </c>
      <c r="F9" s="10">
        <v>1000000</v>
      </c>
      <c r="G9" s="10">
        <v>1000000</v>
      </c>
      <c r="H9" s="10">
        <v>1000000</v>
      </c>
      <c r="I9" s="10">
        <v>1000000</v>
      </c>
      <c r="J9" s="10">
        <v>1000000</v>
      </c>
      <c r="K9" s="10">
        <v>1000000</v>
      </c>
      <c r="L9" s="10">
        <v>1500000</v>
      </c>
      <c r="M9" s="10">
        <v>1500000</v>
      </c>
      <c r="N9" s="10">
        <v>1500000</v>
      </c>
      <c r="O9" s="5"/>
      <c r="P9" s="4"/>
    </row>
    <row r="10" spans="1:16" ht="16" customHeight="1" x14ac:dyDescent="0.25">
      <c r="A10" s="9" t="s">
        <v>9</v>
      </c>
      <c r="B10" s="11"/>
      <c r="C10" s="12">
        <f t="shared" ref="C10:N10" si="0">SUM(C3:C9)</f>
        <v>454000000</v>
      </c>
      <c r="D10" s="12">
        <f t="shared" si="0"/>
        <v>454000000</v>
      </c>
      <c r="E10" s="12">
        <f t="shared" si="0"/>
        <v>454000000</v>
      </c>
      <c r="F10" s="12">
        <f t="shared" si="0"/>
        <v>454000000</v>
      </c>
      <c r="G10" s="12">
        <f t="shared" si="0"/>
        <v>454000000</v>
      </c>
      <c r="H10" s="12">
        <f t="shared" si="0"/>
        <v>454000000</v>
      </c>
      <c r="I10" s="12">
        <f t="shared" si="0"/>
        <v>454000000</v>
      </c>
      <c r="J10" s="12">
        <f t="shared" si="0"/>
        <v>454000000</v>
      </c>
      <c r="K10" s="12">
        <f t="shared" si="0"/>
        <v>754000000</v>
      </c>
      <c r="L10" s="12">
        <f t="shared" si="0"/>
        <v>906000000</v>
      </c>
      <c r="M10" s="12">
        <f t="shared" si="0"/>
        <v>906000000</v>
      </c>
      <c r="N10" s="12">
        <f t="shared" si="0"/>
        <v>906000000</v>
      </c>
      <c r="O10" s="6"/>
      <c r="P10" s="1"/>
    </row>
    <row r="11" spans="1:16" ht="21" x14ac:dyDescent="0.25">
      <c r="A11" s="13" t="s">
        <v>10</v>
      </c>
      <c r="B11" s="11"/>
      <c r="C11" s="12">
        <f>C10*0.5%</f>
        <v>2270000</v>
      </c>
      <c r="D11" s="12">
        <f t="shared" ref="D11:N11" si="1">D10*0.5%</f>
        <v>2270000</v>
      </c>
      <c r="E11" s="12">
        <f t="shared" si="1"/>
        <v>2270000</v>
      </c>
      <c r="F11" s="12">
        <f t="shared" si="1"/>
        <v>2270000</v>
      </c>
      <c r="G11" s="12">
        <f t="shared" si="1"/>
        <v>2270000</v>
      </c>
      <c r="H11" s="12">
        <f t="shared" si="1"/>
        <v>2270000</v>
      </c>
      <c r="I11" s="12">
        <f t="shared" si="1"/>
        <v>2270000</v>
      </c>
      <c r="J11" s="12">
        <f t="shared" si="1"/>
        <v>2270000</v>
      </c>
      <c r="K11" s="12">
        <f t="shared" si="1"/>
        <v>3770000</v>
      </c>
      <c r="L11" s="12">
        <f t="shared" si="1"/>
        <v>4530000</v>
      </c>
      <c r="M11" s="12">
        <f t="shared" si="1"/>
        <v>4530000</v>
      </c>
      <c r="N11" s="12">
        <f t="shared" si="1"/>
        <v>4530000</v>
      </c>
      <c r="O11" s="6"/>
    </row>
    <row r="12" spans="1:16" ht="16" customHeight="1" x14ac:dyDescent="0.25">
      <c r="A12" s="13" t="s">
        <v>11</v>
      </c>
      <c r="B12" s="11"/>
      <c r="C12" s="12">
        <f>C10</f>
        <v>454000000</v>
      </c>
      <c r="D12" s="12">
        <f>C12+D10</f>
        <v>908000000</v>
      </c>
      <c r="E12" s="12">
        <f t="shared" ref="E12:N12" si="2">D12+E10</f>
        <v>1362000000</v>
      </c>
      <c r="F12" s="12">
        <f t="shared" si="2"/>
        <v>1816000000</v>
      </c>
      <c r="G12" s="12">
        <f t="shared" si="2"/>
        <v>2270000000</v>
      </c>
      <c r="H12" s="12">
        <f t="shared" si="2"/>
        <v>2724000000</v>
      </c>
      <c r="I12" s="12">
        <f t="shared" si="2"/>
        <v>3178000000</v>
      </c>
      <c r="J12" s="12">
        <f t="shared" si="2"/>
        <v>3632000000</v>
      </c>
      <c r="K12" s="12">
        <f t="shared" si="2"/>
        <v>4386000000</v>
      </c>
      <c r="L12" s="12">
        <f t="shared" si="2"/>
        <v>5292000000</v>
      </c>
      <c r="M12" s="12">
        <f t="shared" si="2"/>
        <v>6198000000</v>
      </c>
      <c r="N12" s="12">
        <f t="shared" si="2"/>
        <v>7104000000</v>
      </c>
      <c r="O12" s="6"/>
    </row>
    <row r="13" spans="1:16" ht="21" x14ac:dyDescent="0.25">
      <c r="A13" s="13" t="s">
        <v>12</v>
      </c>
      <c r="B13" s="11"/>
      <c r="C13" s="12">
        <f>C12-500000000</f>
        <v>-46000000</v>
      </c>
      <c r="D13" s="12">
        <f>D12-500000000</f>
        <v>408000000</v>
      </c>
      <c r="E13" s="12">
        <f t="shared" ref="D13:N13" si="3">E12-500000000</f>
        <v>862000000</v>
      </c>
      <c r="F13" s="12">
        <f t="shared" si="3"/>
        <v>1316000000</v>
      </c>
      <c r="G13" s="12">
        <f t="shared" si="3"/>
        <v>1770000000</v>
      </c>
      <c r="H13" s="12">
        <f t="shared" si="3"/>
        <v>2224000000</v>
      </c>
      <c r="I13" s="12">
        <f t="shared" si="3"/>
        <v>2678000000</v>
      </c>
      <c r="J13" s="12">
        <f t="shared" si="3"/>
        <v>3132000000</v>
      </c>
      <c r="K13" s="12">
        <f t="shared" si="3"/>
        <v>3886000000</v>
      </c>
      <c r="L13" s="12">
        <f t="shared" si="3"/>
        <v>4792000000</v>
      </c>
      <c r="M13" s="12">
        <f t="shared" si="3"/>
        <v>5698000000</v>
      </c>
      <c r="N13" s="12">
        <f t="shared" si="3"/>
        <v>6604000000</v>
      </c>
      <c r="O13" s="6"/>
    </row>
    <row r="14" spans="1:16" ht="16" customHeight="1" x14ac:dyDescent="0.25">
      <c r="A14" s="13" t="s">
        <v>13</v>
      </c>
      <c r="B14" s="11"/>
      <c r="C14" s="14" t="str">
        <f>IF(C12&lt;500000000,"FREE",IF(#REF!="FREE",C13/200,C11))</f>
        <v>FREE</v>
      </c>
      <c r="D14" s="14">
        <f>IF(D12&lt;500000000,"FREE",IF(C14="FREE",D13/200,D11))</f>
        <v>2040000</v>
      </c>
      <c r="E14" s="14">
        <f t="shared" ref="E14:N14" si="4">IF(E12&lt;500000000,"FREE",IF(D14="FREE",E13/200,E11))</f>
        <v>2270000</v>
      </c>
      <c r="F14" s="14">
        <f t="shared" si="4"/>
        <v>2270000</v>
      </c>
      <c r="G14" s="14">
        <f t="shared" si="4"/>
        <v>2270000</v>
      </c>
      <c r="H14" s="14">
        <f t="shared" si="4"/>
        <v>2270000</v>
      </c>
      <c r="I14" s="14">
        <f t="shared" si="4"/>
        <v>2270000</v>
      </c>
      <c r="J14" s="14">
        <f t="shared" si="4"/>
        <v>2270000</v>
      </c>
      <c r="K14" s="14">
        <f t="shared" si="4"/>
        <v>3770000</v>
      </c>
      <c r="L14" s="14">
        <f t="shared" si="4"/>
        <v>4530000</v>
      </c>
      <c r="M14" s="14">
        <f t="shared" si="4"/>
        <v>4530000</v>
      </c>
      <c r="N14" s="14">
        <f t="shared" si="4"/>
        <v>4530000</v>
      </c>
      <c r="O14" s="6"/>
    </row>
    <row r="15" spans="1:16" x14ac:dyDescent="0.2">
      <c r="A15" s="2"/>
    </row>
    <row r="16" spans="1:16" ht="16" customHeight="1" x14ac:dyDescent="0.2"/>
  </sheetData>
  <mergeCells count="7">
    <mergeCell ref="C1:N1"/>
    <mergeCell ref="A6:A9"/>
    <mergeCell ref="A3:A5"/>
    <mergeCell ref="O1:O2"/>
    <mergeCell ref="P1:P2"/>
    <mergeCell ref="P3:P5"/>
    <mergeCell ref="P6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Pranata</dc:creator>
  <cp:lastModifiedBy>Erwin Pranata</cp:lastModifiedBy>
  <dcterms:created xsi:type="dcterms:W3CDTF">2026-07-20T15:31:05Z</dcterms:created>
  <dcterms:modified xsi:type="dcterms:W3CDTF">2026-07-20T18:29:03Z</dcterms:modified>
</cp:coreProperties>
</file>