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 SPT 2025 - CORETAX\1. ON PROGRESS UPLOAD\SILVIA LISTIANI LIMANTO\"/>
    </mc:Choice>
  </mc:AlternateContent>
  <xr:revisionPtr revIDLastSave="0" documentId="13_ncr:1_{CAFAE825-D3EB-433C-BCF8-A8581DF77FDE}" xr6:coauthVersionLast="47" xr6:coauthVersionMax="47" xr10:uidLastSave="{00000000-0000-0000-0000-000000000000}"/>
  <bookViews>
    <workbookView xWindow="-120" yWindow="-120" windowWidth="20640" windowHeight="11160" tabRatio="821" activeTab="7" xr2:uid="{B4F61332-C885-43F2-A1AE-33F4180405DC}"/>
  </bookViews>
  <sheets>
    <sheet name="KAS" sheetId="2" r:id="rId1"/>
    <sheet name="PIUTANG" sheetId="8" r:id="rId2"/>
    <sheet name="INVEST" sheetId="5" r:id="rId3"/>
    <sheet name="HARTA BERGERAK" sheetId="7" r:id="rId4"/>
    <sheet name="HARTA TIDAK BERGERAK" sheetId="9" r:id="rId5"/>
    <sheet name="HARTA LAINNYA" sheetId="10" r:id="rId6"/>
    <sheet name="HUTANG" sheetId="18" r:id="rId7"/>
    <sheet name="RECAP" sheetId="11" r:id="rId8"/>
    <sheet name="OMSET" sheetId="13" r:id="rId9"/>
    <sheet name="BUNGA" sheetId="15" r:id="rId10"/>
  </sheets>
  <definedNames>
    <definedName name="_xlnm._FilterDatabase" localSheetId="3" hidden="1">'HARTA BERGERAK'!$A$7:$T$55</definedName>
    <definedName name="_xlnm._FilterDatabase" localSheetId="5" hidden="1">'HARTA LAINNYA'!$A$7:$Q$55</definedName>
    <definedName name="_xlnm._FilterDatabase" localSheetId="4" hidden="1">'HARTA TIDAK BERGERAK'!$A$7:$U$55</definedName>
    <definedName name="_xlnm._FilterDatabase" localSheetId="6" hidden="1">HUTANG!$A$7:$S$55</definedName>
    <definedName name="_xlnm._FilterDatabase" localSheetId="2" hidden="1">INVEST!$A$7:$S$46</definedName>
    <definedName name="_xlnm._FilterDatabase" localSheetId="0" hidden="1">KAS!$A$7:$S$20</definedName>
    <definedName name="_xlnm._FilterDatabase" localSheetId="1" hidden="1">PIUTANG!$A$7:$T$55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3" i="11" l="1"/>
  <c r="B9" i="5" l="1"/>
  <c r="B10" i="5"/>
  <c r="B8" i="5" l="1"/>
  <c r="A9" i="7"/>
  <c r="G8" i="10" l="1"/>
  <c r="S21" i="2"/>
  <c r="R22" i="2"/>
  <c r="S20" i="2" l="1"/>
  <c r="A9" i="2" l="1"/>
  <c r="A10" i="2" s="1"/>
  <c r="A11" i="2" s="1"/>
  <c r="A12" i="2" s="1"/>
  <c r="B12" i="2"/>
  <c r="B11" i="2"/>
  <c r="B10" i="2"/>
  <c r="B9" i="2"/>
  <c r="B8" i="10"/>
  <c r="B8" i="9"/>
  <c r="B8" i="7"/>
  <c r="B8" i="2"/>
  <c r="A15" i="11" l="1"/>
  <c r="B6" i="13" l="1"/>
  <c r="B5" i="13"/>
  <c r="J6" i="15" l="1"/>
  <c r="J7" i="15" l="1"/>
  <c r="J5" i="15"/>
  <c r="K4" i="11" l="1"/>
  <c r="K5" i="11" s="1"/>
  <c r="N3" i="11"/>
  <c r="L3" i="11"/>
  <c r="L6" i="11" s="1"/>
  <c r="L4" i="11" l="1"/>
  <c r="L5" i="11" s="1"/>
  <c r="O5" i="2" l="1"/>
  <c r="N5" i="2"/>
  <c r="M5" i="2"/>
  <c r="L5" i="2"/>
  <c r="K5" i="2"/>
  <c r="J4" i="15" l="1"/>
  <c r="J14" i="15" s="1"/>
  <c r="C17" i="11" s="1"/>
  <c r="I23" i="13"/>
  <c r="H23" i="13"/>
  <c r="B23" i="13"/>
  <c r="C14" i="11" s="1"/>
  <c r="C15" i="11" s="1"/>
  <c r="C22" i="13"/>
  <c r="C21" i="13"/>
  <c r="C20" i="13"/>
  <c r="C19" i="13"/>
  <c r="C18" i="13"/>
  <c r="C17" i="13"/>
  <c r="C16" i="13"/>
  <c r="C15" i="13"/>
  <c r="C14" i="13"/>
  <c r="C13" i="13"/>
  <c r="C12" i="13"/>
  <c r="D11" i="13"/>
  <c r="F11" i="13" s="1"/>
  <c r="C11" i="13"/>
  <c r="C23" i="13" l="1"/>
  <c r="D12" i="13"/>
  <c r="E11" i="13"/>
  <c r="F12" i="13" l="1"/>
  <c r="E12" i="13"/>
  <c r="D13" i="13"/>
  <c r="F13" i="13" l="1"/>
  <c r="E13" i="13"/>
  <c r="D14" i="13"/>
  <c r="F14" i="13" l="1"/>
  <c r="E14" i="13"/>
  <c r="D15" i="13"/>
  <c r="F15" i="13" l="1"/>
  <c r="E15" i="13"/>
  <c r="D16" i="13"/>
  <c r="F16" i="13" l="1"/>
  <c r="E16" i="13"/>
  <c r="D17" i="13"/>
  <c r="E17" i="13" l="1"/>
  <c r="F17" i="13" s="1"/>
  <c r="D18" i="13"/>
  <c r="F18" i="13" l="1"/>
  <c r="E18" i="13"/>
  <c r="D19" i="13"/>
  <c r="F19" i="13" l="1"/>
  <c r="E19" i="13"/>
  <c r="D20" i="13"/>
  <c r="F20" i="13" l="1"/>
  <c r="E20" i="13"/>
  <c r="D21" i="13"/>
  <c r="F21" i="13" l="1"/>
  <c r="E21" i="13"/>
  <c r="D22" i="13"/>
  <c r="F22" i="13" l="1"/>
  <c r="F23" i="13" s="1"/>
  <c r="C16" i="11" s="1"/>
  <c r="E22" i="13"/>
  <c r="D23" i="13"/>
  <c r="J24" i="15" l="1"/>
  <c r="A9" i="18" l="1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A34" i="18" s="1"/>
  <c r="A35" i="18" s="1"/>
  <c r="A36" i="18" s="1"/>
  <c r="A37" i="18" s="1"/>
  <c r="A38" i="18" s="1"/>
  <c r="A39" i="18" s="1"/>
  <c r="A40" i="18" s="1"/>
  <c r="A41" i="18" s="1"/>
  <c r="A42" i="18" s="1"/>
  <c r="A43" i="18" s="1"/>
  <c r="A44" i="18" s="1"/>
  <c r="A45" i="18" s="1"/>
  <c r="A46" i="18" s="1"/>
  <c r="A47" i="18" s="1"/>
  <c r="A48" i="18" s="1"/>
  <c r="A49" i="18" s="1"/>
  <c r="A50" i="18" s="1"/>
  <c r="A51" i="18" s="1"/>
  <c r="A52" i="18" s="1"/>
  <c r="A53" i="18" s="1"/>
  <c r="A54" i="18" s="1"/>
  <c r="A55" i="18" s="1"/>
  <c r="B8" i="18"/>
  <c r="N5" i="18"/>
  <c r="M5" i="18"/>
  <c r="L5" i="18"/>
  <c r="K5" i="18"/>
  <c r="J5" i="18"/>
  <c r="C9" i="11" s="1"/>
  <c r="H5" i="18"/>
  <c r="D9" i="11" s="1"/>
  <c r="E9" i="11" s="1"/>
  <c r="J5" i="5" l="1"/>
  <c r="O5" i="5"/>
  <c r="N5" i="5"/>
  <c r="M5" i="5"/>
  <c r="L5" i="5"/>
  <c r="C18" i="11" l="1"/>
  <c r="C20" i="11" s="1"/>
  <c r="K5" i="9" l="1"/>
  <c r="D6" i="11" s="1"/>
  <c r="J5" i="7" l="1"/>
  <c r="D5" i="11" s="1"/>
  <c r="H5" i="5"/>
  <c r="D4" i="11" s="1"/>
  <c r="D3" i="11"/>
  <c r="D18" i="11" l="1"/>
  <c r="E3" i="11" l="1"/>
  <c r="C3" i="11" l="1"/>
  <c r="O5" i="8"/>
  <c r="N5" i="8"/>
  <c r="M5" i="8"/>
  <c r="L5" i="8"/>
  <c r="K5" i="8"/>
  <c r="I5" i="8"/>
  <c r="P5" i="5"/>
  <c r="C4" i="11"/>
  <c r="E4" i="11"/>
  <c r="Q5" i="7"/>
  <c r="P5" i="7"/>
  <c r="O5" i="7"/>
  <c r="N5" i="7"/>
  <c r="M5" i="7"/>
  <c r="C5" i="11" s="1"/>
  <c r="K5" i="7"/>
  <c r="E5" i="11" s="1"/>
  <c r="R5" i="9"/>
  <c r="Q5" i="9"/>
  <c r="P5" i="9"/>
  <c r="O5" i="9"/>
  <c r="N5" i="9"/>
  <c r="C6" i="11" s="1"/>
  <c r="L5" i="9"/>
  <c r="E6" i="11" s="1"/>
  <c r="N5" i="10"/>
  <c r="M5" i="10"/>
  <c r="L5" i="10"/>
  <c r="K5" i="10"/>
  <c r="J5" i="10"/>
  <c r="C7" i="11" s="1"/>
  <c r="C2" i="11"/>
  <c r="I5" i="2"/>
  <c r="E2" i="11" l="1"/>
  <c r="D2" i="11"/>
  <c r="C8" i="11"/>
  <c r="C10" i="11" l="1"/>
  <c r="C11" i="11"/>
  <c r="B8" i="8"/>
  <c r="A10" i="10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9" i="10"/>
  <c r="A9" i="9"/>
  <c r="A9" i="8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G5" i="10" l="1"/>
  <c r="D7" i="11" s="1"/>
  <c r="D8" i="11" s="1"/>
  <c r="H5" i="10"/>
  <c r="E7" i="11" s="1"/>
  <c r="E8" i="11" s="1"/>
  <c r="E10" i="11" s="1"/>
  <c r="D11" i="11" l="1"/>
  <c r="D10" i="11"/>
</calcChain>
</file>

<file path=xl/sharedStrings.xml><?xml version="1.0" encoding="utf-8"?>
<sst xmlns="http://schemas.openxmlformats.org/spreadsheetml/2006/main" count="512" uniqueCount="298">
  <si>
    <t>1. KAS dan SETARA KAS</t>
  </si>
  <si>
    <t>2. PIUTANG</t>
  </si>
  <si>
    <t>3. INVESTASI/SEKURITAS</t>
  </si>
  <si>
    <t>Saham yang dibeli untuk dijual kembali/Saham Non Bursa/Saham Bursa/Obligasi Perusahaan/Obligasi Pemerintah IndonesiaSurat Utang Lainnya/Asuransi/Unit Link di Asuransi</t>
  </si>
  <si>
    <t>4. HARTA BERGERAK</t>
  </si>
  <si>
    <t>Uang Tunai/Tabungan/Giro/Deposito</t>
  </si>
  <si>
    <t>Motor/Mobil</t>
  </si>
  <si>
    <t>5. HARTA TIDAK BERGERAK</t>
  </si>
  <si>
    <t>Tanah Kosong/Tanah Bangunan untuk Tempat Tinggal/Apartemen/Vessel/Tanah atau Lahan untuk Usaha/Tanah Bangunan untuk Usaha atau yang disewakan</t>
  </si>
  <si>
    <t>Emas Batangan/Emas Perhiasan/Permata/Barang Barang Seni dan Antik/Peralatan Elektronik/Perabot Rumah Tangga/Harta Tidak Berwujud Lainnya</t>
  </si>
  <si>
    <t>0101</t>
  </si>
  <si>
    <t>UANG TUNAI/BANK NOTE/KOIN</t>
  </si>
  <si>
    <t>0102</t>
  </si>
  <si>
    <t>0103</t>
  </si>
  <si>
    <t>GIRO</t>
  </si>
  <si>
    <t>0104</t>
  </si>
  <si>
    <t>DEPOSITO</t>
  </si>
  <si>
    <t>0105</t>
  </si>
  <si>
    <t>UANG ELEKTRONIK</t>
  </si>
  <si>
    <t>0106</t>
  </si>
  <si>
    <t>CEK</t>
  </si>
  <si>
    <t>0107</t>
  </si>
  <si>
    <t>WESSEL</t>
  </si>
  <si>
    <t>0108</t>
  </si>
  <si>
    <t>KERTAS KOMERSIAL</t>
  </si>
  <si>
    <t>0109</t>
  </si>
  <si>
    <t>SETARA KAS LAINNYA</t>
  </si>
  <si>
    <t>TABUNGAN</t>
  </si>
  <si>
    <t>UANG TUNAI</t>
  </si>
  <si>
    <t>PERMATA</t>
  </si>
  <si>
    <t>-</t>
  </si>
  <si>
    <t>TAHUN PEROLEHAN</t>
  </si>
  <si>
    <t>INVESTASI LAINNYA</t>
  </si>
  <si>
    <t>(Harta PPS/
Harta Investasi PPS)</t>
  </si>
  <si>
    <t>0301</t>
  </si>
  <si>
    <t>SAHAM YANG DIBELI UNTUK DIJUAL KEMBALI</t>
  </si>
  <si>
    <t>0302</t>
  </si>
  <si>
    <t>SAHAM NON BURSA</t>
  </si>
  <si>
    <t>0303</t>
  </si>
  <si>
    <t>SAHAM BURSA</t>
  </si>
  <si>
    <t>0304</t>
  </si>
  <si>
    <t>OBLIGASI PERUSAHAAN</t>
  </si>
  <si>
    <t>0305</t>
  </si>
  <si>
    <t>OBLIGASI PEMERINTAH</t>
  </si>
  <si>
    <t>0306</t>
  </si>
  <si>
    <t>SURAT UTANG LAINNYA</t>
  </si>
  <si>
    <t>0307</t>
  </si>
  <si>
    <t>0309</t>
  </si>
  <si>
    <t>PENYERTAAN MODAL DALAM PERUSAHAAN LAIN YANG BUKAN ATAS SAHAM</t>
  </si>
  <si>
    <t>0310</t>
  </si>
  <si>
    <t>ASURANSI</t>
  </si>
  <si>
    <t>0311</t>
  </si>
  <si>
    <t>UNIT LINK DI ASURANSI</t>
  </si>
  <si>
    <t>0399</t>
  </si>
  <si>
    <t>NILAI TAHUN SEBELUMNYA</t>
  </si>
  <si>
    <t>NO</t>
  </si>
  <si>
    <t>BANK / INSTITUSI / PENERIMA INVESTASI</t>
  </si>
  <si>
    <t>LOKASI HARTA</t>
  </si>
  <si>
    <t>DESKRIPSI</t>
  </si>
  <si>
    <t>KODE</t>
  </si>
  <si>
    <t>NILAI SAAT INI
(2025)</t>
  </si>
  <si>
    <t>HARGA PEROLEHAN</t>
  </si>
  <si>
    <t>NOMOR AKUN</t>
  </si>
  <si>
    <t>NPWP</t>
  </si>
  <si>
    <t>NAMA</t>
  </si>
  <si>
    <t>0401</t>
  </si>
  <si>
    <t>SEPEDA</t>
  </si>
  <si>
    <t>0402</t>
  </si>
  <si>
    <t>SEPEDA MOTOR</t>
  </si>
  <si>
    <t>0403</t>
  </si>
  <si>
    <t>MOBIL PENUMPANG</t>
  </si>
  <si>
    <t>0404</t>
  </si>
  <si>
    <t>BUS</t>
  </si>
  <si>
    <t>0405</t>
  </si>
  <si>
    <t>KENDARAAN ANGKUTAN JALAN</t>
  </si>
  <si>
    <t>0406</t>
  </si>
  <si>
    <t>KENDARAAN TUJUAN KHUSUS</t>
  </si>
  <si>
    <t>0407</t>
  </si>
  <si>
    <t>KERETA</t>
  </si>
  <si>
    <t>0408</t>
  </si>
  <si>
    <t>PESAWAT TERBANG</t>
  </si>
  <si>
    <t>0409</t>
  </si>
  <si>
    <t>KAPAL</t>
  </si>
  <si>
    <t>0410</t>
  </si>
  <si>
    <t>MESIN</t>
  </si>
  <si>
    <t>0411</t>
  </si>
  <si>
    <t>GEROBAK</t>
  </si>
  <si>
    <t>0412</t>
  </si>
  <si>
    <t>KAPAL PESIAR</t>
  </si>
  <si>
    <t>0499</t>
  </si>
  <si>
    <t>HARTA BERGERAK LAINNYA</t>
  </si>
  <si>
    <t xml:space="preserve">NAMA BANK/INSTITUSI </t>
  </si>
  <si>
    <t>ATAS NAMA</t>
  </si>
  <si>
    <t>(HARTA PPS/
HARTA INVESTASI PPS)</t>
  </si>
  <si>
    <t>TIPE</t>
  </si>
  <si>
    <t>MEREK/MODEL</t>
  </si>
  <si>
    <t>NOMOR POLISI/REGISTRASI</t>
  </si>
  <si>
    <t>KEPEMILIKAN</t>
  </si>
  <si>
    <t>LOKASI PENERIMA PINJAMAN</t>
  </si>
  <si>
    <t>PENERIMA PINJAMAN</t>
  </si>
  <si>
    <t>NIK / NPWP</t>
  </si>
  <si>
    <t>NILAI PIUTANG</t>
  </si>
  <si>
    <t>TAHUN DIMULAI</t>
  </si>
  <si>
    <t>NILAI PIUTANG SAAT INI
(2025)</t>
  </si>
  <si>
    <t>0201</t>
  </si>
  <si>
    <t>PIUTANG USAHA</t>
  </si>
  <si>
    <t>0202</t>
  </si>
  <si>
    <t>PIUTANG AFILIASI</t>
  </si>
  <si>
    <t>0209</t>
  </si>
  <si>
    <t>PIUTANG LAINNYA</t>
  </si>
  <si>
    <t>MILIK SENDIRI/
ORANG LAIN</t>
  </si>
  <si>
    <t>0601</t>
  </si>
  <si>
    <t>PATEN</t>
  </si>
  <si>
    <t>0602</t>
  </si>
  <si>
    <t>ROYALTI</t>
  </si>
  <si>
    <t>0603</t>
  </si>
  <si>
    <t>MEREK DAGANG</t>
  </si>
  <si>
    <t>0699</t>
  </si>
  <si>
    <t>HARTA TIDAK BERWUJUD LAINNYA</t>
  </si>
  <si>
    <t>0701</t>
  </si>
  <si>
    <t>EMAS BATANGAN</t>
  </si>
  <si>
    <t>0702</t>
  </si>
  <si>
    <t>EMAS PERHIASAN</t>
  </si>
  <si>
    <t>0703</t>
  </si>
  <si>
    <t>BATANGAN NON EMAS</t>
  </si>
  <si>
    <t>0704</t>
  </si>
  <si>
    <t>PERHIASAN NON EMAS</t>
  </si>
  <si>
    <t>0705</t>
  </si>
  <si>
    <t>0706</t>
  </si>
  <si>
    <t>BARANG-BARANG SENI DAN ANTIK</t>
  </si>
  <si>
    <t>0707</t>
  </si>
  <si>
    <t>PERALATAN OLAH RAGA KHUSUS</t>
  </si>
  <si>
    <t>0708</t>
  </si>
  <si>
    <t>PERALATAN ELEKTRONIK</t>
  </si>
  <si>
    <t>0709</t>
  </si>
  <si>
    <t>PERABOT RUMAH TANGGA</t>
  </si>
  <si>
    <t>0710</t>
  </si>
  <si>
    <t>PERALATAN KANTOR</t>
  </si>
  <si>
    <t>0711</t>
  </si>
  <si>
    <t>JET SKI</t>
  </si>
  <si>
    <t>0712</t>
  </si>
  <si>
    <t>PERSEDIAAN USAHA</t>
  </si>
  <si>
    <t>6. HARTA LAINNYA</t>
  </si>
  <si>
    <t>BUKTI KEPEMILIKAN/NOMOR AKUN</t>
  </si>
  <si>
    <t>INFORMASI TAMBAHAN</t>
  </si>
  <si>
    <t>UKURAN PROPERTI</t>
  </si>
  <si>
    <t>TANAH</t>
  </si>
  <si>
    <t>BANGUNAN</t>
  </si>
  <si>
    <t>SUMBER KEPEMILIKAN</t>
  </si>
  <si>
    <t>NOMOR SERTIFIKAT</t>
  </si>
  <si>
    <t>0501</t>
  </si>
  <si>
    <t>TANAH KOSONG</t>
  </si>
  <si>
    <t>0502</t>
  </si>
  <si>
    <t>TANAH DAN/ATAU BANGUNAN UNTUK TEMPAT TINGGAL</t>
  </si>
  <si>
    <t>0503</t>
  </si>
  <si>
    <t>APARTEMEN</t>
  </si>
  <si>
    <t>0504</t>
  </si>
  <si>
    <t>VESSEL</t>
  </si>
  <si>
    <t>0505</t>
  </si>
  <si>
    <t>TANAH ATAU LAHAN UNTUK USAHA (LAHAN PERTANIAN, PERKEBUNAN, DSB)</t>
  </si>
  <si>
    <t>0506</t>
  </si>
  <si>
    <t>TANAH DAN/ATAU BANGUNAN UNTUK USAHA (TOKO, PABRIK, DSB)</t>
  </si>
  <si>
    <t>0507</t>
  </si>
  <si>
    <t>TANAH DAN/ATAU BANGUNAN YANG DISEWAKAN</t>
  </si>
  <si>
    <t>0509</t>
  </si>
  <si>
    <t>HARTA TIDAK BERGERAK LAINNYA</t>
  </si>
  <si>
    <t>DETAIL</t>
  </si>
  <si>
    <t>CEK  TYPE DI STNK (DIBAWAH TULISAN MERK)</t>
  </si>
  <si>
    <t>CEK PBB 2025</t>
  </si>
  <si>
    <t>CEK NJOP PBB 2025</t>
  </si>
  <si>
    <t>POINT</t>
  </si>
  <si>
    <t>KAS</t>
  </si>
  <si>
    <t>PIUTANG</t>
  </si>
  <si>
    <t>INVEST</t>
  </si>
  <si>
    <t>HARTA BERGERAK</t>
  </si>
  <si>
    <t>HARTA TIDAK BERGERAK</t>
  </si>
  <si>
    <t>HARTA LAINNYA</t>
  </si>
  <si>
    <t>TOTAL HARTA</t>
  </si>
  <si>
    <t>KETERANGAN</t>
  </si>
  <si>
    <t>Omset UMKM</t>
  </si>
  <si>
    <t>Bayar Pajak</t>
  </si>
  <si>
    <t>Bunga</t>
  </si>
  <si>
    <t>Perhitungan</t>
  </si>
  <si>
    <t>2025 DJP</t>
  </si>
  <si>
    <t>2025 CTX</t>
  </si>
  <si>
    <t>SETARA KAS</t>
  </si>
  <si>
    <t>Daftar Jumlah Peredaran Bruto dan Pembayaran PPh Final berdasarkan PP 55 Tahun 2022</t>
  </si>
  <si>
    <t>Peredaran Bruto</t>
  </si>
  <si>
    <t>PPh Final 0,5% Dibayar</t>
  </si>
  <si>
    <t>REKSADANA</t>
  </si>
  <si>
    <t>B. UTANG PAJAK PADA AKHIR TAHUN</t>
  </si>
  <si>
    <t>NEGARA KREDITUR</t>
  </si>
  <si>
    <t>TAHUN PEMINJAMAN</t>
  </si>
  <si>
    <t>UTANG BANK/LEMBAGA KEUANGAN BUKAN BANK</t>
  </si>
  <si>
    <t>KARTU KREDIT</t>
  </si>
  <si>
    <t>UTANG AFILIASI</t>
  </si>
  <si>
    <t>UTANG LAINNYA</t>
  </si>
  <si>
    <t>NOP: 31.71.070.001.013-0028.0</t>
  </si>
  <si>
    <t>NOP: 31.71.070.001.017-0141.0</t>
  </si>
  <si>
    <t>TOTAL HUTANG</t>
  </si>
  <si>
    <t>NET</t>
  </si>
  <si>
    <t>BUNGA 1 BULAN</t>
  </si>
  <si>
    <t>BUNGA 1 TAHUN</t>
  </si>
  <si>
    <t>PAJAK</t>
  </si>
  <si>
    <t>BUNGA-PAJAK</t>
  </si>
  <si>
    <t>OWNERSHIP MOVEABLE ASSET</t>
  </si>
  <si>
    <t>Code</t>
  </si>
  <si>
    <t>Code Description</t>
  </si>
  <si>
    <t>OTHER</t>
  </si>
  <si>
    <t>Atas nama pihak lain</t>
  </si>
  <si>
    <t>TAXPAYER</t>
  </si>
  <si>
    <t>Atas nama sendiri</t>
  </si>
  <si>
    <t>Source of Income</t>
  </si>
  <si>
    <t>Code Name</t>
  </si>
  <si>
    <t>Debt</t>
  </si>
  <si>
    <t>Utang</t>
  </si>
  <si>
    <t>Gift</t>
  </si>
  <si>
    <t>Hadiah</t>
  </si>
  <si>
    <t>Grant</t>
  </si>
  <si>
    <t>Hibah</t>
  </si>
  <si>
    <t>Inheritance</t>
  </si>
  <si>
    <t>Warisan</t>
  </si>
  <si>
    <t>Other sources</t>
  </si>
  <si>
    <t>Sumber lainnya</t>
  </si>
  <si>
    <t>Own Income</t>
  </si>
  <si>
    <t>Hasil Sendiri</t>
  </si>
  <si>
    <t>Cash Dividend</t>
  </si>
  <si>
    <t>Akun</t>
  </si>
  <si>
    <t>Payment Date</t>
  </si>
  <si>
    <t>Symbol</t>
  </si>
  <si>
    <t>Quantity (shares)</t>
  </si>
  <si>
    <t>Dividend</t>
  </si>
  <si>
    <t>Amount</t>
  </si>
  <si>
    <t>Tax</t>
  </si>
  <si>
    <t>Tax (Rp)</t>
  </si>
  <si>
    <t>Net Dividend (Rp)</t>
  </si>
  <si>
    <t>0.00%</t>
  </si>
  <si>
    <t>Hasil Investasi</t>
  </si>
  <si>
    <t>Penghasilan Lain</t>
  </si>
  <si>
    <t>&lt;= JANGAN LUPA DIINPUT</t>
  </si>
  <si>
    <t>&lt;= JANGAN LUPA DIINPUT, CEK DATA BUNGA</t>
  </si>
  <si>
    <t>Total</t>
  </si>
  <si>
    <t>Per Masa Pajak Serta Dari Masing-Masing Tempat Usaha Tahun 2024</t>
  </si>
  <si>
    <t>ALAMAT</t>
  </si>
  <si>
    <t>Masa</t>
  </si>
  <si>
    <t>PPh Final</t>
  </si>
  <si>
    <t>Total Peredaran Bruto</t>
  </si>
  <si>
    <t>Perhitungan Pengurangan</t>
  </si>
  <si>
    <t>PPh Final
Harus Dibayar</t>
  </si>
  <si>
    <t>Omset 2024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</si>
  <si>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</si>
  <si>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</si>
  <si>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</si>
  <si>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</si>
  <si>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</si>
  <si>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</si>
  <si>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</si>
  <si>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</si>
  <si>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</si>
  <si>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</si>
  <si>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</si>
  <si>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</si>
  <si>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PEMBERI PINJAMAN</t>
  </si>
  <si>
    <t xml:space="preserve"> </t>
  </si>
  <si>
    <t>Penjualan Logam Mulia</t>
  </si>
  <si>
    <t>Total Dibeli</t>
  </si>
  <si>
    <t>Hitungan/Gram</t>
  </si>
  <si>
    <t>Naik Keuntungan</t>
  </si>
  <si>
    <t>Sisa</t>
  </si>
  <si>
    <t>Keuntungan LM</t>
  </si>
  <si>
    <t>0799</t>
  </si>
  <si>
    <t>BANK CENTRAL ASIA</t>
  </si>
  <si>
    <t>BANK PAN INDONESIA</t>
  </si>
  <si>
    <t>0013392519038000</t>
  </si>
  <si>
    <t>0013439658073000</t>
  </si>
  <si>
    <t>PT PRUDENTIAL LIFE ASSURANCE</t>
  </si>
  <si>
    <t>PANIN DAI-ICHI LIFE</t>
  </si>
  <si>
    <t>Indonesia</t>
  </si>
  <si>
    <t>Est. Margin UMKM (30%)</t>
  </si>
  <si>
    <t>Sewa</t>
  </si>
  <si>
    <t>Kurs 2017</t>
  </si>
  <si>
    <t>Kurs 2016</t>
  </si>
  <si>
    <t>Kurs 2025</t>
  </si>
  <si>
    <t>SGD</t>
  </si>
  <si>
    <t>JL.KAPUK RAYA NO.2 RT 003/012 KEL.KAPUK KEC.CENGKARENG JAK-BAR</t>
  </si>
  <si>
    <t>SILVIA LISTIANI LIMANTO</t>
  </si>
  <si>
    <t>8740120558</t>
  </si>
  <si>
    <t>0702021575</t>
  </si>
  <si>
    <t>0702912212</t>
  </si>
  <si>
    <t xml:space="preserve">YAHAMA XEON </t>
  </si>
  <si>
    <t>3173015410840005</t>
  </si>
  <si>
    <t>INDONESIA</t>
  </si>
  <si>
    <t>B 3539 BCQ</t>
  </si>
  <si>
    <t>317402000400300330</t>
  </si>
  <si>
    <t>86 M2</t>
  </si>
  <si>
    <t>66 M2</t>
  </si>
  <si>
    <t>RUMAH, GG EMPANG NO 30, RT 014 RW 12, KAPUK, CENGKARENG, JAKARTA BARAT</t>
  </si>
  <si>
    <t>Pengeluaran 11 Juta Per Bulan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</si>
</sst>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-* #,##0_-;\-* #,##0_-;_-* &quot;-&quot;??_-;_-@_-"/>
    <numFmt numFmtId="165" formatCode="_(* #,##0_);_(* \(#,##0\);_(* &quot;-&quot;_);_(@_)"/>
    <numFmt numFmtId="166" formatCode="_-* #,##0_-;\-* #,##0_-;_-* &quot;-&quot;??_-;_-@"/>
    <numFmt numFmtId="167" formatCode="_(* #,##0.00_);_(* \(#,##0.00\);_(* &quot;-&quot;_);_(@_)"/>
    <numFmt numFmtId="168" formatCode="[$Rp-421]#,##0"/>
    <numFmt numFmtId="169" formatCode="#,##0.00;\(#,##0.00\)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6"/>
      <color theme="1"/>
      <name val="Arial"/>
      <family val="2"/>
    </font>
    <font>
      <sz val="10"/>
      <name val="Arial"/>
      <family val="2"/>
    </font>
    <font>
      <sz val="11"/>
      <color indexed="8"/>
      <name val="Calibri"/>
      <family val="2"/>
      <charset val="1"/>
    </font>
    <font>
      <sz val="11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4"/>
      <color theme="1"/>
      <name val="Calibri"/>
      <family val="2"/>
    </font>
    <font>
      <sz val="14"/>
      <color theme="1"/>
      <name val="Arial"/>
      <family val="2"/>
    </font>
    <font>
      <sz val="14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b/>
      <sz val="9"/>
      <color theme="1"/>
      <name val="Arial"/>
      <family val="2"/>
    </font>
    <font>
      <sz val="11"/>
      <color rgb="FF7030A0"/>
      <name val="Arial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2"/>
      <color theme="0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rgb="FFFFFF0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1">
    <xf numFmtId="0" fontId="0" fillId="0" borderId="0"/>
    <xf numFmtId="43" fontId="3" fillId="0" borderId="0" applyFont="0" applyFill="0" applyBorder="0" applyAlignment="0" applyProtection="0"/>
    <xf numFmtId="0" fontId="10" fillId="0" borderId="0"/>
    <xf numFmtId="165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2" fillId="0" borderId="0"/>
    <xf numFmtId="9" fontId="10" fillId="0" borderId="0" applyFont="0" applyFill="0" applyBorder="0" applyAlignment="0" applyProtection="0"/>
    <xf numFmtId="0" fontId="1" fillId="0" borderId="0"/>
    <xf numFmtId="0" fontId="20" fillId="0" borderId="0"/>
    <xf numFmtId="43" fontId="20" fillId="0" borderId="0" applyFont="0" applyFill="0" applyBorder="0" applyAlignment="0" applyProtection="0"/>
    <xf numFmtId="0" fontId="37" fillId="0" borderId="0"/>
  </cellStyleXfs>
  <cellXfs count="143">
    <xf numFmtId="0" fontId="0" fillId="0" borderId="0" xfId="0"/>
    <xf numFmtId="0" fontId="4" fillId="0" borderId="0" xfId="0" quotePrefix="1" applyFont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6" fillId="0" borderId="0" xfId="0" applyFont="1"/>
    <xf numFmtId="0" fontId="9" fillId="0" borderId="0" xfId="0" applyFont="1"/>
    <xf numFmtId="164" fontId="12" fillId="0" borderId="1" xfId="1" applyNumberFormat="1" applyFont="1" applyFill="1" applyBorder="1" applyAlignment="1">
      <alignment horizontal="center" vertical="center"/>
    </xf>
    <xf numFmtId="164" fontId="7" fillId="0" borderId="1" xfId="1" applyNumberFormat="1" applyFont="1" applyBorder="1" applyAlignment="1">
      <alignment horizontal="center" vertical="center"/>
    </xf>
    <xf numFmtId="164" fontId="7" fillId="0" borderId="1" xfId="1" quotePrefix="1" applyNumberFormat="1" applyFont="1" applyBorder="1" applyAlignment="1">
      <alignment horizontal="center" vertical="center"/>
    </xf>
    <xf numFmtId="43" fontId="8" fillId="4" borderId="1" xfId="1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5" fillId="0" borderId="0" xfId="0" quotePrefix="1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6" fillId="0" borderId="0" xfId="0" quotePrefix="1" applyFont="1" applyAlignment="1">
      <alignment vertical="center"/>
    </xf>
    <xf numFmtId="49" fontId="7" fillId="0" borderId="1" xfId="0" quotePrefix="1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0" xfId="0" quotePrefix="1" applyFont="1" applyAlignment="1">
      <alignment vertical="center"/>
    </xf>
    <xf numFmtId="0" fontId="6" fillId="0" borderId="0" xfId="0" applyFont="1" applyAlignment="1">
      <alignment vertical="center"/>
    </xf>
    <xf numFmtId="1" fontId="7" fillId="0" borderId="1" xfId="0" quotePrefix="1" applyNumberFormat="1" applyFont="1" applyBorder="1" applyAlignment="1">
      <alignment horizontal="center" vertical="center"/>
    </xf>
    <xf numFmtId="1" fontId="7" fillId="0" borderId="0" xfId="0" applyNumberFormat="1" applyFont="1"/>
    <xf numFmtId="1" fontId="7" fillId="0" borderId="1" xfId="0" applyNumberFormat="1" applyFont="1" applyBorder="1" applyAlignment="1">
      <alignment horizontal="center" vertical="center"/>
    </xf>
    <xf numFmtId="164" fontId="7" fillId="0" borderId="0" xfId="0" applyNumberFormat="1" applyFont="1"/>
    <xf numFmtId="0" fontId="17" fillId="2" borderId="1" xfId="0" applyFont="1" applyFill="1" applyBorder="1" applyAlignment="1">
      <alignment horizontal="center"/>
    </xf>
    <xf numFmtId="0" fontId="17" fillId="0" borderId="1" xfId="0" applyFont="1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0" fontId="18" fillId="4" borderId="1" xfId="0" applyFont="1" applyFill="1" applyBorder="1" applyAlignment="1">
      <alignment horizontal="center"/>
    </xf>
    <xf numFmtId="164" fontId="19" fillId="4" borderId="1" xfId="0" applyNumberFormat="1" applyFont="1" applyFill="1" applyBorder="1" applyAlignment="1">
      <alignment horizontal="center"/>
    </xf>
    <xf numFmtId="0" fontId="22" fillId="0" borderId="0" xfId="8" applyFont="1"/>
    <xf numFmtId="0" fontId="20" fillId="0" borderId="0" xfId="8"/>
    <xf numFmtId="166" fontId="22" fillId="0" borderId="0" xfId="8" applyNumberFormat="1" applyFont="1"/>
    <xf numFmtId="0" fontId="24" fillId="0" borderId="0" xfId="8" applyFont="1"/>
    <xf numFmtId="0" fontId="16" fillId="0" borderId="0" xfId="8" applyFont="1" applyAlignment="1">
      <alignment horizontal="center" vertical="center"/>
    </xf>
    <xf numFmtId="166" fontId="25" fillId="0" borderId="7" xfId="0" applyNumberFormat="1" applyFont="1" applyBorder="1" applyAlignment="1">
      <alignment vertical="center" wrapText="1"/>
    </xf>
    <xf numFmtId="0" fontId="16" fillId="0" borderId="0" xfId="8" applyFont="1" applyAlignment="1">
      <alignment vertical="center"/>
    </xf>
    <xf numFmtId="166" fontId="16" fillId="0" borderId="0" xfId="8" applyNumberFormat="1" applyFont="1"/>
    <xf numFmtId="0" fontId="23" fillId="0" borderId="0" xfId="8" applyFont="1"/>
    <xf numFmtId="164" fontId="17" fillId="0" borderId="1" xfId="1" applyNumberFormat="1" applyFont="1" applyBorder="1" applyAlignment="1">
      <alignment horizontal="center"/>
    </xf>
    <xf numFmtId="164" fontId="12" fillId="3" borderId="1" xfId="1" applyNumberFormat="1" applyFont="1" applyFill="1" applyBorder="1" applyAlignment="1">
      <alignment horizontal="center" vertical="center"/>
    </xf>
    <xf numFmtId="0" fontId="7" fillId="0" borderId="1" xfId="0" quotePrefix="1" applyFont="1" applyBorder="1" applyAlignment="1">
      <alignment horizontal="center" vertical="center" wrapText="1"/>
    </xf>
    <xf numFmtId="0" fontId="17" fillId="0" borderId="0" xfId="0" applyFont="1"/>
    <xf numFmtId="164" fontId="0" fillId="0" borderId="0" xfId="0" applyNumberFormat="1"/>
    <xf numFmtId="166" fontId="0" fillId="0" borderId="7" xfId="8" applyNumberFormat="1" applyFont="1" applyBorder="1" applyAlignment="1">
      <alignment vertical="center" wrapText="1"/>
    </xf>
    <xf numFmtId="0" fontId="17" fillId="0" borderId="7" xfId="8" applyFont="1" applyBorder="1"/>
    <xf numFmtId="0" fontId="17" fillId="0" borderId="7" xfId="8" applyFont="1" applyBorder="1" applyAlignment="1">
      <alignment vertical="center" wrapText="1"/>
    </xf>
    <xf numFmtId="165" fontId="0" fillId="0" borderId="7" xfId="8" applyNumberFormat="1" applyFont="1" applyBorder="1"/>
    <xf numFmtId="166" fontId="26" fillId="0" borderId="7" xfId="8" applyNumberFormat="1" applyFont="1" applyBorder="1"/>
    <xf numFmtId="166" fontId="0" fillId="0" borderId="7" xfId="8" applyNumberFormat="1" applyFont="1" applyBorder="1"/>
    <xf numFmtId="164" fontId="0" fillId="0" borderId="0" xfId="1" applyNumberFormat="1" applyFont="1"/>
    <xf numFmtId="165" fontId="0" fillId="0" borderId="0" xfId="0" applyNumberFormat="1"/>
    <xf numFmtId="0" fontId="6" fillId="0" borderId="0" xfId="0" quotePrefix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18" fillId="6" borderId="1" xfId="0" applyFont="1" applyFill="1" applyBorder="1" applyAlignment="1">
      <alignment horizontal="center"/>
    </xf>
    <xf numFmtId="164" fontId="19" fillId="6" borderId="1" xfId="0" applyNumberFormat="1" applyFont="1" applyFill="1" applyBorder="1" applyAlignment="1">
      <alignment horizontal="center"/>
    </xf>
    <xf numFmtId="0" fontId="27" fillId="3" borderId="1" xfId="0" applyFont="1" applyFill="1" applyBorder="1" applyAlignment="1">
      <alignment horizontal="center"/>
    </xf>
    <xf numFmtId="164" fontId="28" fillId="3" borderId="1" xfId="0" applyNumberFormat="1" applyFont="1" applyFill="1" applyBorder="1" applyAlignment="1">
      <alignment horizontal="center"/>
    </xf>
    <xf numFmtId="165" fontId="7" fillId="0" borderId="7" xfId="0" applyNumberFormat="1" applyFont="1" applyBorder="1"/>
    <xf numFmtId="165" fontId="7" fillId="0" borderId="0" xfId="0" applyNumberFormat="1" applyFont="1"/>
    <xf numFmtId="0" fontId="6" fillId="2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/>
    </xf>
    <xf numFmtId="167" fontId="7" fillId="0" borderId="1" xfId="0" applyNumberFormat="1" applyFont="1" applyBorder="1" applyAlignment="1">
      <alignment horizontal="center"/>
    </xf>
    <xf numFmtId="164" fontId="0" fillId="2" borderId="0" xfId="1" applyNumberFormat="1" applyFont="1" applyFill="1"/>
    <xf numFmtId="0" fontId="31" fillId="0" borderId="1" xfId="0" applyFont="1" applyBorder="1" applyAlignment="1">
      <alignment horizontal="center" vertical="center"/>
    </xf>
    <xf numFmtId="0" fontId="31" fillId="0" borderId="1" xfId="0" quotePrefix="1" applyFont="1" applyBorder="1" applyAlignment="1">
      <alignment horizontal="center" vertical="center"/>
    </xf>
    <xf numFmtId="164" fontId="31" fillId="3" borderId="1" xfId="1" applyNumberFormat="1" applyFont="1" applyFill="1" applyBorder="1" applyAlignment="1">
      <alignment horizontal="center" vertical="center"/>
    </xf>
    <xf numFmtId="165" fontId="31" fillId="0" borderId="7" xfId="0" applyNumberFormat="1" applyFont="1" applyBorder="1"/>
    <xf numFmtId="0" fontId="7" fillId="0" borderId="0" xfId="0" quotePrefix="1" applyFont="1"/>
    <xf numFmtId="0" fontId="25" fillId="0" borderId="8" xfId="8" applyFont="1" applyBorder="1" applyAlignment="1">
      <alignment horizontal="center" vertical="center" wrapText="1"/>
    </xf>
    <xf numFmtId="166" fontId="25" fillId="0" borderId="8" xfId="8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0" xfId="0" quotePrefix="1" applyFont="1" applyAlignment="1">
      <alignment vertical="center"/>
    </xf>
    <xf numFmtId="0" fontId="25" fillId="0" borderId="0" xfId="2" applyFont="1" applyAlignment="1">
      <alignment horizontal="center"/>
    </xf>
    <xf numFmtId="0" fontId="25" fillId="0" borderId="0" xfId="2" applyFont="1"/>
    <xf numFmtId="165" fontId="25" fillId="0" borderId="0" xfId="3" applyFont="1"/>
    <xf numFmtId="0" fontId="23" fillId="0" borderId="0" xfId="2" applyFont="1"/>
    <xf numFmtId="0" fontId="33" fillId="0" borderId="0" xfId="2" applyFont="1"/>
    <xf numFmtId="0" fontId="21" fillId="0" borderId="0" xfId="2" applyFont="1" applyAlignment="1">
      <alignment horizontal="center"/>
    </xf>
    <xf numFmtId="0" fontId="24" fillId="0" borderId="0" xfId="2" quotePrefix="1" applyFont="1"/>
    <xf numFmtId="165" fontId="23" fillId="0" borderId="0" xfId="3" applyFont="1"/>
    <xf numFmtId="0" fontId="24" fillId="0" borderId="0" xfId="2" applyFont="1" applyAlignment="1">
      <alignment horizontal="center" vertical="center"/>
    </xf>
    <xf numFmtId="0" fontId="33" fillId="0" borderId="0" xfId="2" applyFont="1" applyAlignment="1">
      <alignment horizontal="justify" vertical="center"/>
    </xf>
    <xf numFmtId="0" fontId="33" fillId="0" borderId="0" xfId="2" applyFont="1" applyAlignment="1">
      <alignment vertical="center"/>
    </xf>
    <xf numFmtId="0" fontId="24" fillId="0" borderId="0" xfId="2" applyFont="1" applyAlignment="1">
      <alignment vertical="center"/>
    </xf>
    <xf numFmtId="0" fontId="33" fillId="7" borderId="1" xfId="2" applyFont="1" applyFill="1" applyBorder="1" applyAlignment="1">
      <alignment horizontal="center" vertical="center" wrapText="1"/>
    </xf>
    <xf numFmtId="165" fontId="33" fillId="7" borderId="1" xfId="3" applyFont="1" applyFill="1" applyBorder="1" applyAlignment="1">
      <alignment horizontal="center" vertical="center" wrapText="1"/>
    </xf>
    <xf numFmtId="0" fontId="25" fillId="0" borderId="1" xfId="2" applyFont="1" applyBorder="1" applyAlignment="1">
      <alignment horizontal="center" vertical="center" wrapText="1"/>
    </xf>
    <xf numFmtId="165" fontId="25" fillId="0" borderId="1" xfId="3" applyFont="1" applyBorder="1" applyAlignment="1">
      <alignment horizontal="center" vertical="center" wrapText="1"/>
    </xf>
    <xf numFmtId="165" fontId="25" fillId="0" borderId="1" xfId="2" applyNumberFormat="1" applyFont="1" applyBorder="1" applyAlignment="1">
      <alignment horizontal="center" vertical="center"/>
    </xf>
    <xf numFmtId="165" fontId="32" fillId="0" borderId="1" xfId="2" applyNumberFormat="1" applyFont="1" applyBorder="1" applyAlignment="1">
      <alignment horizontal="center" vertical="center"/>
    </xf>
    <xf numFmtId="165" fontId="34" fillId="0" borderId="1" xfId="3" applyFont="1" applyBorder="1" applyAlignment="1">
      <alignment horizontal="center" vertical="center" wrapText="1"/>
    </xf>
    <xf numFmtId="165" fontId="34" fillId="0" borderId="1" xfId="2" applyNumberFormat="1" applyFont="1" applyBorder="1" applyAlignment="1">
      <alignment horizontal="center" vertical="center"/>
    </xf>
    <xf numFmtId="165" fontId="35" fillId="0" borderId="1" xfId="2" applyNumberFormat="1" applyFont="1" applyBorder="1" applyAlignment="1">
      <alignment horizontal="center" vertical="center"/>
    </xf>
    <xf numFmtId="165" fontId="36" fillId="4" borderId="1" xfId="2" applyNumberFormat="1" applyFont="1" applyFill="1" applyBorder="1" applyAlignment="1">
      <alignment horizontal="center" vertical="center" wrapText="1"/>
    </xf>
    <xf numFmtId="165" fontId="36" fillId="4" borderId="1" xfId="2" applyNumberFormat="1" applyFont="1" applyFill="1" applyBorder="1" applyAlignment="1">
      <alignment vertical="center" wrapText="1"/>
    </xf>
    <xf numFmtId="0" fontId="34" fillId="0" borderId="0" xfId="2" applyFont="1" applyAlignment="1">
      <alignment horizontal="center"/>
    </xf>
    <xf numFmtId="0" fontId="34" fillId="0" borderId="0" xfId="2" applyFont="1"/>
    <xf numFmtId="165" fontId="34" fillId="0" borderId="0" xfId="2" applyNumberFormat="1" applyFont="1"/>
    <xf numFmtId="0" fontId="30" fillId="0" borderId="7" xfId="0" applyFont="1" applyBorder="1" applyAlignment="1">
      <alignment vertical="center" wrapText="1"/>
    </xf>
    <xf numFmtId="0" fontId="7" fillId="0" borderId="1" xfId="0" quotePrefix="1" applyFont="1" applyBorder="1" applyAlignment="1">
      <alignment horizontal="left" vertical="center" wrapText="1"/>
    </xf>
    <xf numFmtId="43" fontId="8" fillId="4" borderId="1" xfId="1" applyFont="1" applyFill="1" applyBorder="1" applyAlignment="1">
      <alignment horizontal="center" vertical="center" wrapText="1"/>
    </xf>
    <xf numFmtId="0" fontId="38" fillId="0" borderId="0" xfId="0" applyFont="1"/>
    <xf numFmtId="168" fontId="38" fillId="0" borderId="0" xfId="0" applyNumberFormat="1" applyFont="1"/>
    <xf numFmtId="3" fontId="38" fillId="0" borderId="0" xfId="0" applyNumberFormat="1" applyFont="1"/>
    <xf numFmtId="169" fontId="38" fillId="0" borderId="0" xfId="0" applyNumberFormat="1" applyFont="1"/>
    <xf numFmtId="0" fontId="39" fillId="0" borderId="0" xfId="0" applyFont="1"/>
    <xf numFmtId="168" fontId="38" fillId="8" borderId="0" xfId="0" applyNumberFormat="1" applyFont="1" applyFill="1"/>
    <xf numFmtId="168" fontId="38" fillId="3" borderId="0" xfId="0" applyNumberFormat="1" applyFont="1" applyFill="1"/>
    <xf numFmtId="168" fontId="0" fillId="0" borderId="0" xfId="0" applyNumberFormat="1"/>
    <xf numFmtId="0" fontId="25" fillId="0" borderId="0" xfId="0" applyFont="1" applyAlignment="1">
      <alignment horizontal="justify"/>
    </xf>
    <xf numFmtId="0" fontId="25" fillId="0" borderId="0" xfId="0" applyFont="1" applyAlignment="1">
      <alignment horizontal="left" vertical="center"/>
    </xf>
    <xf numFmtId="0" fontId="25" fillId="0" borderId="0" xfId="2" quotePrefix="1" applyFont="1" applyAlignment="1">
      <alignment horizontal="left"/>
    </xf>
    <xf numFmtId="49" fontId="7" fillId="0" borderId="1" xfId="0" quotePrefix="1" applyNumberFormat="1" applyFont="1" applyBorder="1" applyAlignment="1">
      <alignment vertical="center" wrapText="1"/>
    </xf>
    <xf numFmtId="49" fontId="7" fillId="0" borderId="1" xfId="0" quotePrefix="1" applyNumberFormat="1" applyFont="1" applyBorder="1" applyAlignment="1">
      <alignment horizontal="center" vertical="center" wrapText="1"/>
    </xf>
    <xf numFmtId="164" fontId="7" fillId="0" borderId="0" xfId="0" applyNumberFormat="1" applyFont="1" applyAlignment="1">
      <alignment vertical="center"/>
    </xf>
    <xf numFmtId="4" fontId="7" fillId="0" borderId="0" xfId="0" applyNumberFormat="1" applyFont="1" applyAlignment="1">
      <alignment vertical="center"/>
    </xf>
    <xf numFmtId="164" fontId="12" fillId="3" borderId="1" xfId="1" quotePrefix="1" applyNumberFormat="1" applyFont="1" applyFill="1" applyBorder="1" applyAlignment="1">
      <alignment horizontal="center" vertical="center"/>
    </xf>
    <xf numFmtId="165" fontId="40" fillId="0" borderId="7" xfId="0" applyNumberFormat="1" applyFont="1" applyBorder="1" applyAlignment="1">
      <alignment horizontal="center" vertical="center" wrapText="1"/>
    </xf>
    <xf numFmtId="166" fontId="40" fillId="0" borderId="7" xfId="0" applyNumberFormat="1" applyFont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 wrapText="1"/>
    </xf>
    <xf numFmtId="0" fontId="14" fillId="4" borderId="5" xfId="0" applyFont="1" applyFill="1" applyBorder="1" applyAlignment="1">
      <alignment horizontal="center" vertical="center" wrapText="1"/>
    </xf>
    <xf numFmtId="0" fontId="14" fillId="5" borderId="2" xfId="0" applyFont="1" applyFill="1" applyBorder="1" applyAlignment="1">
      <alignment horizontal="center" vertical="center" wrapText="1"/>
    </xf>
    <xf numFmtId="0" fontId="14" fillId="5" borderId="6" xfId="0" applyFont="1" applyFill="1" applyBorder="1" applyAlignment="1">
      <alignment horizontal="center" vertical="center" wrapText="1"/>
    </xf>
    <xf numFmtId="0" fontId="14" fillId="5" borderId="3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1" fontId="13" fillId="2" borderId="4" xfId="0" applyNumberFormat="1" applyFont="1" applyFill="1" applyBorder="1" applyAlignment="1">
      <alignment horizontal="center" vertical="center" wrapText="1"/>
    </xf>
    <xf numFmtId="1" fontId="13" fillId="2" borderId="5" xfId="0" applyNumberFormat="1" applyFont="1" applyFill="1" applyBorder="1" applyAlignment="1">
      <alignment horizontal="center" vertical="center" wrapText="1"/>
    </xf>
    <xf numFmtId="0" fontId="32" fillId="0" borderId="0" xfId="2" applyFont="1" applyAlignment="1">
      <alignment horizontal="center" vertical="center"/>
    </xf>
    <xf numFmtId="0" fontId="32" fillId="0" borderId="0" xfId="2" applyFont="1" applyAlignment="1">
      <alignment horizontal="center"/>
    </xf>
    <xf numFmtId="0" fontId="29" fillId="4" borderId="4" xfId="0" applyFont="1" applyFill="1" applyBorder="1" applyAlignment="1">
      <alignment horizontal="center" vertical="center" wrapText="1"/>
    </xf>
    <xf numFmtId="0" fontId="29" fillId="4" borderId="5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</cellXfs>
  <cellStyles count="11">
    <cellStyle name="Comma" xfId="1" builtinId="3"/>
    <cellStyle name="Comma [0] 2" xfId="3" xr:uid="{45C3C7EF-B490-408E-86AF-112A53217086}"/>
    <cellStyle name="Comma 2" xfId="4" xr:uid="{FC972BF8-9F08-4F0F-831B-6F23AEEAE44A}"/>
    <cellStyle name="Comma 3" xfId="9" xr:uid="{6888ACBB-A2F8-4444-8107-97D35231EE40}"/>
    <cellStyle name="Normal" xfId="0" builtinId="0"/>
    <cellStyle name="Normal 2" xfId="2" xr:uid="{2D5EED1A-3E72-4A41-B723-ACCC863882DC}"/>
    <cellStyle name="Normal 3" xfId="5" xr:uid="{52EA5247-C203-429F-9309-8E023352D3F9}"/>
    <cellStyle name="Normal 3 2" xfId="7" xr:uid="{97E74D99-DC1A-47D5-B1ED-7627F83FD96C}"/>
    <cellStyle name="Normal 4" xfId="8" xr:uid="{C28C65E5-8D10-4D34-8ADE-6D52AA0CB7A0}"/>
    <cellStyle name="Normal 5" xfId="10" xr:uid="{3C59EA2E-4CA1-4856-8F56-0F4EBA2025CF}"/>
    <cellStyle name="Percent 2" xfId="6" xr:uid="{6C7E4954-B1B2-4399-A127-9DD79F386639}"/>
  </cellStyles>
  <dxfs count="5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A2EAA-4767-4691-ACB1-44B9B7C01000}">
  <sheetPr>
    <tabColor rgb="FF92D050"/>
  </sheetPr>
  <dimension ref="A1:S55"/>
  <sheetViews>
    <sheetView showGridLines="0" zoomScale="70" zoomScaleNormal="70" zoomScaleSheetLayoutView="70" workbookViewId="0">
      <selection activeCell="C4" sqref="C4"/>
    </sheetView>
  </sheetViews>
  <sheetFormatPr defaultColWidth="9.140625" defaultRowHeight="14.25" x14ac:dyDescent="0.2"/>
  <cols>
    <col min="1" max="1" width="8.7109375" style="7" customWidth="1"/>
    <col min="2" max="2" width="8.28515625" style="7" customWidth="1"/>
    <col min="3" max="3" width="37.42578125" style="7" customWidth="1"/>
    <col min="4" max="4" width="21.42578125" style="8" bestFit="1" customWidth="1"/>
    <col min="5" max="5" width="34.5703125" style="7" bestFit="1" customWidth="1"/>
    <col min="6" max="6" width="30.140625" style="7" bestFit="1" customWidth="1"/>
    <col min="7" max="7" width="14.28515625" style="7" bestFit="1" customWidth="1"/>
    <col min="8" max="8" width="18.7109375" style="7" customWidth="1"/>
    <col min="9" max="9" width="18.5703125" style="7" customWidth="1"/>
    <col min="10" max="10" width="22.140625" style="7" customWidth="1"/>
    <col min="11" max="15" width="18.5703125" style="7" customWidth="1"/>
    <col min="16" max="17" width="9.140625" style="7" customWidth="1"/>
    <col min="18" max="18" width="35.140625" style="7" customWidth="1"/>
    <col min="19" max="19" width="9.140625" style="7" customWidth="1"/>
    <col min="20" max="16384" width="9.140625" style="7"/>
  </cols>
  <sheetData>
    <row r="1" spans="1:19" ht="20.25" x14ac:dyDescent="0.3">
      <c r="C1" s="10" t="s">
        <v>0</v>
      </c>
    </row>
    <row r="2" spans="1:19" ht="15" x14ac:dyDescent="0.25">
      <c r="C2" s="9" t="s">
        <v>5</v>
      </c>
    </row>
    <row r="3" spans="1:19" ht="15" x14ac:dyDescent="0.25">
      <c r="C3" s="9"/>
    </row>
    <row r="4" spans="1:19" x14ac:dyDescent="0.2">
      <c r="C4" s="5" t="s">
        <v>290</v>
      </c>
      <c r="D4" s="8" t="s">
        <v>285</v>
      </c>
    </row>
    <row r="5" spans="1:19" x14ac:dyDescent="0.2">
      <c r="C5" s="7" t="s">
        <v>263</v>
      </c>
      <c r="I5" s="29">
        <f>SUM(I8:I38)</f>
        <v>704944815</v>
      </c>
      <c r="K5" s="29">
        <f t="shared" ref="K5:O5" si="0">SUM(K8:K38)</f>
        <v>616081918</v>
      </c>
      <c r="L5" s="29">
        <f t="shared" si="0"/>
        <v>473848217</v>
      </c>
      <c r="M5" s="29">
        <f t="shared" si="0"/>
        <v>435252011</v>
      </c>
      <c r="N5" s="29">
        <f t="shared" si="0"/>
        <v>352433986</v>
      </c>
      <c r="O5" s="29">
        <f t="shared" si="0"/>
        <v>0</v>
      </c>
    </row>
    <row r="6" spans="1:19" s="3" customFormat="1" ht="30" customHeight="1" x14ac:dyDescent="0.25">
      <c r="A6" s="127" t="s">
        <v>55</v>
      </c>
      <c r="B6" s="127" t="s">
        <v>59</v>
      </c>
      <c r="C6" s="127" t="s">
        <v>58</v>
      </c>
      <c r="D6" s="127" t="s">
        <v>62</v>
      </c>
      <c r="E6" s="127" t="s">
        <v>92</v>
      </c>
      <c r="F6" s="127" t="s">
        <v>91</v>
      </c>
      <c r="G6" s="127" t="s">
        <v>57</v>
      </c>
      <c r="H6" s="127" t="s">
        <v>31</v>
      </c>
      <c r="I6" s="129" t="s">
        <v>60</v>
      </c>
      <c r="J6" s="127" t="s">
        <v>93</v>
      </c>
      <c r="K6" s="131" t="s">
        <v>54</v>
      </c>
      <c r="L6" s="132"/>
      <c r="M6" s="132"/>
      <c r="N6" s="132"/>
      <c r="O6" s="133"/>
    </row>
    <row r="7" spans="1:19" s="3" customFormat="1" ht="30" customHeight="1" x14ac:dyDescent="0.25">
      <c r="A7" s="128"/>
      <c r="B7" s="128"/>
      <c r="C7" s="128"/>
      <c r="D7" s="128"/>
      <c r="E7" s="128"/>
      <c r="F7" s="128"/>
      <c r="G7" s="128"/>
      <c r="H7" s="128"/>
      <c r="I7" s="130"/>
      <c r="J7" s="128"/>
      <c r="K7" s="15">
        <v>2024</v>
      </c>
      <c r="L7" s="15">
        <v>2023</v>
      </c>
      <c r="M7" s="15">
        <v>2022</v>
      </c>
      <c r="N7" s="15">
        <v>2021</v>
      </c>
      <c r="O7" s="15">
        <v>2020</v>
      </c>
      <c r="Q7" s="3" t="s">
        <v>30</v>
      </c>
      <c r="R7" s="3" t="s">
        <v>30</v>
      </c>
      <c r="S7" s="3" t="s">
        <v>30</v>
      </c>
    </row>
    <row r="8" spans="1:19" s="3" customFormat="1" ht="30" customHeight="1" x14ac:dyDescent="0.25">
      <c r="A8" s="4">
        <v>1</v>
      </c>
      <c r="B8" s="4" t="str">
        <f t="shared" ref="B8" si="1">VLOOKUP(C8,$R:$S,2,0)</f>
        <v>0101</v>
      </c>
      <c r="C8" s="4" t="s">
        <v>28</v>
      </c>
      <c r="D8" s="5" t="s">
        <v>30</v>
      </c>
      <c r="E8" s="23" t="s">
        <v>285</v>
      </c>
      <c r="F8" s="4" t="s">
        <v>30</v>
      </c>
      <c r="G8" s="4" t="s">
        <v>277</v>
      </c>
      <c r="H8" s="4">
        <v>2025</v>
      </c>
      <c r="I8" s="124">
        <v>165000000</v>
      </c>
      <c r="J8" s="4" t="s">
        <v>30</v>
      </c>
      <c r="K8" s="11">
        <v>97500000</v>
      </c>
      <c r="L8" s="11">
        <v>68500000</v>
      </c>
      <c r="M8" s="11">
        <v>60000000</v>
      </c>
      <c r="N8" s="11">
        <v>5000000</v>
      </c>
      <c r="O8" s="11">
        <v>0</v>
      </c>
      <c r="Q8" s="24" t="s">
        <v>10</v>
      </c>
      <c r="R8" s="25" t="s">
        <v>28</v>
      </c>
      <c r="S8" s="24" t="s">
        <v>10</v>
      </c>
    </row>
    <row r="9" spans="1:19" s="3" customFormat="1" ht="30" customHeight="1" x14ac:dyDescent="0.25">
      <c r="A9" s="4">
        <f>A8+1</f>
        <v>2</v>
      </c>
      <c r="B9" s="4" t="str">
        <f t="shared" ref="B9:B12" si="2">VLOOKUP(C9,$R:$S,2,0)</f>
        <v>0102</v>
      </c>
      <c r="C9" s="4" t="s">
        <v>27</v>
      </c>
      <c r="D9" s="5" t="s">
        <v>286</v>
      </c>
      <c r="E9" s="23" t="s">
        <v>285</v>
      </c>
      <c r="F9" s="4" t="s">
        <v>271</v>
      </c>
      <c r="G9" s="4" t="s">
        <v>277</v>
      </c>
      <c r="H9" s="4">
        <v>2025</v>
      </c>
      <c r="I9" s="45">
        <v>16559317</v>
      </c>
      <c r="J9" s="4" t="s">
        <v>30</v>
      </c>
      <c r="K9" s="11">
        <v>11383813</v>
      </c>
      <c r="L9" s="11">
        <v>10771832</v>
      </c>
      <c r="M9" s="11">
        <v>14353267</v>
      </c>
      <c r="N9" s="11">
        <v>12278746</v>
      </c>
      <c r="O9" s="11">
        <v>0</v>
      </c>
      <c r="Q9" s="24" t="s">
        <v>12</v>
      </c>
      <c r="R9" s="25" t="s">
        <v>27</v>
      </c>
      <c r="S9" s="24" t="s">
        <v>12</v>
      </c>
    </row>
    <row r="10" spans="1:19" s="3" customFormat="1" ht="30" customHeight="1" x14ac:dyDescent="0.25">
      <c r="A10" s="4">
        <f t="shared" ref="A10:A12" si="3">A9+1</f>
        <v>3</v>
      </c>
      <c r="B10" s="4" t="str">
        <f t="shared" si="2"/>
        <v>0102</v>
      </c>
      <c r="C10" s="4" t="s">
        <v>27</v>
      </c>
      <c r="D10" s="5" t="s">
        <v>287</v>
      </c>
      <c r="E10" s="23" t="s">
        <v>285</v>
      </c>
      <c r="F10" s="4" t="s">
        <v>272</v>
      </c>
      <c r="G10" s="4" t="s">
        <v>277</v>
      </c>
      <c r="H10" s="4">
        <v>2025</v>
      </c>
      <c r="I10" s="45">
        <v>58080066</v>
      </c>
      <c r="J10" s="4" t="s">
        <v>30</v>
      </c>
      <c r="K10" s="11">
        <v>42080336</v>
      </c>
      <c r="L10" s="11">
        <v>59218861</v>
      </c>
      <c r="M10" s="11">
        <v>41221947</v>
      </c>
      <c r="N10" s="11">
        <v>105442298</v>
      </c>
      <c r="O10" s="11">
        <v>0</v>
      </c>
      <c r="Q10" s="24" t="s">
        <v>13</v>
      </c>
      <c r="R10" s="25" t="s">
        <v>14</v>
      </c>
      <c r="S10" s="24" t="s">
        <v>13</v>
      </c>
    </row>
    <row r="11" spans="1:19" s="3" customFormat="1" ht="30" customHeight="1" x14ac:dyDescent="0.25">
      <c r="A11" s="4">
        <f t="shared" si="3"/>
        <v>4</v>
      </c>
      <c r="B11" s="4" t="str">
        <f t="shared" si="2"/>
        <v>0102</v>
      </c>
      <c r="C11" s="4" t="s">
        <v>27</v>
      </c>
      <c r="D11" s="5" t="s">
        <v>288</v>
      </c>
      <c r="E11" s="23" t="s">
        <v>285</v>
      </c>
      <c r="F11" s="4" t="s">
        <v>272</v>
      </c>
      <c r="G11" s="4" t="s">
        <v>277</v>
      </c>
      <c r="H11" s="4">
        <v>2025</v>
      </c>
      <c r="I11" s="45">
        <v>330305432</v>
      </c>
      <c r="J11" s="4" t="s">
        <v>30</v>
      </c>
      <c r="K11" s="11">
        <v>320117769</v>
      </c>
      <c r="L11" s="11">
        <v>310357524</v>
      </c>
      <c r="M11" s="11">
        <v>304676797</v>
      </c>
      <c r="N11" s="11">
        <v>229712942</v>
      </c>
      <c r="O11" s="11">
        <v>0</v>
      </c>
      <c r="Q11" s="24" t="s">
        <v>15</v>
      </c>
      <c r="R11" s="25" t="s">
        <v>16</v>
      </c>
      <c r="S11" s="24" t="s">
        <v>15</v>
      </c>
    </row>
    <row r="12" spans="1:19" s="3" customFormat="1" ht="30" customHeight="1" x14ac:dyDescent="0.25">
      <c r="A12" s="4">
        <f t="shared" si="3"/>
        <v>5</v>
      </c>
      <c r="B12" s="4" t="str">
        <f t="shared" si="2"/>
        <v>0109</v>
      </c>
      <c r="C12" s="4" t="s">
        <v>26</v>
      </c>
      <c r="D12" s="5" t="s">
        <v>30</v>
      </c>
      <c r="E12" s="23" t="s">
        <v>285</v>
      </c>
      <c r="F12" s="4" t="s">
        <v>30</v>
      </c>
      <c r="G12" s="4" t="s">
        <v>277</v>
      </c>
      <c r="H12" s="4">
        <v>2025</v>
      </c>
      <c r="I12" s="45">
        <v>135000000</v>
      </c>
      <c r="J12" s="4" t="s">
        <v>30</v>
      </c>
      <c r="K12" s="11">
        <v>145000000</v>
      </c>
      <c r="L12" s="11">
        <v>25000000</v>
      </c>
      <c r="M12" s="11">
        <v>15000000</v>
      </c>
      <c r="N12" s="11">
        <v>0</v>
      </c>
      <c r="O12" s="11">
        <v>0</v>
      </c>
      <c r="Q12" s="24" t="s">
        <v>17</v>
      </c>
      <c r="R12" s="25" t="s">
        <v>18</v>
      </c>
      <c r="S12" s="24" t="s">
        <v>17</v>
      </c>
    </row>
    <row r="13" spans="1:19" s="3" customFormat="1" ht="30" customHeight="1" x14ac:dyDescent="0.25">
      <c r="A13" s="4"/>
      <c r="B13" s="4"/>
      <c r="C13" s="4"/>
      <c r="D13" s="5"/>
      <c r="E13" s="4"/>
      <c r="F13" s="4"/>
      <c r="G13" s="4"/>
      <c r="H13" s="4"/>
      <c r="I13" s="6"/>
      <c r="J13" s="4"/>
      <c r="K13" s="11"/>
      <c r="L13" s="11"/>
      <c r="M13" s="11"/>
      <c r="N13" s="11"/>
      <c r="O13" s="11"/>
      <c r="Q13" s="24" t="s">
        <v>19</v>
      </c>
      <c r="R13" s="25" t="s">
        <v>20</v>
      </c>
      <c r="S13" s="24" t="s">
        <v>19</v>
      </c>
    </row>
    <row r="14" spans="1:19" s="3" customFormat="1" ht="30" customHeight="1" x14ac:dyDescent="0.25">
      <c r="A14" s="4"/>
      <c r="B14" s="4"/>
      <c r="C14" s="4"/>
      <c r="D14" s="5"/>
      <c r="E14" s="4"/>
      <c r="F14" s="4"/>
      <c r="G14" s="4"/>
      <c r="H14" s="4"/>
      <c r="I14" s="6"/>
      <c r="J14" s="4"/>
      <c r="K14" s="11"/>
      <c r="L14" s="11"/>
      <c r="M14" s="11"/>
      <c r="N14" s="11"/>
      <c r="O14" s="11"/>
      <c r="Q14" s="24" t="s">
        <v>21</v>
      </c>
      <c r="R14" s="25" t="s">
        <v>22</v>
      </c>
      <c r="S14" s="24" t="s">
        <v>21</v>
      </c>
    </row>
    <row r="15" spans="1:19" s="3" customFormat="1" ht="30" customHeight="1" x14ac:dyDescent="0.25">
      <c r="A15" s="4"/>
      <c r="B15" s="4"/>
      <c r="C15" s="4"/>
      <c r="D15" s="5"/>
      <c r="E15" s="23"/>
      <c r="F15" s="4"/>
      <c r="G15" s="4"/>
      <c r="H15" s="4"/>
      <c r="I15" s="6"/>
      <c r="J15" s="4"/>
      <c r="K15" s="11"/>
      <c r="L15" s="11"/>
      <c r="M15" s="11"/>
      <c r="N15" s="11"/>
      <c r="O15" s="11"/>
      <c r="Q15" s="24" t="s">
        <v>23</v>
      </c>
      <c r="R15" s="25" t="s">
        <v>24</v>
      </c>
      <c r="S15" s="24" t="s">
        <v>23</v>
      </c>
    </row>
    <row r="16" spans="1:19" s="3" customFormat="1" ht="30" customHeight="1" x14ac:dyDescent="0.25">
      <c r="A16" s="4"/>
      <c r="B16" s="4"/>
      <c r="C16" s="4"/>
      <c r="D16" s="5"/>
      <c r="E16" s="4"/>
      <c r="F16" s="4"/>
      <c r="G16" s="4"/>
      <c r="H16" s="4"/>
      <c r="I16" s="6"/>
      <c r="J16" s="4"/>
      <c r="K16" s="11"/>
      <c r="L16" s="11"/>
      <c r="M16" s="11"/>
      <c r="N16" s="11"/>
      <c r="O16" s="11"/>
      <c r="Q16" s="24" t="s">
        <v>25</v>
      </c>
      <c r="R16" s="25" t="s">
        <v>185</v>
      </c>
      <c r="S16" s="24" t="s">
        <v>25</v>
      </c>
    </row>
    <row r="17" spans="1:19" s="3" customFormat="1" ht="30" customHeight="1" x14ac:dyDescent="0.25">
      <c r="A17" s="4"/>
      <c r="B17" s="4"/>
      <c r="C17" s="4"/>
      <c r="D17" s="5"/>
      <c r="E17" s="4"/>
      <c r="F17" s="4"/>
      <c r="G17" s="4"/>
      <c r="H17" s="4"/>
      <c r="I17" s="6"/>
      <c r="J17" s="4"/>
      <c r="K17" s="11"/>
      <c r="L17" s="11"/>
      <c r="M17" s="11"/>
      <c r="N17" s="11"/>
      <c r="O17" s="11"/>
      <c r="Q17" s="24" t="s">
        <v>10</v>
      </c>
      <c r="R17" s="25" t="s">
        <v>11</v>
      </c>
      <c r="S17" s="24" t="s">
        <v>10</v>
      </c>
    </row>
    <row r="18" spans="1:19" s="3" customFormat="1" ht="30" customHeight="1" x14ac:dyDescent="0.25">
      <c r="A18" s="4"/>
      <c r="B18" s="4"/>
      <c r="C18" s="4"/>
      <c r="D18" s="5"/>
      <c r="E18" s="4"/>
      <c r="F18" s="4"/>
      <c r="G18" s="4"/>
      <c r="H18" s="4"/>
      <c r="I18" s="6"/>
      <c r="J18" s="4"/>
      <c r="K18" s="11"/>
      <c r="L18" s="11"/>
      <c r="M18" s="11"/>
      <c r="N18" s="11"/>
      <c r="O18" s="11"/>
      <c r="Q18" s="24" t="s">
        <v>25</v>
      </c>
      <c r="R18" s="25" t="s">
        <v>26</v>
      </c>
      <c r="S18" s="24" t="s">
        <v>25</v>
      </c>
    </row>
    <row r="19" spans="1:19" s="3" customFormat="1" ht="30" customHeight="1" x14ac:dyDescent="0.25">
      <c r="A19" s="4"/>
      <c r="B19" s="5"/>
      <c r="C19" s="4"/>
      <c r="D19" s="5"/>
      <c r="E19" s="4"/>
      <c r="F19" s="4"/>
      <c r="G19" s="4"/>
      <c r="H19" s="4"/>
      <c r="I19" s="6"/>
      <c r="J19" s="4"/>
      <c r="K19" s="11"/>
      <c r="L19" s="11"/>
      <c r="M19" s="11"/>
      <c r="N19" s="11"/>
      <c r="O19" s="11"/>
      <c r="R19" s="3" t="s">
        <v>283</v>
      </c>
    </row>
    <row r="20" spans="1:19" s="3" customFormat="1" ht="30" customHeight="1" x14ac:dyDescent="0.25">
      <c r="A20" s="4"/>
      <c r="B20" s="4"/>
      <c r="C20" s="4"/>
      <c r="D20" s="5"/>
      <c r="E20" s="4"/>
      <c r="F20" s="4"/>
      <c r="G20" s="4"/>
      <c r="H20" s="4"/>
      <c r="I20" s="6"/>
      <c r="J20" s="4"/>
      <c r="K20" s="11"/>
      <c r="L20" s="11"/>
      <c r="M20" s="11"/>
      <c r="N20" s="11"/>
      <c r="O20" s="11"/>
      <c r="Q20" s="3" t="s">
        <v>280</v>
      </c>
      <c r="R20" s="3">
        <v>10086.530000000001</v>
      </c>
      <c r="S20" s="122">
        <f>I9/R20</f>
        <v>1641.725846252378</v>
      </c>
    </row>
    <row r="21" spans="1:19" s="3" customFormat="1" ht="30" customHeight="1" x14ac:dyDescent="0.25">
      <c r="A21" s="4"/>
      <c r="B21" s="4"/>
      <c r="C21" s="4"/>
      <c r="D21" s="5"/>
      <c r="E21" s="4"/>
      <c r="F21" s="4"/>
      <c r="G21" s="4"/>
      <c r="H21" s="4"/>
      <c r="I21" s="6"/>
      <c r="J21" s="4"/>
      <c r="K21" s="11"/>
      <c r="L21" s="11"/>
      <c r="M21" s="11"/>
      <c r="N21" s="11"/>
      <c r="O21" s="11"/>
      <c r="Q21" s="3" t="s">
        <v>281</v>
      </c>
      <c r="R21" s="3">
        <v>9292.0300000000007</v>
      </c>
      <c r="S21" s="122">
        <f>I9/R21</f>
        <v>1782.0989600765386</v>
      </c>
    </row>
    <row r="22" spans="1:19" s="3" customFormat="1" ht="30" customHeight="1" x14ac:dyDescent="0.25">
      <c r="A22" s="4"/>
      <c r="B22" s="4"/>
      <c r="C22" s="4"/>
      <c r="D22" s="5"/>
      <c r="E22" s="4"/>
      <c r="F22" s="4"/>
      <c r="G22" s="4"/>
      <c r="H22" s="4"/>
      <c r="I22" s="6"/>
      <c r="J22" s="4"/>
      <c r="K22" s="12"/>
      <c r="L22" s="12"/>
      <c r="M22" s="12"/>
      <c r="N22" s="12"/>
      <c r="O22" s="12"/>
      <c r="R22" s="122">
        <f>I9/50000</f>
        <v>331.18633999999997</v>
      </c>
    </row>
    <row r="23" spans="1:19" s="3" customFormat="1" ht="30" customHeight="1" x14ac:dyDescent="0.25">
      <c r="A23" s="4"/>
      <c r="B23" s="4"/>
      <c r="C23" s="4"/>
      <c r="D23" s="5"/>
      <c r="E23" s="4"/>
      <c r="F23" s="4"/>
      <c r="G23" s="4"/>
      <c r="H23" s="4"/>
      <c r="I23" s="6"/>
      <c r="J23" s="4"/>
      <c r="K23" s="11"/>
      <c r="L23" s="11"/>
      <c r="M23" s="11"/>
      <c r="N23" s="11"/>
      <c r="O23" s="11"/>
      <c r="Q23" s="3" t="s">
        <v>282</v>
      </c>
      <c r="R23" s="123">
        <v>13054.96</v>
      </c>
    </row>
    <row r="24" spans="1:19" s="3" customFormat="1" ht="30" customHeight="1" x14ac:dyDescent="0.25">
      <c r="A24" s="4"/>
      <c r="B24" s="4"/>
      <c r="C24" s="4"/>
      <c r="D24" s="5"/>
      <c r="E24" s="4"/>
      <c r="F24" s="4"/>
      <c r="G24" s="4"/>
      <c r="H24" s="4"/>
      <c r="I24" s="6"/>
      <c r="J24" s="4"/>
      <c r="K24" s="12"/>
      <c r="L24" s="12"/>
      <c r="M24" s="12"/>
      <c r="N24" s="12"/>
      <c r="O24" s="12"/>
    </row>
    <row r="25" spans="1:19" s="3" customFormat="1" ht="30" customHeight="1" x14ac:dyDescent="0.25">
      <c r="A25" s="4"/>
      <c r="B25" s="4"/>
      <c r="C25" s="4"/>
      <c r="D25" s="5"/>
      <c r="E25" s="4"/>
      <c r="F25" s="4"/>
      <c r="G25" s="4"/>
      <c r="H25" s="4"/>
      <c r="I25" s="6"/>
      <c r="J25" s="4"/>
      <c r="K25" s="12"/>
      <c r="L25" s="12"/>
      <c r="M25" s="12"/>
      <c r="N25" s="12"/>
      <c r="O25" s="12"/>
    </row>
    <row r="26" spans="1:19" s="3" customFormat="1" ht="30" customHeight="1" x14ac:dyDescent="0.25">
      <c r="A26" s="4"/>
      <c r="B26" s="4"/>
      <c r="C26" s="4"/>
      <c r="D26" s="5"/>
      <c r="E26" s="4"/>
      <c r="F26" s="4"/>
      <c r="G26" s="4"/>
      <c r="H26" s="4"/>
      <c r="I26" s="6"/>
      <c r="J26" s="4"/>
      <c r="K26" s="12"/>
      <c r="L26" s="12"/>
      <c r="M26" s="12"/>
      <c r="N26" s="12"/>
      <c r="O26" s="12"/>
    </row>
    <row r="27" spans="1:19" s="3" customFormat="1" ht="30" customHeight="1" x14ac:dyDescent="0.25">
      <c r="A27" s="4"/>
      <c r="B27" s="4"/>
      <c r="C27" s="4"/>
      <c r="D27" s="5"/>
      <c r="E27" s="4"/>
      <c r="F27" s="4"/>
      <c r="G27" s="4"/>
      <c r="H27" s="4"/>
      <c r="I27" s="6"/>
      <c r="J27" s="4"/>
      <c r="K27" s="12"/>
      <c r="L27" s="12"/>
      <c r="M27" s="12"/>
      <c r="N27" s="12"/>
      <c r="O27" s="12"/>
    </row>
    <row r="28" spans="1:19" s="3" customFormat="1" ht="30" customHeight="1" x14ac:dyDescent="0.25">
      <c r="A28" s="4"/>
      <c r="B28" s="4"/>
      <c r="C28" s="4"/>
      <c r="D28" s="5"/>
      <c r="E28" s="4"/>
      <c r="F28" s="4"/>
      <c r="G28" s="4"/>
      <c r="H28" s="4"/>
      <c r="I28" s="6"/>
      <c r="J28" s="4"/>
      <c r="K28" s="12"/>
      <c r="L28" s="12"/>
      <c r="M28" s="12"/>
      <c r="N28" s="12"/>
      <c r="O28" s="12"/>
    </row>
    <row r="29" spans="1:19" s="3" customFormat="1" ht="30" customHeight="1" x14ac:dyDescent="0.25">
      <c r="A29" s="4"/>
      <c r="B29" s="4"/>
      <c r="C29" s="4"/>
      <c r="D29" s="5"/>
      <c r="E29" s="4"/>
      <c r="F29" s="4"/>
      <c r="G29" s="4"/>
      <c r="H29" s="4"/>
      <c r="I29" s="6"/>
      <c r="J29" s="4"/>
      <c r="K29" s="12"/>
      <c r="L29" s="12"/>
      <c r="M29" s="12"/>
      <c r="N29" s="12"/>
      <c r="O29" s="12"/>
    </row>
    <row r="30" spans="1:19" s="3" customFormat="1" ht="30" customHeight="1" x14ac:dyDescent="0.25">
      <c r="A30" s="4"/>
      <c r="B30" s="4"/>
      <c r="C30" s="4"/>
      <c r="D30" s="5"/>
      <c r="E30" s="4"/>
      <c r="F30" s="4"/>
      <c r="G30" s="4"/>
      <c r="H30" s="4"/>
      <c r="I30" s="6"/>
      <c r="J30" s="4"/>
      <c r="K30" s="12"/>
      <c r="L30" s="12"/>
      <c r="M30" s="12"/>
      <c r="N30" s="12"/>
      <c r="O30" s="12"/>
    </row>
    <row r="31" spans="1:19" s="3" customFormat="1" ht="30" customHeight="1" x14ac:dyDescent="0.25">
      <c r="A31" s="4"/>
      <c r="B31" s="4"/>
      <c r="C31" s="4"/>
      <c r="D31" s="5"/>
      <c r="E31" s="4"/>
      <c r="F31" s="4"/>
      <c r="G31" s="4"/>
      <c r="H31" s="4"/>
      <c r="I31" s="6"/>
      <c r="J31" s="4"/>
      <c r="K31" s="12"/>
      <c r="L31" s="12"/>
      <c r="M31" s="12"/>
      <c r="N31" s="12"/>
      <c r="O31" s="12"/>
    </row>
    <row r="32" spans="1:19" s="3" customFormat="1" ht="30" customHeight="1" x14ac:dyDescent="0.25">
      <c r="A32" s="4"/>
      <c r="B32" s="4"/>
      <c r="C32" s="4"/>
      <c r="D32" s="5"/>
      <c r="E32" s="4"/>
      <c r="F32" s="4"/>
      <c r="G32" s="4"/>
      <c r="H32" s="4"/>
      <c r="I32" s="6"/>
      <c r="J32" s="4"/>
      <c r="K32" s="12"/>
      <c r="L32" s="12"/>
      <c r="M32" s="12"/>
      <c r="N32" s="12"/>
      <c r="O32" s="12"/>
    </row>
    <row r="33" spans="1:15" s="3" customFormat="1" ht="30" customHeight="1" x14ac:dyDescent="0.25">
      <c r="A33" s="4"/>
      <c r="B33" s="4"/>
      <c r="C33" s="4"/>
      <c r="D33" s="5"/>
      <c r="E33" s="4"/>
      <c r="F33" s="4"/>
      <c r="G33" s="4"/>
      <c r="H33" s="4"/>
      <c r="I33" s="6"/>
      <c r="J33" s="4"/>
      <c r="K33" s="11"/>
      <c r="L33" s="11"/>
      <c r="M33" s="11"/>
      <c r="N33" s="11"/>
      <c r="O33" s="11"/>
    </row>
    <row r="34" spans="1:15" s="3" customFormat="1" ht="30" customHeight="1" x14ac:dyDescent="0.25">
      <c r="A34" s="4"/>
      <c r="B34" s="4"/>
      <c r="C34" s="4"/>
      <c r="D34" s="5"/>
      <c r="E34" s="4"/>
      <c r="F34" s="4"/>
      <c r="G34" s="4"/>
      <c r="H34" s="4"/>
      <c r="I34" s="6"/>
      <c r="J34" s="4"/>
      <c r="K34" s="4"/>
      <c r="L34" s="4"/>
      <c r="M34" s="4"/>
      <c r="N34" s="4"/>
      <c r="O34" s="4"/>
    </row>
    <row r="35" spans="1:15" s="3" customFormat="1" ht="30" customHeight="1" x14ac:dyDescent="0.25">
      <c r="A35" s="4"/>
      <c r="B35" s="4"/>
      <c r="C35" s="4"/>
      <c r="D35" s="5"/>
      <c r="E35" s="4"/>
      <c r="F35" s="4"/>
      <c r="G35" s="4"/>
      <c r="H35" s="4"/>
      <c r="I35" s="6"/>
      <c r="J35" s="4"/>
      <c r="K35" s="4"/>
      <c r="L35" s="4"/>
      <c r="M35" s="4"/>
      <c r="N35" s="4"/>
      <c r="O35" s="4"/>
    </row>
    <row r="36" spans="1:15" s="3" customFormat="1" ht="30" customHeight="1" x14ac:dyDescent="0.25">
      <c r="A36" s="4"/>
      <c r="B36" s="4"/>
      <c r="C36" s="4"/>
      <c r="D36" s="5"/>
      <c r="E36" s="4"/>
      <c r="F36" s="4"/>
      <c r="G36" s="4"/>
      <c r="H36" s="4"/>
      <c r="I36" s="6"/>
      <c r="J36" s="4"/>
      <c r="K36" s="4"/>
      <c r="L36" s="4"/>
      <c r="M36" s="4"/>
      <c r="N36" s="4"/>
      <c r="O36" s="4"/>
    </row>
    <row r="37" spans="1:15" s="3" customFormat="1" ht="30" customHeight="1" x14ac:dyDescent="0.25">
      <c r="A37" s="4"/>
      <c r="B37" s="4"/>
      <c r="C37" s="4"/>
      <c r="D37" s="5"/>
      <c r="E37" s="4"/>
      <c r="F37" s="4"/>
      <c r="G37" s="4"/>
      <c r="H37" s="4"/>
      <c r="I37" s="6"/>
      <c r="J37" s="4"/>
      <c r="K37" s="4"/>
      <c r="L37" s="4"/>
      <c r="M37" s="4"/>
      <c r="N37" s="4"/>
      <c r="O37" s="4"/>
    </row>
    <row r="38" spans="1:15" s="3" customFormat="1" ht="30" customHeight="1" x14ac:dyDescent="0.25">
      <c r="A38" s="4"/>
      <c r="B38" s="4"/>
      <c r="C38" s="4"/>
      <c r="D38" s="5"/>
      <c r="E38" s="4"/>
      <c r="F38" s="4"/>
      <c r="G38" s="4"/>
      <c r="H38" s="4"/>
      <c r="I38" s="6"/>
      <c r="J38" s="4"/>
      <c r="K38" s="4"/>
      <c r="L38" s="4"/>
      <c r="M38" s="4"/>
      <c r="N38" s="4"/>
      <c r="O38" s="4"/>
    </row>
    <row r="39" spans="1:15" s="3" customFormat="1" ht="30" customHeight="1" x14ac:dyDescent="0.25">
      <c r="A39" s="4"/>
      <c r="B39" s="4"/>
      <c r="C39" s="4"/>
      <c r="D39" s="5"/>
      <c r="E39" s="4"/>
      <c r="F39" s="4"/>
      <c r="G39" s="4"/>
      <c r="H39" s="4"/>
      <c r="I39" s="6"/>
      <c r="J39" s="4"/>
      <c r="K39" s="4"/>
      <c r="L39" s="4"/>
      <c r="M39" s="4"/>
      <c r="N39" s="4"/>
      <c r="O39" s="4"/>
    </row>
    <row r="40" spans="1:15" s="3" customFormat="1" ht="30" customHeight="1" x14ac:dyDescent="0.25">
      <c r="A40" s="4"/>
      <c r="B40" s="4"/>
      <c r="C40" s="4"/>
      <c r="D40" s="5"/>
      <c r="E40" s="4"/>
      <c r="F40" s="4"/>
      <c r="G40" s="4"/>
      <c r="H40" s="4"/>
      <c r="I40" s="6"/>
      <c r="J40" s="4"/>
      <c r="K40" s="4"/>
      <c r="L40" s="4"/>
      <c r="M40" s="4"/>
      <c r="N40" s="4"/>
      <c r="O40" s="4"/>
    </row>
    <row r="41" spans="1:15" s="3" customFormat="1" ht="30" customHeight="1" x14ac:dyDescent="0.25">
      <c r="A41" s="4"/>
      <c r="B41" s="4"/>
      <c r="C41" s="4"/>
      <c r="D41" s="5"/>
      <c r="E41" s="4"/>
      <c r="F41" s="4"/>
      <c r="G41" s="4"/>
      <c r="H41" s="4"/>
      <c r="I41" s="6"/>
      <c r="J41" s="4"/>
      <c r="K41" s="4"/>
      <c r="L41" s="4"/>
      <c r="M41" s="4"/>
      <c r="N41" s="4"/>
      <c r="O41" s="4"/>
    </row>
    <row r="42" spans="1:15" s="3" customFormat="1" ht="30" customHeight="1" x14ac:dyDescent="0.25">
      <c r="A42" s="4"/>
      <c r="B42" s="4"/>
      <c r="C42" s="4"/>
      <c r="D42" s="5"/>
      <c r="E42" s="4"/>
      <c r="F42" s="4"/>
      <c r="G42" s="4"/>
      <c r="H42" s="4"/>
      <c r="I42" s="6"/>
      <c r="J42" s="4"/>
      <c r="K42" s="4"/>
      <c r="L42" s="4"/>
      <c r="M42" s="4"/>
      <c r="N42" s="4"/>
      <c r="O42" s="4"/>
    </row>
    <row r="43" spans="1:15" s="3" customFormat="1" ht="30" customHeight="1" x14ac:dyDescent="0.25">
      <c r="A43" s="4"/>
      <c r="B43" s="4"/>
      <c r="C43" s="4"/>
      <c r="D43" s="5"/>
      <c r="E43" s="4"/>
      <c r="F43" s="4"/>
      <c r="G43" s="4"/>
      <c r="H43" s="4"/>
      <c r="I43" s="6"/>
      <c r="J43" s="4"/>
      <c r="K43" s="4"/>
      <c r="L43" s="4"/>
      <c r="M43" s="4"/>
      <c r="N43" s="4"/>
      <c r="O43" s="4"/>
    </row>
    <row r="44" spans="1:15" s="3" customFormat="1" ht="30" customHeight="1" x14ac:dyDescent="0.25">
      <c r="A44" s="4"/>
      <c r="B44" s="4"/>
      <c r="C44" s="4"/>
      <c r="D44" s="5"/>
      <c r="E44" s="4"/>
      <c r="F44" s="4"/>
      <c r="G44" s="4"/>
      <c r="H44" s="4"/>
      <c r="I44" s="6"/>
      <c r="J44" s="4"/>
      <c r="K44" s="4"/>
      <c r="L44" s="4"/>
      <c r="M44" s="4"/>
      <c r="N44" s="4"/>
      <c r="O44" s="4"/>
    </row>
    <row r="45" spans="1:15" s="3" customFormat="1" ht="30" customHeight="1" x14ac:dyDescent="0.25">
      <c r="A45" s="4"/>
      <c r="B45" s="4"/>
      <c r="C45" s="4"/>
      <c r="D45" s="5"/>
      <c r="E45" s="4"/>
      <c r="F45" s="4"/>
      <c r="G45" s="4"/>
      <c r="H45" s="4"/>
      <c r="I45" s="6"/>
      <c r="J45" s="4"/>
      <c r="K45" s="4"/>
      <c r="L45" s="4"/>
      <c r="M45" s="4"/>
      <c r="N45" s="4"/>
      <c r="O45" s="4"/>
    </row>
    <row r="46" spans="1:15" s="3" customFormat="1" ht="30" customHeight="1" x14ac:dyDescent="0.25">
      <c r="A46" s="4"/>
      <c r="B46" s="4"/>
      <c r="C46" s="4"/>
      <c r="D46" s="5"/>
      <c r="E46" s="4"/>
      <c r="F46" s="4"/>
      <c r="G46" s="4"/>
      <c r="H46" s="4"/>
      <c r="I46" s="6"/>
      <c r="J46" s="4"/>
      <c r="K46" s="4"/>
      <c r="L46" s="4"/>
      <c r="M46" s="4"/>
      <c r="N46" s="4"/>
      <c r="O46" s="4"/>
    </row>
    <row r="47" spans="1:15" s="3" customFormat="1" ht="30" customHeight="1" x14ac:dyDescent="0.25">
      <c r="A47" s="4"/>
      <c r="B47" s="4"/>
      <c r="C47" s="4"/>
      <c r="D47" s="5"/>
      <c r="E47" s="4"/>
      <c r="F47" s="4"/>
      <c r="G47" s="4"/>
      <c r="H47" s="4"/>
      <c r="I47" s="6"/>
      <c r="J47" s="4"/>
      <c r="K47" s="4"/>
      <c r="L47" s="4"/>
      <c r="M47" s="4"/>
      <c r="N47" s="4"/>
      <c r="O47" s="4"/>
    </row>
    <row r="48" spans="1:15" s="3" customFormat="1" ht="30" customHeight="1" x14ac:dyDescent="0.25">
      <c r="A48" s="4"/>
      <c r="B48" s="4"/>
      <c r="C48" s="4"/>
      <c r="D48" s="5"/>
      <c r="E48" s="4"/>
      <c r="F48" s="4"/>
      <c r="G48" s="4"/>
      <c r="H48" s="4"/>
      <c r="I48" s="6"/>
      <c r="J48" s="4"/>
      <c r="K48" s="4"/>
      <c r="L48" s="4"/>
      <c r="M48" s="4"/>
      <c r="N48" s="4"/>
      <c r="O48" s="4"/>
    </row>
    <row r="49" spans="1:19" s="3" customFormat="1" ht="30" customHeight="1" x14ac:dyDescent="0.25">
      <c r="A49" s="4"/>
      <c r="B49" s="4"/>
      <c r="C49" s="4"/>
      <c r="D49" s="5"/>
      <c r="E49" s="4"/>
      <c r="F49" s="4"/>
      <c r="G49" s="4"/>
      <c r="H49" s="4"/>
      <c r="I49" s="6"/>
      <c r="J49" s="4"/>
      <c r="K49" s="4"/>
      <c r="L49" s="4"/>
      <c r="M49" s="4"/>
      <c r="N49" s="4"/>
      <c r="O49" s="4"/>
    </row>
    <row r="50" spans="1:19" x14ac:dyDescent="0.2">
      <c r="Q50" s="3"/>
      <c r="R50" s="3"/>
      <c r="S50" s="3"/>
    </row>
    <row r="51" spans="1:19" x14ac:dyDescent="0.2">
      <c r="Q51" s="3"/>
      <c r="R51" s="3"/>
      <c r="S51" s="3"/>
    </row>
    <row r="52" spans="1:19" x14ac:dyDescent="0.2">
      <c r="Q52" s="3"/>
      <c r="R52" s="3"/>
      <c r="S52" s="3"/>
    </row>
    <row r="53" spans="1:19" x14ac:dyDescent="0.2">
      <c r="Q53" s="3"/>
      <c r="R53" s="3"/>
      <c r="S53" s="3"/>
    </row>
    <row r="54" spans="1:19" x14ac:dyDescent="0.2">
      <c r="Q54" s="3"/>
      <c r="R54" s="3"/>
      <c r="S54" s="3"/>
    </row>
    <row r="55" spans="1:19" x14ac:dyDescent="0.2">
      <c r="Q55" s="3"/>
      <c r="R55" s="3"/>
      <c r="S55" s="3"/>
    </row>
  </sheetData>
  <sortState xmlns:xlrd2="http://schemas.microsoft.com/office/spreadsheetml/2017/richdata2" ref="B8:O20">
    <sortCondition ref="B8:B20"/>
    <sortCondition ref="E8:E20"/>
    <sortCondition ref="F8:F20"/>
  </sortState>
  <mergeCells count="11">
    <mergeCell ref="F6:F7"/>
    <mergeCell ref="A6:A7"/>
    <mergeCell ref="B6:B7"/>
    <mergeCell ref="C6:C7"/>
    <mergeCell ref="D6:D7"/>
    <mergeCell ref="E6:E7"/>
    <mergeCell ref="G6:G7"/>
    <mergeCell ref="H6:H7"/>
    <mergeCell ref="J6:J7"/>
    <mergeCell ref="I6:I7"/>
    <mergeCell ref="K6:O6"/>
  </mergeCells>
  <phoneticPr fontId="5" type="noConversion"/>
  <pageMargins left="0.7" right="0.7" top="0.75" bottom="0.75" header="0.3" footer="0.3"/>
  <pageSetup scale="30" orientation="portrait" horizontalDpi="0" verticalDpi="0" r:id="rId1"/>
  <colBreaks count="1" manualBreakCount="1">
    <brk id="1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31BBB-BAB3-44BD-ADC3-293A835B9B45}">
  <sheetPr>
    <tabColor rgb="FF92D050"/>
  </sheetPr>
  <dimension ref="A1:S55"/>
  <sheetViews>
    <sheetView showGridLines="0" view="pageBreakPreview" zoomScale="55" zoomScaleNormal="70" zoomScaleSheetLayoutView="55" workbookViewId="0">
      <selection activeCell="C4" sqref="C4"/>
    </sheetView>
  </sheetViews>
  <sheetFormatPr defaultColWidth="9.140625" defaultRowHeight="14.25" outlineLevelCol="1" x14ac:dyDescent="0.2"/>
  <cols>
    <col min="1" max="1" width="8.7109375" style="7" customWidth="1" outlineLevel="1"/>
    <col min="2" max="2" width="8.28515625" style="7" customWidth="1" outlineLevel="1"/>
    <col min="3" max="3" width="26.85546875" style="7" customWidth="1"/>
    <col min="4" max="4" width="18.85546875" style="8" bestFit="1" customWidth="1"/>
    <col min="5" max="5" width="29.5703125" style="7" bestFit="1" customWidth="1"/>
    <col min="6" max="6" width="22.5703125" style="7" bestFit="1" customWidth="1"/>
    <col min="7" max="7" width="19.5703125" style="7" customWidth="1"/>
    <col min="8" max="8" width="18.7109375" style="7" customWidth="1" outlineLevel="1"/>
    <col min="9" max="9" width="18.5703125" style="7" customWidth="1" outlineLevel="1"/>
    <col min="10" max="10" width="22.140625" style="7" customWidth="1" outlineLevel="1"/>
    <col min="11" max="15" width="18.5703125" style="7" customWidth="1" outlineLevel="1"/>
    <col min="16" max="17" width="9.140625" style="7" customWidth="1" outlineLevel="1"/>
    <col min="18" max="18" width="20.42578125" style="7" bestFit="1" customWidth="1" outlineLevel="1"/>
    <col min="19" max="19" width="9.140625" style="7" customWidth="1" outlineLevel="1"/>
    <col min="20" max="16384" width="9.140625" style="7"/>
  </cols>
  <sheetData>
    <row r="1" spans="1:19" ht="20.25" x14ac:dyDescent="0.3">
      <c r="C1" s="10" t="s">
        <v>1</v>
      </c>
    </row>
    <row r="2" spans="1:19" ht="15" x14ac:dyDescent="0.25">
      <c r="C2" s="9" t="s">
        <v>5</v>
      </c>
    </row>
    <row r="3" spans="1:19" ht="15" x14ac:dyDescent="0.25">
      <c r="C3" s="9"/>
    </row>
    <row r="4" spans="1:19" x14ac:dyDescent="0.2">
      <c r="C4" s="5" t="s">
        <v>290</v>
      </c>
      <c r="D4" s="8" t="s">
        <v>285</v>
      </c>
    </row>
    <row r="5" spans="1:19" x14ac:dyDescent="0.2">
      <c r="C5" s="7" t="s">
        <v>263</v>
      </c>
      <c r="I5" s="29">
        <f>SUM(I8:I55)</f>
        <v>0</v>
      </c>
      <c r="K5" s="29">
        <f>SUM(K8:K55)</f>
        <v>0</v>
      </c>
      <c r="L5" s="29">
        <f t="shared" ref="L5:O5" si="0">SUM(L8:L55)</f>
        <v>0</v>
      </c>
      <c r="M5" s="29">
        <f t="shared" si="0"/>
        <v>0</v>
      </c>
      <c r="N5" s="29">
        <f t="shared" si="0"/>
        <v>0</v>
      </c>
      <c r="O5" s="29">
        <f t="shared" si="0"/>
        <v>0</v>
      </c>
    </row>
    <row r="6" spans="1:19" s="3" customFormat="1" ht="30" customHeight="1" x14ac:dyDescent="0.25">
      <c r="A6" s="127" t="s">
        <v>55</v>
      </c>
      <c r="B6" s="127" t="s">
        <v>59</v>
      </c>
      <c r="C6" s="127" t="s">
        <v>58</v>
      </c>
      <c r="D6" s="127" t="s">
        <v>98</v>
      </c>
      <c r="E6" s="134" t="s">
        <v>99</v>
      </c>
      <c r="F6" s="134"/>
      <c r="G6" s="127" t="s">
        <v>101</v>
      </c>
      <c r="H6" s="127" t="s">
        <v>102</v>
      </c>
      <c r="I6" s="129" t="s">
        <v>103</v>
      </c>
      <c r="J6" s="127" t="s">
        <v>93</v>
      </c>
      <c r="K6" s="131" t="s">
        <v>54</v>
      </c>
      <c r="L6" s="132"/>
      <c r="M6" s="132"/>
      <c r="N6" s="132"/>
      <c r="O6" s="133"/>
    </row>
    <row r="7" spans="1:19" s="3" customFormat="1" ht="30" customHeight="1" x14ac:dyDescent="0.2">
      <c r="A7" s="128"/>
      <c r="B7" s="128"/>
      <c r="C7" s="128"/>
      <c r="D7" s="128"/>
      <c r="E7" s="16" t="s">
        <v>100</v>
      </c>
      <c r="F7" s="16" t="s">
        <v>64</v>
      </c>
      <c r="G7" s="128"/>
      <c r="H7" s="128"/>
      <c r="I7" s="130"/>
      <c r="J7" s="128"/>
      <c r="K7" s="15">
        <v>2024</v>
      </c>
      <c r="L7" s="15">
        <v>2023</v>
      </c>
      <c r="M7" s="15">
        <v>2022</v>
      </c>
      <c r="N7" s="15">
        <v>2021</v>
      </c>
      <c r="O7" s="15">
        <v>2020</v>
      </c>
      <c r="Q7" s="7" t="s">
        <v>30</v>
      </c>
      <c r="R7" s="7" t="s">
        <v>30</v>
      </c>
      <c r="S7" s="7" t="s">
        <v>30</v>
      </c>
    </row>
    <row r="8" spans="1:19" s="3" customFormat="1" ht="30" customHeight="1" x14ac:dyDescent="0.25">
      <c r="A8" s="4">
        <v>1</v>
      </c>
      <c r="B8" s="4" t="str">
        <f>VLOOKUP(C8,$R:$S,2,0)</f>
        <v>-</v>
      </c>
      <c r="C8" s="4" t="s">
        <v>30</v>
      </c>
      <c r="D8" s="5"/>
      <c r="E8" s="5"/>
      <c r="F8" s="5"/>
      <c r="G8" s="11"/>
      <c r="H8" s="4"/>
      <c r="I8" s="6"/>
      <c r="J8" s="4"/>
      <c r="K8" s="11"/>
      <c r="L8" s="11"/>
      <c r="M8" s="11"/>
      <c r="N8" s="11"/>
      <c r="O8" s="11"/>
      <c r="Q8" s="24" t="s">
        <v>104</v>
      </c>
      <c r="R8" s="25" t="s">
        <v>105</v>
      </c>
      <c r="S8" s="24" t="s">
        <v>104</v>
      </c>
    </row>
    <row r="9" spans="1:19" s="3" customFormat="1" ht="30" customHeight="1" x14ac:dyDescent="0.25">
      <c r="A9" s="4">
        <f>A8+1</f>
        <v>2</v>
      </c>
      <c r="B9" s="4"/>
      <c r="C9" s="4"/>
      <c r="D9" s="5"/>
      <c r="E9" s="5"/>
      <c r="F9" s="5"/>
      <c r="G9" s="4"/>
      <c r="H9" s="4"/>
      <c r="I9" s="6"/>
      <c r="J9" s="4"/>
      <c r="K9" s="11"/>
      <c r="L9" s="11"/>
      <c r="M9" s="11"/>
      <c r="N9" s="11"/>
      <c r="O9" s="11"/>
      <c r="Q9" s="24" t="s">
        <v>106</v>
      </c>
      <c r="R9" s="25" t="s">
        <v>107</v>
      </c>
      <c r="S9" s="24" t="s">
        <v>106</v>
      </c>
    </row>
    <row r="10" spans="1:19" s="3" customFormat="1" ht="30" customHeight="1" x14ac:dyDescent="0.25">
      <c r="A10" s="4">
        <f t="shared" ref="A10:A55" si="1">A9+1</f>
        <v>3</v>
      </c>
      <c r="B10" s="4"/>
      <c r="C10" s="4"/>
      <c r="D10" s="5"/>
      <c r="E10" s="5"/>
      <c r="F10" s="5"/>
      <c r="G10" s="4"/>
      <c r="H10" s="4"/>
      <c r="I10" s="6"/>
      <c r="J10" s="4"/>
      <c r="K10" s="11"/>
      <c r="L10" s="11"/>
      <c r="M10" s="11"/>
      <c r="N10" s="11"/>
      <c r="O10" s="11"/>
      <c r="Q10" s="24" t="s">
        <v>108</v>
      </c>
      <c r="R10" s="25" t="s">
        <v>109</v>
      </c>
      <c r="S10" s="24" t="s">
        <v>108</v>
      </c>
    </row>
    <row r="11" spans="1:19" s="3" customFormat="1" ht="30" customHeight="1" x14ac:dyDescent="0.25">
      <c r="A11" s="4">
        <f t="shared" si="1"/>
        <v>4</v>
      </c>
      <c r="B11" s="4"/>
      <c r="C11" s="4"/>
      <c r="D11" s="5"/>
      <c r="E11" s="5"/>
      <c r="F11" s="5"/>
      <c r="G11" s="4"/>
      <c r="H11" s="4"/>
      <c r="I11" s="6"/>
      <c r="J11" s="4"/>
      <c r="K11" s="11"/>
      <c r="L11" s="11"/>
      <c r="M11" s="11"/>
      <c r="N11" s="11"/>
      <c r="O11" s="11"/>
      <c r="Q11" s="1"/>
      <c r="R11" s="2"/>
      <c r="S11" s="1"/>
    </row>
    <row r="12" spans="1:19" s="3" customFormat="1" ht="30" customHeight="1" x14ac:dyDescent="0.25">
      <c r="A12" s="4">
        <f t="shared" si="1"/>
        <v>5</v>
      </c>
      <c r="B12" s="4"/>
      <c r="C12" s="4"/>
      <c r="D12" s="4"/>
      <c r="E12" s="5"/>
      <c r="F12" s="5"/>
      <c r="G12" s="4"/>
      <c r="H12" s="4"/>
      <c r="I12" s="6"/>
      <c r="J12" s="4"/>
      <c r="K12" s="11"/>
      <c r="L12" s="11"/>
      <c r="M12" s="11"/>
      <c r="N12" s="11"/>
      <c r="O12" s="11"/>
      <c r="Q12" s="1"/>
      <c r="R12" s="2"/>
      <c r="S12" s="1"/>
    </row>
    <row r="13" spans="1:19" s="3" customFormat="1" ht="30" customHeight="1" x14ac:dyDescent="0.25">
      <c r="A13" s="4">
        <f t="shared" si="1"/>
        <v>6</v>
      </c>
      <c r="B13" s="4"/>
      <c r="C13" s="4"/>
      <c r="D13" s="4"/>
      <c r="E13" s="5"/>
      <c r="F13" s="5"/>
      <c r="G13" s="4"/>
      <c r="H13" s="4"/>
      <c r="I13" s="6"/>
      <c r="J13" s="4"/>
      <c r="K13" s="11"/>
      <c r="L13" s="11"/>
      <c r="M13" s="11"/>
      <c r="N13" s="11"/>
      <c r="O13" s="11"/>
      <c r="Q13" s="1"/>
      <c r="R13" s="2"/>
      <c r="S13" s="1"/>
    </row>
    <row r="14" spans="1:19" s="3" customFormat="1" ht="30" customHeight="1" x14ac:dyDescent="0.25">
      <c r="A14" s="4">
        <f t="shared" si="1"/>
        <v>7</v>
      </c>
      <c r="B14" s="4"/>
      <c r="C14" s="4"/>
      <c r="D14" s="4"/>
      <c r="E14" s="5"/>
      <c r="F14" s="5"/>
      <c r="G14" s="4"/>
      <c r="H14" s="4"/>
      <c r="I14" s="6"/>
      <c r="J14" s="4"/>
      <c r="K14" s="11"/>
      <c r="L14" s="11"/>
      <c r="M14" s="11"/>
      <c r="N14" s="11"/>
      <c r="O14" s="11"/>
      <c r="Q14" s="1"/>
      <c r="R14" s="2"/>
      <c r="S14" s="1"/>
    </row>
    <row r="15" spans="1:19" s="3" customFormat="1" ht="30" customHeight="1" x14ac:dyDescent="0.25">
      <c r="A15" s="4">
        <f t="shared" si="1"/>
        <v>8</v>
      </c>
      <c r="B15" s="4"/>
      <c r="C15" s="4"/>
      <c r="D15" s="4"/>
      <c r="E15" s="5"/>
      <c r="F15" s="5"/>
      <c r="G15" s="4"/>
      <c r="H15" s="4"/>
      <c r="I15" s="6"/>
      <c r="J15" s="4"/>
      <c r="K15" s="11"/>
      <c r="L15" s="11"/>
      <c r="M15" s="11"/>
      <c r="N15" s="11"/>
      <c r="O15" s="11"/>
      <c r="Q15" s="1"/>
      <c r="R15" s="2"/>
      <c r="S15" s="1"/>
    </row>
    <row r="16" spans="1:19" s="3" customFormat="1" ht="30" customHeight="1" x14ac:dyDescent="0.25">
      <c r="A16" s="4">
        <f t="shared" si="1"/>
        <v>9</v>
      </c>
      <c r="B16" s="4"/>
      <c r="C16" s="4"/>
      <c r="D16" s="4"/>
      <c r="E16" s="5"/>
      <c r="F16" s="5"/>
      <c r="G16" s="4"/>
      <c r="H16" s="4"/>
      <c r="I16" s="6"/>
      <c r="J16" s="4"/>
      <c r="K16" s="11"/>
      <c r="L16" s="11"/>
      <c r="M16" s="11"/>
      <c r="N16" s="11"/>
      <c r="O16" s="11"/>
    </row>
    <row r="17" spans="1:19" s="3" customFormat="1" ht="30" customHeight="1" x14ac:dyDescent="0.25">
      <c r="A17" s="4">
        <f t="shared" si="1"/>
        <v>10</v>
      </c>
      <c r="B17" s="4"/>
      <c r="C17" s="4"/>
      <c r="D17" s="4"/>
      <c r="E17" s="5"/>
      <c r="F17" s="5"/>
      <c r="G17" s="4"/>
      <c r="H17" s="4"/>
      <c r="I17" s="6"/>
      <c r="J17" s="4"/>
      <c r="K17" s="11"/>
      <c r="L17" s="11"/>
      <c r="M17" s="11"/>
      <c r="N17" s="11"/>
      <c r="O17" s="11"/>
      <c r="Q17" s="1"/>
      <c r="R17" s="2"/>
      <c r="S17" s="1"/>
    </row>
    <row r="18" spans="1:19" s="3" customFormat="1" ht="30" customHeight="1" x14ac:dyDescent="0.25">
      <c r="A18" s="4">
        <f t="shared" si="1"/>
        <v>11</v>
      </c>
      <c r="B18" s="4"/>
      <c r="C18" s="4"/>
      <c r="D18" s="4"/>
      <c r="E18" s="5"/>
      <c r="F18" s="5"/>
      <c r="G18" s="4"/>
      <c r="H18" s="4"/>
      <c r="I18" s="6"/>
      <c r="J18" s="4"/>
      <c r="K18" s="11"/>
      <c r="L18" s="11"/>
      <c r="M18" s="11"/>
      <c r="N18" s="11"/>
      <c r="O18" s="11"/>
    </row>
    <row r="19" spans="1:19" s="3" customFormat="1" ht="30" customHeight="1" x14ac:dyDescent="0.25">
      <c r="A19" s="4">
        <f t="shared" si="1"/>
        <v>12</v>
      </c>
      <c r="B19" s="4"/>
      <c r="C19" s="4"/>
      <c r="D19" s="4"/>
      <c r="E19" s="5"/>
      <c r="F19" s="5"/>
      <c r="G19" s="4"/>
      <c r="H19" s="4"/>
      <c r="I19" s="6"/>
      <c r="J19" s="4"/>
      <c r="K19" s="11"/>
      <c r="L19" s="11"/>
      <c r="M19" s="11"/>
      <c r="N19" s="11"/>
      <c r="O19" s="11"/>
    </row>
    <row r="20" spans="1:19" s="3" customFormat="1" ht="30" customHeight="1" x14ac:dyDescent="0.25">
      <c r="A20" s="4">
        <f t="shared" si="1"/>
        <v>13</v>
      </c>
      <c r="B20" s="4"/>
      <c r="C20" s="4"/>
      <c r="D20" s="4"/>
      <c r="E20" s="5"/>
      <c r="F20" s="5"/>
      <c r="G20" s="4"/>
      <c r="H20" s="4"/>
      <c r="I20" s="6"/>
      <c r="J20" s="4"/>
      <c r="K20" s="11"/>
      <c r="L20" s="11"/>
      <c r="M20" s="11"/>
      <c r="N20" s="11"/>
      <c r="O20" s="11"/>
    </row>
    <row r="21" spans="1:19" s="3" customFormat="1" ht="30" customHeight="1" x14ac:dyDescent="0.25">
      <c r="A21" s="4">
        <f t="shared" si="1"/>
        <v>14</v>
      </c>
      <c r="B21" s="4"/>
      <c r="C21" s="4"/>
      <c r="D21" s="4"/>
      <c r="E21" s="5"/>
      <c r="F21" s="5"/>
      <c r="G21" s="4"/>
      <c r="H21" s="4"/>
      <c r="I21" s="6"/>
      <c r="J21" s="4"/>
      <c r="K21" s="11"/>
      <c r="L21" s="11"/>
      <c r="M21" s="11"/>
      <c r="N21" s="11"/>
      <c r="O21" s="11"/>
    </row>
    <row r="22" spans="1:19" s="3" customFormat="1" ht="30" customHeight="1" x14ac:dyDescent="0.25">
      <c r="A22" s="4">
        <f t="shared" si="1"/>
        <v>15</v>
      </c>
      <c r="B22" s="4"/>
      <c r="C22" s="4"/>
      <c r="D22" s="4"/>
      <c r="E22" s="5"/>
      <c r="F22" s="5"/>
      <c r="G22" s="4"/>
      <c r="H22" s="4"/>
      <c r="I22" s="6"/>
      <c r="J22" s="4"/>
      <c r="K22" s="12"/>
      <c r="L22" s="12"/>
      <c r="M22" s="12"/>
      <c r="N22" s="12"/>
      <c r="O22" s="12"/>
    </row>
    <row r="23" spans="1:19" s="3" customFormat="1" ht="30" customHeight="1" x14ac:dyDescent="0.25">
      <c r="A23" s="4">
        <f t="shared" si="1"/>
        <v>16</v>
      </c>
      <c r="B23" s="4"/>
      <c r="C23" s="4"/>
      <c r="D23" s="4"/>
      <c r="E23" s="5"/>
      <c r="F23" s="5"/>
      <c r="G23" s="4"/>
      <c r="H23" s="4"/>
      <c r="I23" s="6"/>
      <c r="J23" s="4"/>
      <c r="K23" s="12"/>
      <c r="L23" s="12"/>
      <c r="M23" s="12"/>
      <c r="N23" s="12"/>
      <c r="O23" s="12"/>
    </row>
    <row r="24" spans="1:19" s="3" customFormat="1" ht="30" customHeight="1" x14ac:dyDescent="0.25">
      <c r="A24" s="4">
        <f t="shared" si="1"/>
        <v>17</v>
      </c>
      <c r="B24" s="4"/>
      <c r="C24" s="4"/>
      <c r="D24" s="4"/>
      <c r="E24" s="5"/>
      <c r="F24" s="5"/>
      <c r="G24" s="4"/>
      <c r="H24" s="4"/>
      <c r="I24" s="6"/>
      <c r="J24" s="4"/>
      <c r="K24" s="12"/>
      <c r="L24" s="12"/>
      <c r="M24" s="12"/>
      <c r="N24" s="12"/>
      <c r="O24" s="12"/>
    </row>
    <row r="25" spans="1:19" s="3" customFormat="1" ht="30" customHeight="1" x14ac:dyDescent="0.25">
      <c r="A25" s="4">
        <f t="shared" si="1"/>
        <v>18</v>
      </c>
      <c r="B25" s="4"/>
      <c r="C25" s="4"/>
      <c r="D25" s="5"/>
      <c r="E25" s="5"/>
      <c r="F25" s="5"/>
      <c r="G25" s="4"/>
      <c r="H25" s="4"/>
      <c r="I25" s="6"/>
      <c r="J25" s="4"/>
      <c r="K25" s="12"/>
      <c r="L25" s="12"/>
      <c r="M25" s="12"/>
      <c r="N25" s="12"/>
      <c r="O25" s="12"/>
    </row>
    <row r="26" spans="1:19" s="3" customFormat="1" ht="30" customHeight="1" x14ac:dyDescent="0.25">
      <c r="A26" s="4">
        <f t="shared" si="1"/>
        <v>19</v>
      </c>
      <c r="B26" s="4"/>
      <c r="C26" s="4"/>
      <c r="D26" s="5"/>
      <c r="E26" s="4"/>
      <c r="F26" s="4"/>
      <c r="G26" s="4"/>
      <c r="H26" s="4"/>
      <c r="I26" s="6"/>
      <c r="J26" s="4"/>
      <c r="K26" s="12"/>
      <c r="L26" s="12"/>
      <c r="M26" s="12"/>
      <c r="N26" s="12"/>
      <c r="O26" s="12"/>
    </row>
    <row r="27" spans="1:19" s="3" customFormat="1" ht="30" customHeight="1" x14ac:dyDescent="0.25">
      <c r="A27" s="4">
        <f t="shared" si="1"/>
        <v>20</v>
      </c>
      <c r="B27" s="4"/>
      <c r="C27" s="4"/>
      <c r="D27" s="5"/>
      <c r="E27" s="4"/>
      <c r="F27" s="4"/>
      <c r="G27" s="4"/>
      <c r="H27" s="4"/>
      <c r="I27" s="6"/>
      <c r="J27" s="4"/>
      <c r="K27" s="12"/>
      <c r="L27" s="12"/>
      <c r="M27" s="12"/>
      <c r="N27" s="12"/>
      <c r="O27" s="12"/>
    </row>
    <row r="28" spans="1:19" s="3" customFormat="1" ht="30" customHeight="1" x14ac:dyDescent="0.25">
      <c r="A28" s="4">
        <f t="shared" si="1"/>
        <v>21</v>
      </c>
      <c r="B28" s="4"/>
      <c r="C28" s="4"/>
      <c r="D28" s="5"/>
      <c r="E28" s="4"/>
      <c r="F28" s="4"/>
      <c r="G28" s="4"/>
      <c r="H28" s="4"/>
      <c r="I28" s="6"/>
      <c r="J28" s="4"/>
      <c r="K28" s="4"/>
      <c r="L28" s="4"/>
      <c r="M28" s="4"/>
      <c r="N28" s="4"/>
      <c r="O28" s="4"/>
    </row>
    <row r="29" spans="1:19" s="3" customFormat="1" ht="30" customHeight="1" x14ac:dyDescent="0.25">
      <c r="A29" s="4">
        <f t="shared" si="1"/>
        <v>22</v>
      </c>
      <c r="B29" s="4"/>
      <c r="C29" s="4"/>
      <c r="D29" s="5"/>
      <c r="E29" s="4"/>
      <c r="F29" s="4"/>
      <c r="G29" s="4"/>
      <c r="H29" s="4"/>
      <c r="I29" s="6"/>
      <c r="J29" s="4"/>
      <c r="K29" s="4"/>
      <c r="L29" s="4"/>
      <c r="M29" s="4"/>
      <c r="N29" s="4"/>
      <c r="O29" s="4"/>
    </row>
    <row r="30" spans="1:19" s="3" customFormat="1" ht="30" customHeight="1" x14ac:dyDescent="0.25">
      <c r="A30" s="4">
        <f t="shared" si="1"/>
        <v>23</v>
      </c>
      <c r="B30" s="4"/>
      <c r="C30" s="4"/>
      <c r="D30" s="5"/>
      <c r="E30" s="4"/>
      <c r="F30" s="4"/>
      <c r="G30" s="4"/>
      <c r="H30" s="4"/>
      <c r="I30" s="6"/>
      <c r="J30" s="4"/>
      <c r="K30" s="4"/>
      <c r="L30" s="4"/>
      <c r="M30" s="4"/>
      <c r="N30" s="4"/>
      <c r="O30" s="4"/>
    </row>
    <row r="31" spans="1:19" s="3" customFormat="1" ht="30" customHeight="1" x14ac:dyDescent="0.25">
      <c r="A31" s="4">
        <f t="shared" si="1"/>
        <v>24</v>
      </c>
      <c r="B31" s="4"/>
      <c r="C31" s="4"/>
      <c r="D31" s="5"/>
      <c r="E31" s="4"/>
      <c r="F31" s="4"/>
      <c r="G31" s="4"/>
      <c r="H31" s="4"/>
      <c r="I31" s="6"/>
      <c r="J31" s="4"/>
      <c r="K31" s="4"/>
      <c r="L31" s="4"/>
      <c r="M31" s="4"/>
      <c r="N31" s="4"/>
      <c r="O31" s="4"/>
    </row>
    <row r="32" spans="1:19" s="3" customFormat="1" ht="30" customHeight="1" x14ac:dyDescent="0.25">
      <c r="A32" s="4">
        <f t="shared" si="1"/>
        <v>25</v>
      </c>
      <c r="B32" s="4"/>
      <c r="C32" s="4"/>
      <c r="D32" s="5"/>
      <c r="E32" s="4"/>
      <c r="F32" s="4"/>
      <c r="G32" s="4"/>
      <c r="H32" s="4"/>
      <c r="I32" s="6"/>
      <c r="J32" s="4"/>
      <c r="K32" s="4"/>
      <c r="L32" s="4"/>
      <c r="M32" s="4"/>
      <c r="N32" s="4"/>
      <c r="O32" s="4"/>
    </row>
    <row r="33" spans="1:15" s="3" customFormat="1" ht="30" customHeight="1" x14ac:dyDescent="0.25">
      <c r="A33" s="4">
        <f t="shared" si="1"/>
        <v>26</v>
      </c>
      <c r="B33" s="4"/>
      <c r="C33" s="4"/>
      <c r="D33" s="5"/>
      <c r="E33" s="4"/>
      <c r="F33" s="4"/>
      <c r="G33" s="4"/>
      <c r="H33" s="4"/>
      <c r="I33" s="6"/>
      <c r="J33" s="4"/>
      <c r="K33" s="4"/>
      <c r="L33" s="4"/>
      <c r="M33" s="4"/>
      <c r="N33" s="4"/>
      <c r="O33" s="4"/>
    </row>
    <row r="34" spans="1:15" s="3" customFormat="1" ht="30" customHeight="1" x14ac:dyDescent="0.25">
      <c r="A34" s="4">
        <f t="shared" si="1"/>
        <v>27</v>
      </c>
      <c r="B34" s="4"/>
      <c r="C34" s="4"/>
      <c r="D34" s="5"/>
      <c r="E34" s="4"/>
      <c r="F34" s="4"/>
      <c r="G34" s="4"/>
      <c r="H34" s="4"/>
      <c r="I34" s="6"/>
      <c r="J34" s="4"/>
      <c r="K34" s="4"/>
      <c r="L34" s="4"/>
      <c r="M34" s="4"/>
      <c r="N34" s="4"/>
      <c r="O34" s="4"/>
    </row>
    <row r="35" spans="1:15" s="3" customFormat="1" ht="30" customHeight="1" x14ac:dyDescent="0.25">
      <c r="A35" s="4">
        <f t="shared" si="1"/>
        <v>28</v>
      </c>
      <c r="B35" s="4"/>
      <c r="C35" s="4"/>
      <c r="D35" s="5"/>
      <c r="E35" s="4"/>
      <c r="F35" s="4"/>
      <c r="G35" s="4"/>
      <c r="H35" s="4"/>
      <c r="I35" s="6"/>
      <c r="J35" s="4"/>
      <c r="K35" s="4"/>
      <c r="L35" s="4"/>
      <c r="M35" s="4"/>
      <c r="N35" s="4"/>
      <c r="O35" s="4"/>
    </row>
    <row r="36" spans="1:15" s="3" customFormat="1" ht="30" customHeight="1" x14ac:dyDescent="0.25">
      <c r="A36" s="4">
        <f t="shared" si="1"/>
        <v>29</v>
      </c>
      <c r="B36" s="4"/>
      <c r="C36" s="4"/>
      <c r="D36" s="5"/>
      <c r="E36" s="4"/>
      <c r="F36" s="4"/>
      <c r="G36" s="4"/>
      <c r="H36" s="4"/>
      <c r="I36" s="6"/>
      <c r="J36" s="4"/>
      <c r="K36" s="4"/>
      <c r="L36" s="4"/>
      <c r="M36" s="4"/>
      <c r="N36" s="4"/>
      <c r="O36" s="4"/>
    </row>
    <row r="37" spans="1:15" s="3" customFormat="1" ht="30" customHeight="1" x14ac:dyDescent="0.25">
      <c r="A37" s="4">
        <f t="shared" si="1"/>
        <v>30</v>
      </c>
      <c r="B37" s="4"/>
      <c r="C37" s="4"/>
      <c r="D37" s="5"/>
      <c r="E37" s="4"/>
      <c r="F37" s="4"/>
      <c r="G37" s="4"/>
      <c r="H37" s="4"/>
      <c r="I37" s="6"/>
      <c r="J37" s="4"/>
      <c r="K37" s="4"/>
      <c r="L37" s="4"/>
      <c r="M37" s="4"/>
      <c r="N37" s="4"/>
      <c r="O37" s="4"/>
    </row>
    <row r="38" spans="1:15" s="3" customFormat="1" ht="30" customHeight="1" x14ac:dyDescent="0.25">
      <c r="A38" s="4">
        <f t="shared" si="1"/>
        <v>31</v>
      </c>
      <c r="B38" s="4"/>
      <c r="C38" s="4"/>
      <c r="D38" s="5"/>
      <c r="E38" s="4"/>
      <c r="F38" s="4"/>
      <c r="G38" s="4"/>
      <c r="H38" s="4"/>
      <c r="I38" s="6"/>
      <c r="J38" s="4"/>
      <c r="K38" s="4"/>
      <c r="L38" s="4"/>
      <c r="M38" s="4"/>
      <c r="N38" s="4"/>
      <c r="O38" s="4"/>
    </row>
    <row r="39" spans="1:15" s="3" customFormat="1" ht="30" customHeight="1" x14ac:dyDescent="0.25">
      <c r="A39" s="4">
        <f t="shared" si="1"/>
        <v>32</v>
      </c>
      <c r="B39" s="4"/>
      <c r="C39" s="4"/>
      <c r="D39" s="5"/>
      <c r="E39" s="4"/>
      <c r="F39" s="4"/>
      <c r="G39" s="4"/>
      <c r="H39" s="4"/>
      <c r="I39" s="6"/>
      <c r="J39" s="4"/>
      <c r="K39" s="4"/>
      <c r="L39" s="4"/>
      <c r="M39" s="4"/>
      <c r="N39" s="4"/>
      <c r="O39" s="4"/>
    </row>
    <row r="40" spans="1:15" s="3" customFormat="1" ht="30" customHeight="1" x14ac:dyDescent="0.25">
      <c r="A40" s="4">
        <f t="shared" si="1"/>
        <v>33</v>
      </c>
      <c r="B40" s="4"/>
      <c r="C40" s="4"/>
      <c r="D40" s="5"/>
      <c r="E40" s="4"/>
      <c r="F40" s="4"/>
      <c r="G40" s="4"/>
      <c r="H40" s="4"/>
      <c r="I40" s="6"/>
      <c r="J40" s="4"/>
      <c r="K40" s="4"/>
      <c r="L40" s="4"/>
      <c r="M40" s="4"/>
      <c r="N40" s="4"/>
      <c r="O40" s="4"/>
    </row>
    <row r="41" spans="1:15" s="3" customFormat="1" ht="30" customHeight="1" x14ac:dyDescent="0.25">
      <c r="A41" s="4">
        <f t="shared" si="1"/>
        <v>34</v>
      </c>
      <c r="B41" s="4"/>
      <c r="C41" s="4"/>
      <c r="D41" s="5"/>
      <c r="E41" s="4"/>
      <c r="F41" s="4"/>
      <c r="G41" s="4"/>
      <c r="H41" s="4"/>
      <c r="I41" s="6"/>
      <c r="J41" s="4"/>
      <c r="K41" s="4"/>
      <c r="L41" s="4"/>
      <c r="M41" s="4"/>
      <c r="N41" s="4"/>
      <c r="O41" s="4"/>
    </row>
    <row r="42" spans="1:15" s="3" customFormat="1" ht="30" customHeight="1" x14ac:dyDescent="0.25">
      <c r="A42" s="4">
        <f t="shared" si="1"/>
        <v>35</v>
      </c>
      <c r="B42" s="4"/>
      <c r="C42" s="4"/>
      <c r="D42" s="5"/>
      <c r="E42" s="4"/>
      <c r="F42" s="4"/>
      <c r="G42" s="4"/>
      <c r="H42" s="4"/>
      <c r="I42" s="6"/>
      <c r="J42" s="4"/>
      <c r="K42" s="4"/>
      <c r="L42" s="4"/>
      <c r="M42" s="4"/>
      <c r="N42" s="4"/>
      <c r="O42" s="4"/>
    </row>
    <row r="43" spans="1:15" s="3" customFormat="1" ht="30" customHeight="1" x14ac:dyDescent="0.25">
      <c r="A43" s="4">
        <f t="shared" si="1"/>
        <v>36</v>
      </c>
      <c r="B43" s="4"/>
      <c r="C43" s="4"/>
      <c r="D43" s="5"/>
      <c r="E43" s="4"/>
      <c r="F43" s="4"/>
      <c r="G43" s="4"/>
      <c r="H43" s="4"/>
      <c r="I43" s="6"/>
      <c r="J43" s="4"/>
      <c r="K43" s="4"/>
      <c r="L43" s="4"/>
      <c r="M43" s="4"/>
      <c r="N43" s="4"/>
      <c r="O43" s="4"/>
    </row>
    <row r="44" spans="1:15" s="3" customFormat="1" ht="30" customHeight="1" x14ac:dyDescent="0.25">
      <c r="A44" s="4">
        <f t="shared" si="1"/>
        <v>37</v>
      </c>
      <c r="B44" s="4"/>
      <c r="C44" s="4"/>
      <c r="D44" s="5"/>
      <c r="E44" s="4"/>
      <c r="F44" s="4"/>
      <c r="G44" s="4"/>
      <c r="H44" s="4"/>
      <c r="I44" s="6"/>
      <c r="J44" s="4"/>
      <c r="K44" s="4"/>
      <c r="L44" s="4"/>
      <c r="M44" s="4"/>
      <c r="N44" s="4"/>
      <c r="O44" s="4"/>
    </row>
    <row r="45" spans="1:15" s="3" customFormat="1" ht="30" customHeight="1" x14ac:dyDescent="0.25">
      <c r="A45" s="4">
        <f t="shared" si="1"/>
        <v>38</v>
      </c>
      <c r="B45" s="4"/>
      <c r="C45" s="4"/>
      <c r="D45" s="5"/>
      <c r="E45" s="4"/>
      <c r="F45" s="4"/>
      <c r="G45" s="4"/>
      <c r="H45" s="4"/>
      <c r="I45" s="6"/>
      <c r="J45" s="4"/>
      <c r="K45" s="4"/>
      <c r="L45" s="4"/>
      <c r="M45" s="4"/>
      <c r="N45" s="4"/>
      <c r="O45" s="4"/>
    </row>
    <row r="46" spans="1:15" s="3" customFormat="1" ht="30" customHeight="1" x14ac:dyDescent="0.25">
      <c r="A46" s="4">
        <f t="shared" si="1"/>
        <v>39</v>
      </c>
      <c r="B46" s="4"/>
      <c r="C46" s="4"/>
      <c r="D46" s="5"/>
      <c r="E46" s="4"/>
      <c r="F46" s="4"/>
      <c r="G46" s="4"/>
      <c r="H46" s="4"/>
      <c r="I46" s="6"/>
      <c r="J46" s="4"/>
      <c r="K46" s="4"/>
      <c r="L46" s="4"/>
      <c r="M46" s="4"/>
      <c r="N46" s="4"/>
      <c r="O46" s="4"/>
    </row>
    <row r="47" spans="1:15" s="3" customFormat="1" ht="30" customHeight="1" x14ac:dyDescent="0.25">
      <c r="A47" s="4">
        <f t="shared" si="1"/>
        <v>40</v>
      </c>
      <c r="B47" s="4"/>
      <c r="C47" s="4"/>
      <c r="D47" s="5"/>
      <c r="E47" s="4"/>
      <c r="F47" s="4"/>
      <c r="G47" s="4"/>
      <c r="H47" s="4"/>
      <c r="I47" s="6"/>
      <c r="J47" s="4"/>
      <c r="K47" s="4"/>
      <c r="L47" s="4"/>
      <c r="M47" s="4"/>
      <c r="N47" s="4"/>
      <c r="O47" s="4"/>
    </row>
    <row r="48" spans="1:15" s="3" customFormat="1" ht="30" customHeight="1" x14ac:dyDescent="0.25">
      <c r="A48" s="4">
        <f t="shared" si="1"/>
        <v>41</v>
      </c>
      <c r="B48" s="4"/>
      <c r="C48" s="4"/>
      <c r="D48" s="5"/>
      <c r="E48" s="4"/>
      <c r="F48" s="4"/>
      <c r="G48" s="4"/>
      <c r="H48" s="4"/>
      <c r="I48" s="6"/>
      <c r="J48" s="4"/>
      <c r="K48" s="4"/>
      <c r="L48" s="4"/>
      <c r="M48" s="4"/>
      <c r="N48" s="4"/>
      <c r="O48" s="4"/>
    </row>
    <row r="49" spans="1:15" s="3" customFormat="1" ht="30" customHeight="1" x14ac:dyDescent="0.25">
      <c r="A49" s="4">
        <f t="shared" si="1"/>
        <v>42</v>
      </c>
      <c r="B49" s="4"/>
      <c r="C49" s="4"/>
      <c r="D49" s="5"/>
      <c r="E49" s="4"/>
      <c r="F49" s="4"/>
      <c r="G49" s="4"/>
      <c r="H49" s="4"/>
      <c r="I49" s="6"/>
      <c r="J49" s="4"/>
      <c r="K49" s="4"/>
      <c r="L49" s="4"/>
      <c r="M49" s="4"/>
      <c r="N49" s="4"/>
      <c r="O49" s="4"/>
    </row>
    <row r="50" spans="1:15" s="3" customFormat="1" ht="30" customHeight="1" x14ac:dyDescent="0.25">
      <c r="A50" s="4">
        <f t="shared" si="1"/>
        <v>43</v>
      </c>
      <c r="B50" s="4"/>
      <c r="C50" s="4"/>
      <c r="D50" s="5"/>
      <c r="E50" s="4"/>
      <c r="F50" s="4"/>
      <c r="G50" s="4"/>
      <c r="H50" s="4"/>
      <c r="I50" s="6"/>
      <c r="J50" s="4"/>
      <c r="K50" s="4"/>
      <c r="L50" s="4"/>
      <c r="M50" s="4"/>
      <c r="N50" s="4"/>
      <c r="O50" s="4"/>
    </row>
    <row r="51" spans="1:15" s="3" customFormat="1" ht="30" customHeight="1" x14ac:dyDescent="0.25">
      <c r="A51" s="4">
        <f t="shared" si="1"/>
        <v>44</v>
      </c>
      <c r="B51" s="4"/>
      <c r="C51" s="4"/>
      <c r="D51" s="5"/>
      <c r="E51" s="4"/>
      <c r="F51" s="4"/>
      <c r="G51" s="4"/>
      <c r="H51" s="4"/>
      <c r="I51" s="6"/>
      <c r="J51" s="4"/>
      <c r="K51" s="4"/>
      <c r="L51" s="4"/>
      <c r="M51" s="4"/>
      <c r="N51" s="4"/>
      <c r="O51" s="4"/>
    </row>
    <row r="52" spans="1:15" s="3" customFormat="1" ht="30" customHeight="1" x14ac:dyDescent="0.25">
      <c r="A52" s="4">
        <f t="shared" si="1"/>
        <v>45</v>
      </c>
      <c r="B52" s="4"/>
      <c r="C52" s="4"/>
      <c r="D52" s="5"/>
      <c r="E52" s="4"/>
      <c r="F52" s="4"/>
      <c r="G52" s="4"/>
      <c r="H52" s="4"/>
      <c r="I52" s="6"/>
      <c r="J52" s="4"/>
      <c r="K52" s="4"/>
      <c r="L52" s="4"/>
      <c r="M52" s="4"/>
      <c r="N52" s="4"/>
      <c r="O52" s="4"/>
    </row>
    <row r="53" spans="1:15" s="3" customFormat="1" ht="30" customHeight="1" x14ac:dyDescent="0.25">
      <c r="A53" s="4">
        <f t="shared" si="1"/>
        <v>46</v>
      </c>
      <c r="B53" s="4"/>
      <c r="C53" s="4"/>
      <c r="D53" s="5"/>
      <c r="E53" s="4"/>
      <c r="F53" s="4"/>
      <c r="G53" s="4"/>
      <c r="H53" s="4"/>
      <c r="I53" s="6"/>
      <c r="J53" s="4"/>
      <c r="K53" s="4"/>
      <c r="L53" s="4"/>
      <c r="M53" s="4"/>
      <c r="N53" s="4"/>
      <c r="O53" s="4"/>
    </row>
    <row r="54" spans="1:15" s="3" customFormat="1" ht="30" customHeight="1" x14ac:dyDescent="0.25">
      <c r="A54" s="4">
        <f t="shared" si="1"/>
        <v>47</v>
      </c>
      <c r="B54" s="4"/>
      <c r="C54" s="4"/>
      <c r="D54" s="5"/>
      <c r="E54" s="4"/>
      <c r="F54" s="4"/>
      <c r="G54" s="4"/>
      <c r="H54" s="4"/>
      <c r="I54" s="6"/>
      <c r="J54" s="4"/>
      <c r="K54" s="4"/>
      <c r="L54" s="4"/>
      <c r="M54" s="4"/>
      <c r="N54" s="4"/>
      <c r="O54" s="4"/>
    </row>
    <row r="55" spans="1:15" s="3" customFormat="1" ht="30" customHeight="1" x14ac:dyDescent="0.25">
      <c r="A55" s="4">
        <f t="shared" si="1"/>
        <v>48</v>
      </c>
      <c r="B55" s="4"/>
      <c r="C55" s="4"/>
      <c r="D55" s="5"/>
      <c r="E55" s="4"/>
      <c r="F55" s="4"/>
      <c r="G55" s="4"/>
      <c r="H55" s="4"/>
      <c r="I55" s="6"/>
      <c r="J55" s="4"/>
      <c r="K55" s="4"/>
      <c r="L55" s="4"/>
      <c r="M55" s="4"/>
      <c r="N55" s="4"/>
      <c r="O55" s="4"/>
    </row>
  </sheetData>
  <mergeCells count="10">
    <mergeCell ref="E6:F6"/>
    <mergeCell ref="A6:A7"/>
    <mergeCell ref="B6:B7"/>
    <mergeCell ref="C6:C7"/>
    <mergeCell ref="D6:D7"/>
    <mergeCell ref="G6:G7"/>
    <mergeCell ref="H6:H7"/>
    <mergeCell ref="I6:I7"/>
    <mergeCell ref="J6:J7"/>
    <mergeCell ref="K6:O6"/>
  </mergeCells>
  <pageMargins left="0.7" right="0.7" top="0.75" bottom="0.75" header="0.3" footer="0.3"/>
  <pageSetup scale="31" orientation="portrait" horizontalDpi="0" verticalDpi="0" r:id="rId1"/>
  <colBreaks count="1" manualBreakCount="1">
    <brk id="1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FBF36-BF38-45E7-9497-594F35EFBE3E}">
  <sheetPr>
    <tabColor rgb="FF92D050"/>
  </sheetPr>
  <dimension ref="A1:T52"/>
  <sheetViews>
    <sheetView showGridLines="0" zoomScale="70" zoomScaleNormal="70" zoomScaleSheetLayoutView="70" workbookViewId="0">
      <pane ySplit="7" topLeftCell="A8" activePane="bottomLeft" state="frozen"/>
      <selection activeCell="C4" sqref="C4"/>
      <selection pane="bottomLeft" activeCell="C4" sqref="C4"/>
    </sheetView>
  </sheetViews>
  <sheetFormatPr defaultColWidth="9.140625" defaultRowHeight="14.25" x14ac:dyDescent="0.2"/>
  <cols>
    <col min="1" max="1" width="8.7109375" style="7" customWidth="1"/>
    <col min="2" max="2" width="8.28515625" style="7" customWidth="1"/>
    <col min="3" max="3" width="26.85546875" style="7" customWidth="1"/>
    <col min="4" max="4" width="21" style="8" bestFit="1" customWidth="1"/>
    <col min="5" max="5" width="24.85546875" style="7" customWidth="1"/>
    <col min="6" max="6" width="38.5703125" style="7" bestFit="1" customWidth="1"/>
    <col min="7" max="7" width="20.7109375" style="7" bestFit="1" customWidth="1"/>
    <col min="8" max="8" width="18.7109375" style="7" customWidth="1"/>
    <col min="9" max="9" width="18.5703125" style="7" customWidth="1"/>
    <col min="10" max="11" width="22.140625" style="7" customWidth="1"/>
    <col min="12" max="16" width="18.5703125" style="7" customWidth="1"/>
    <col min="17" max="17" width="9.140625" style="7" customWidth="1"/>
    <col min="18" max="18" width="15.5703125" style="7" customWidth="1"/>
    <col min="19" max="19" width="73.85546875" style="7" bestFit="1" customWidth="1"/>
    <col min="20" max="16384" width="9.140625" style="7"/>
  </cols>
  <sheetData>
    <row r="1" spans="1:20" ht="20.25" x14ac:dyDescent="0.3">
      <c r="C1" s="10" t="s">
        <v>2</v>
      </c>
    </row>
    <row r="2" spans="1:20" ht="15" x14ac:dyDescent="0.25">
      <c r="C2" s="9" t="s">
        <v>3</v>
      </c>
    </row>
    <row r="3" spans="1:20" ht="15" x14ac:dyDescent="0.25">
      <c r="C3" s="9"/>
    </row>
    <row r="4" spans="1:20" x14ac:dyDescent="0.2">
      <c r="C4" s="5" t="s">
        <v>290</v>
      </c>
      <c r="D4" s="8" t="s">
        <v>285</v>
      </c>
    </row>
    <row r="5" spans="1:20" x14ac:dyDescent="0.2">
      <c r="C5" s="7" t="s">
        <v>263</v>
      </c>
      <c r="H5" s="29">
        <f>SUM(H8:H46)</f>
        <v>145350343</v>
      </c>
      <c r="J5" s="29">
        <f>SUM(J8:J46)</f>
        <v>145350343</v>
      </c>
      <c r="L5" s="29">
        <f>SUM(L8:L46)</f>
        <v>118039674</v>
      </c>
      <c r="M5" s="29">
        <f>SUM(M8:M46)</f>
        <v>103565143</v>
      </c>
      <c r="N5" s="29">
        <f>SUM(N8:N46)</f>
        <v>83352249</v>
      </c>
      <c r="O5" s="29">
        <f>SUM(O8:O46)</f>
        <v>64372632</v>
      </c>
      <c r="P5" s="29">
        <f>SUM(P8:P46)</f>
        <v>0</v>
      </c>
    </row>
    <row r="6" spans="1:20" s="3" customFormat="1" ht="30" customHeight="1" x14ac:dyDescent="0.25">
      <c r="A6" s="127" t="s">
        <v>55</v>
      </c>
      <c r="B6" s="127" t="s">
        <v>59</v>
      </c>
      <c r="C6" s="127" t="s">
        <v>58</v>
      </c>
      <c r="D6" s="127" t="s">
        <v>57</v>
      </c>
      <c r="E6" s="134" t="s">
        <v>56</v>
      </c>
      <c r="F6" s="134"/>
      <c r="G6" s="127" t="s">
        <v>62</v>
      </c>
      <c r="H6" s="127" t="s">
        <v>61</v>
      </c>
      <c r="I6" s="127" t="s">
        <v>31</v>
      </c>
      <c r="J6" s="129" t="s">
        <v>60</v>
      </c>
      <c r="K6" s="127" t="s">
        <v>93</v>
      </c>
      <c r="L6" s="131" t="s">
        <v>54</v>
      </c>
      <c r="M6" s="132"/>
      <c r="N6" s="132"/>
      <c r="O6" s="132"/>
      <c r="P6" s="133"/>
    </row>
    <row r="7" spans="1:20" s="3" customFormat="1" ht="30" customHeight="1" x14ac:dyDescent="0.25">
      <c r="A7" s="128"/>
      <c r="B7" s="128"/>
      <c r="C7" s="128"/>
      <c r="D7" s="128"/>
      <c r="E7" s="16" t="s">
        <v>63</v>
      </c>
      <c r="F7" s="16" t="s">
        <v>64</v>
      </c>
      <c r="G7" s="128"/>
      <c r="H7" s="128"/>
      <c r="I7" s="128"/>
      <c r="J7" s="130"/>
      <c r="K7" s="128"/>
      <c r="L7" s="15">
        <v>2024</v>
      </c>
      <c r="M7" s="15">
        <v>2023</v>
      </c>
      <c r="N7" s="15">
        <v>2022</v>
      </c>
      <c r="O7" s="15">
        <v>2021</v>
      </c>
      <c r="P7" s="15">
        <v>2020</v>
      </c>
      <c r="R7" s="17" t="s">
        <v>30</v>
      </c>
      <c r="S7" s="18" t="s">
        <v>30</v>
      </c>
      <c r="T7" s="17" t="s">
        <v>30</v>
      </c>
    </row>
    <row r="8" spans="1:20" s="3" customFormat="1" ht="30" customHeight="1" x14ac:dyDescent="0.25">
      <c r="A8" s="4">
        <v>1</v>
      </c>
      <c r="B8" s="4" t="str">
        <f t="shared" ref="B8:B9" si="0">VLOOKUP(C8,$S:$T,2,0)</f>
        <v>0311</v>
      </c>
      <c r="C8" s="4" t="s">
        <v>52</v>
      </c>
      <c r="D8" s="5" t="s">
        <v>277</v>
      </c>
      <c r="E8" s="5" t="s">
        <v>274</v>
      </c>
      <c r="F8" s="5" t="s">
        <v>275</v>
      </c>
      <c r="G8" s="5">
        <v>74563396</v>
      </c>
      <c r="H8" s="13">
        <v>87795905</v>
      </c>
      <c r="I8" s="5">
        <v>2025</v>
      </c>
      <c r="J8" s="45">
        <v>87795905</v>
      </c>
      <c r="K8" s="4" t="s">
        <v>30</v>
      </c>
      <c r="L8" s="11">
        <v>73551227</v>
      </c>
      <c r="M8" s="11">
        <v>66472264</v>
      </c>
      <c r="N8" s="11">
        <v>56298541</v>
      </c>
      <c r="O8" s="11">
        <v>46133132</v>
      </c>
      <c r="P8" s="11">
        <v>0</v>
      </c>
      <c r="R8" s="17" t="s">
        <v>34</v>
      </c>
      <c r="S8" s="18" t="s">
        <v>35</v>
      </c>
      <c r="T8" s="17" t="s">
        <v>34</v>
      </c>
    </row>
    <row r="9" spans="1:20" s="3" customFormat="1" ht="30" customHeight="1" x14ac:dyDescent="0.25">
      <c r="A9" s="4">
        <v>2</v>
      </c>
      <c r="B9" s="4" t="str">
        <f t="shared" ref="B9:B10" si="1">VLOOKUP(C9,$S:$T,2,0)</f>
        <v>0311</v>
      </c>
      <c r="C9" s="4" t="s">
        <v>52</v>
      </c>
      <c r="D9" s="5" t="s">
        <v>277</v>
      </c>
      <c r="E9" s="5" t="s">
        <v>274</v>
      </c>
      <c r="F9" s="5" t="s">
        <v>275</v>
      </c>
      <c r="G9" s="5">
        <v>11668684</v>
      </c>
      <c r="H9" s="13">
        <v>35155634</v>
      </c>
      <c r="I9" s="5">
        <v>2025</v>
      </c>
      <c r="J9" s="45">
        <v>35155634</v>
      </c>
      <c r="K9" s="4" t="s">
        <v>30</v>
      </c>
      <c r="L9" s="11">
        <v>27454723</v>
      </c>
      <c r="M9" s="11">
        <v>22960976</v>
      </c>
      <c r="N9" s="11">
        <v>16986561</v>
      </c>
      <c r="O9" s="11">
        <v>11551803</v>
      </c>
      <c r="P9" s="11">
        <v>0</v>
      </c>
      <c r="R9" s="17" t="s">
        <v>36</v>
      </c>
      <c r="S9" s="18" t="s">
        <v>37</v>
      </c>
      <c r="T9" s="17" t="s">
        <v>36</v>
      </c>
    </row>
    <row r="10" spans="1:20" s="3" customFormat="1" ht="30" customHeight="1" x14ac:dyDescent="0.25">
      <c r="A10" s="4">
        <v>3</v>
      </c>
      <c r="B10" s="4" t="str">
        <f t="shared" si="1"/>
        <v>0311</v>
      </c>
      <c r="C10" s="4" t="s">
        <v>52</v>
      </c>
      <c r="D10" s="5" t="s">
        <v>277</v>
      </c>
      <c r="E10" s="5" t="s">
        <v>273</v>
      </c>
      <c r="F10" s="5" t="s">
        <v>276</v>
      </c>
      <c r="G10" s="5">
        <v>2019018429</v>
      </c>
      <c r="H10" s="13">
        <v>22398804</v>
      </c>
      <c r="I10" s="5">
        <v>2025</v>
      </c>
      <c r="J10" s="45">
        <v>22398804</v>
      </c>
      <c r="K10" s="4" t="s">
        <v>30</v>
      </c>
      <c r="L10" s="11">
        <v>17033724</v>
      </c>
      <c r="M10" s="11">
        <v>14131903</v>
      </c>
      <c r="N10" s="11">
        <v>10067147</v>
      </c>
      <c r="O10" s="11">
        <v>6687697</v>
      </c>
      <c r="P10" s="11">
        <v>0</v>
      </c>
      <c r="R10" s="17" t="s">
        <v>38</v>
      </c>
      <c r="S10" s="18" t="s">
        <v>39</v>
      </c>
      <c r="T10" s="17" t="s">
        <v>38</v>
      </c>
    </row>
    <row r="11" spans="1:20" s="3" customFormat="1" ht="30" customHeight="1" x14ac:dyDescent="0.25">
      <c r="A11" s="4"/>
      <c r="B11" s="4"/>
      <c r="C11" s="23"/>
      <c r="D11" s="5"/>
      <c r="E11" s="5"/>
      <c r="F11" s="4"/>
      <c r="G11" s="5"/>
      <c r="H11" s="13"/>
      <c r="I11" s="4"/>
      <c r="J11" s="6"/>
      <c r="K11" s="4"/>
      <c r="L11" s="11"/>
      <c r="M11" s="11"/>
      <c r="N11" s="11"/>
      <c r="O11" s="11"/>
      <c r="P11" s="11"/>
      <c r="R11" s="17" t="s">
        <v>40</v>
      </c>
      <c r="S11" s="18" t="s">
        <v>41</v>
      </c>
      <c r="T11" s="17" t="s">
        <v>40</v>
      </c>
    </row>
    <row r="12" spans="1:20" s="3" customFormat="1" ht="30" customHeight="1" x14ac:dyDescent="0.25">
      <c r="A12" s="4"/>
      <c r="B12" s="4"/>
      <c r="C12" s="23"/>
      <c r="D12" s="5"/>
      <c r="E12" s="5"/>
      <c r="F12" s="4"/>
      <c r="G12" s="5"/>
      <c r="H12" s="13"/>
      <c r="I12" s="4"/>
      <c r="J12" s="6"/>
      <c r="K12" s="4"/>
      <c r="L12" s="11"/>
      <c r="M12" s="11"/>
      <c r="N12" s="11"/>
      <c r="O12" s="11"/>
      <c r="P12" s="11"/>
      <c r="R12" s="17" t="s">
        <v>42</v>
      </c>
      <c r="S12" s="18" t="s">
        <v>43</v>
      </c>
      <c r="T12" s="17" t="s">
        <v>42</v>
      </c>
    </row>
    <row r="13" spans="1:20" s="3" customFormat="1" ht="30" customHeight="1" x14ac:dyDescent="0.25">
      <c r="A13" s="4"/>
      <c r="B13" s="4"/>
      <c r="C13" s="23"/>
      <c r="D13" s="5"/>
      <c r="E13" s="5"/>
      <c r="F13" s="46"/>
      <c r="G13" s="5"/>
      <c r="H13" s="13"/>
      <c r="I13" s="4"/>
      <c r="J13" s="6"/>
      <c r="K13" s="4"/>
      <c r="L13" s="11"/>
      <c r="M13" s="11"/>
      <c r="N13" s="11"/>
      <c r="O13" s="11"/>
      <c r="P13" s="11"/>
      <c r="R13" s="17" t="s">
        <v>44</v>
      </c>
      <c r="S13" s="18" t="s">
        <v>45</v>
      </c>
      <c r="T13" s="17" t="s">
        <v>44</v>
      </c>
    </row>
    <row r="14" spans="1:20" s="3" customFormat="1" ht="30" customHeight="1" x14ac:dyDescent="0.25">
      <c r="A14" s="4"/>
      <c r="B14" s="4"/>
      <c r="C14" s="4"/>
      <c r="D14" s="5"/>
      <c r="E14" s="5"/>
      <c r="F14" s="4"/>
      <c r="G14" s="5"/>
      <c r="H14" s="13"/>
      <c r="I14" s="4"/>
      <c r="J14" s="6"/>
      <c r="K14" s="4"/>
      <c r="L14" s="11"/>
      <c r="M14" s="11"/>
      <c r="N14" s="11"/>
      <c r="O14" s="11"/>
      <c r="P14" s="11"/>
      <c r="R14" s="17" t="s">
        <v>46</v>
      </c>
      <c r="S14" s="18" t="s">
        <v>189</v>
      </c>
      <c r="T14" s="17" t="s">
        <v>46</v>
      </c>
    </row>
    <row r="15" spans="1:20" s="3" customFormat="1" ht="30" customHeight="1" x14ac:dyDescent="0.25">
      <c r="A15" s="4"/>
      <c r="B15" s="4"/>
      <c r="C15" s="23"/>
      <c r="D15" s="5"/>
      <c r="E15" s="5"/>
      <c r="F15" s="46"/>
      <c r="G15" s="5"/>
      <c r="H15" s="13"/>
      <c r="I15" s="4"/>
      <c r="J15" s="6"/>
      <c r="K15" s="4"/>
      <c r="L15" s="11"/>
      <c r="M15" s="11"/>
      <c r="N15" s="11"/>
      <c r="O15" s="11"/>
      <c r="P15" s="11"/>
      <c r="R15" s="17" t="s">
        <v>47</v>
      </c>
      <c r="S15" s="18" t="s">
        <v>48</v>
      </c>
      <c r="T15" s="17" t="s">
        <v>47</v>
      </c>
    </row>
    <row r="16" spans="1:20" s="3" customFormat="1" ht="30" customHeight="1" x14ac:dyDescent="0.25">
      <c r="A16" s="4"/>
      <c r="B16" s="4"/>
      <c r="C16" s="23"/>
      <c r="D16" s="5"/>
      <c r="E16" s="5"/>
      <c r="F16" s="46"/>
      <c r="G16" s="5"/>
      <c r="H16" s="13"/>
      <c r="I16" s="5"/>
      <c r="J16" s="6"/>
      <c r="K16" s="4"/>
      <c r="L16" s="11"/>
      <c r="M16" s="11"/>
      <c r="N16" s="11"/>
      <c r="O16" s="11"/>
      <c r="P16" s="11"/>
      <c r="R16" s="17" t="s">
        <v>49</v>
      </c>
      <c r="S16" s="18" t="s">
        <v>50</v>
      </c>
      <c r="T16" s="17" t="s">
        <v>49</v>
      </c>
    </row>
    <row r="17" spans="1:20" s="3" customFormat="1" ht="30" customHeight="1" x14ac:dyDescent="0.25">
      <c r="A17" s="4"/>
      <c r="B17" s="4"/>
      <c r="C17" s="4"/>
      <c r="D17" s="5"/>
      <c r="E17" s="5"/>
      <c r="F17" s="4"/>
      <c r="G17" s="5"/>
      <c r="H17" s="4"/>
      <c r="I17" s="4"/>
      <c r="J17" s="6"/>
      <c r="K17" s="4"/>
      <c r="L17" s="11"/>
      <c r="M17" s="11"/>
      <c r="N17" s="11"/>
      <c r="O17" s="11"/>
      <c r="P17" s="11"/>
      <c r="R17" s="17" t="s">
        <v>51</v>
      </c>
      <c r="S17" s="18" t="s">
        <v>52</v>
      </c>
      <c r="T17" s="17" t="s">
        <v>51</v>
      </c>
    </row>
    <row r="18" spans="1:20" s="3" customFormat="1" ht="30" customHeight="1" x14ac:dyDescent="0.25">
      <c r="A18" s="4"/>
      <c r="B18" s="4"/>
      <c r="C18" s="4"/>
      <c r="D18" s="5"/>
      <c r="E18" s="5"/>
      <c r="F18" s="4"/>
      <c r="G18" s="5"/>
      <c r="H18" s="4"/>
      <c r="I18" s="4"/>
      <c r="J18" s="6"/>
      <c r="K18" s="4"/>
      <c r="L18" s="11"/>
      <c r="M18" s="11"/>
      <c r="N18" s="11"/>
      <c r="O18" s="11"/>
      <c r="P18" s="11"/>
      <c r="R18" s="17" t="s">
        <v>53</v>
      </c>
      <c r="S18" s="18" t="s">
        <v>32</v>
      </c>
      <c r="T18" s="17" t="s">
        <v>53</v>
      </c>
    </row>
    <row r="19" spans="1:20" s="3" customFormat="1" ht="30" customHeight="1" x14ac:dyDescent="0.25">
      <c r="A19" s="4"/>
      <c r="B19" s="4"/>
      <c r="C19" s="4"/>
      <c r="D19" s="5"/>
      <c r="E19" s="5"/>
      <c r="F19" s="4"/>
      <c r="G19" s="5"/>
      <c r="H19" s="4"/>
      <c r="I19" s="4"/>
      <c r="J19" s="6"/>
      <c r="K19" s="4"/>
      <c r="L19" s="11"/>
      <c r="M19" s="11"/>
      <c r="N19" s="11"/>
      <c r="O19" s="11"/>
      <c r="P19" s="11"/>
    </row>
    <row r="20" spans="1:20" s="3" customFormat="1" ht="30" customHeight="1" x14ac:dyDescent="0.25">
      <c r="A20" s="4"/>
      <c r="B20" s="4"/>
      <c r="C20" s="4"/>
      <c r="D20" s="5"/>
      <c r="E20" s="5"/>
      <c r="F20" s="4"/>
      <c r="G20" s="4"/>
      <c r="H20" s="4"/>
      <c r="I20" s="4"/>
      <c r="J20" s="6"/>
      <c r="K20" s="4"/>
      <c r="L20" s="11"/>
      <c r="M20" s="11"/>
      <c r="N20" s="11"/>
      <c r="O20" s="11"/>
      <c r="P20" s="11"/>
    </row>
    <row r="21" spans="1:20" s="3" customFormat="1" ht="30" customHeight="1" x14ac:dyDescent="0.25">
      <c r="A21" s="4"/>
      <c r="B21" s="4"/>
      <c r="C21" s="4"/>
      <c r="D21" s="5"/>
      <c r="E21" s="5"/>
      <c r="F21" s="5"/>
      <c r="G21" s="4"/>
      <c r="H21" s="4"/>
      <c r="I21" s="4"/>
      <c r="J21" s="6"/>
      <c r="K21" s="4"/>
      <c r="L21" s="11"/>
      <c r="M21" s="11"/>
      <c r="N21" s="11"/>
      <c r="O21" s="11"/>
      <c r="P21" s="11"/>
    </row>
    <row r="22" spans="1:20" s="3" customFormat="1" ht="30" customHeight="1" x14ac:dyDescent="0.25">
      <c r="A22" s="4"/>
      <c r="B22" s="4"/>
      <c r="C22" s="4"/>
      <c r="D22" s="5"/>
      <c r="E22" s="5"/>
      <c r="F22" s="23"/>
      <c r="G22" s="5"/>
      <c r="H22" s="4"/>
      <c r="I22" s="4"/>
      <c r="J22" s="6"/>
      <c r="K22" s="4"/>
      <c r="L22" s="11"/>
      <c r="M22" s="11"/>
      <c r="N22" s="11"/>
      <c r="O22" s="11"/>
      <c r="P22" s="11"/>
      <c r="S22" s="3" t="s">
        <v>207</v>
      </c>
    </row>
    <row r="23" spans="1:20" s="3" customFormat="1" ht="30" customHeight="1" x14ac:dyDescent="0.25">
      <c r="A23" s="4"/>
      <c r="B23" s="4"/>
      <c r="C23" s="4"/>
      <c r="D23" s="5"/>
      <c r="E23" s="4"/>
      <c r="F23" s="4"/>
      <c r="G23" s="5"/>
      <c r="H23" s="4"/>
      <c r="I23" s="4"/>
      <c r="J23" s="6"/>
      <c r="K23" s="4"/>
      <c r="L23" s="11"/>
      <c r="M23" s="11"/>
      <c r="N23" s="11"/>
      <c r="O23" s="11"/>
      <c r="P23" s="11"/>
      <c r="S23" s="3" t="s">
        <v>209</v>
      </c>
    </row>
    <row r="24" spans="1:20" s="3" customFormat="1" ht="30" customHeight="1" x14ac:dyDescent="0.25">
      <c r="A24" s="4"/>
      <c r="B24" s="4"/>
      <c r="C24" s="4"/>
      <c r="D24" s="5"/>
      <c r="E24" s="4"/>
      <c r="F24" s="23"/>
      <c r="G24" s="4"/>
      <c r="H24" s="4"/>
      <c r="I24" s="4"/>
      <c r="J24" s="6"/>
      <c r="K24" s="4"/>
      <c r="L24" s="11"/>
      <c r="M24" s="11"/>
      <c r="N24" s="11"/>
      <c r="O24" s="11"/>
      <c r="P24" s="11"/>
      <c r="S24" s="3" t="s">
        <v>211</v>
      </c>
    </row>
    <row r="25" spans="1:20" s="3" customFormat="1" ht="30" customHeight="1" x14ac:dyDescent="0.25">
      <c r="A25" s="4"/>
      <c r="B25" s="4"/>
      <c r="C25" s="4"/>
      <c r="D25" s="5"/>
      <c r="E25" s="4"/>
      <c r="F25" s="4"/>
      <c r="G25" s="4"/>
      <c r="H25" s="4"/>
      <c r="I25" s="4"/>
      <c r="J25" s="6"/>
      <c r="K25" s="4"/>
      <c r="L25" s="4"/>
      <c r="M25" s="4"/>
      <c r="N25" s="4"/>
      <c r="O25" s="4"/>
      <c r="P25" s="4"/>
    </row>
    <row r="26" spans="1:20" s="3" customFormat="1" ht="30" customHeight="1" x14ac:dyDescent="0.25">
      <c r="A26" s="4"/>
      <c r="B26" s="4"/>
      <c r="C26" s="4"/>
      <c r="D26" s="5"/>
      <c r="E26" s="4"/>
      <c r="F26" s="4"/>
      <c r="G26" s="4"/>
      <c r="H26" s="4"/>
      <c r="I26" s="4"/>
      <c r="J26" s="6"/>
      <c r="K26" s="4"/>
      <c r="L26" s="4"/>
      <c r="M26" s="4"/>
      <c r="N26" s="4"/>
      <c r="O26" s="4"/>
      <c r="P26" s="4"/>
    </row>
    <row r="27" spans="1:20" s="3" customFormat="1" ht="30" customHeight="1" x14ac:dyDescent="0.25">
      <c r="A27" s="4"/>
      <c r="B27" s="4"/>
      <c r="C27" s="4"/>
      <c r="D27" s="5"/>
      <c r="E27" s="4"/>
      <c r="F27" s="4"/>
      <c r="G27" s="4"/>
      <c r="H27" s="4"/>
      <c r="I27" s="4"/>
      <c r="J27" s="6"/>
      <c r="K27" s="4"/>
      <c r="L27" s="4"/>
      <c r="M27" s="4"/>
      <c r="N27" s="4"/>
      <c r="O27" s="4"/>
      <c r="P27" s="4"/>
    </row>
    <row r="28" spans="1:20" s="3" customFormat="1" ht="30" customHeight="1" x14ac:dyDescent="0.25">
      <c r="A28" s="4"/>
      <c r="B28" s="4"/>
      <c r="C28" s="4"/>
      <c r="D28" s="5"/>
      <c r="E28" s="4"/>
      <c r="F28" s="4"/>
      <c r="G28" s="4"/>
      <c r="H28" s="4"/>
      <c r="I28" s="4"/>
      <c r="J28" s="6"/>
      <c r="K28" s="4"/>
      <c r="L28" s="4"/>
      <c r="M28" s="4"/>
      <c r="N28" s="4"/>
      <c r="O28" s="4"/>
      <c r="P28" s="4"/>
    </row>
    <row r="29" spans="1:20" s="3" customFormat="1" ht="30" customHeight="1" x14ac:dyDescent="0.25">
      <c r="A29" s="4"/>
      <c r="B29" s="4"/>
      <c r="C29" s="4"/>
      <c r="D29" s="5"/>
      <c r="E29" s="4"/>
      <c r="F29" s="4"/>
      <c r="G29" s="4"/>
      <c r="H29" s="4"/>
      <c r="I29" s="4"/>
      <c r="J29" s="6"/>
      <c r="K29" s="4"/>
      <c r="L29" s="4"/>
      <c r="M29" s="4"/>
      <c r="N29" s="4"/>
      <c r="O29" s="4"/>
      <c r="P29" s="4"/>
    </row>
    <row r="30" spans="1:20" s="3" customFormat="1" ht="30" customHeight="1" x14ac:dyDescent="0.25">
      <c r="A30" s="4"/>
      <c r="B30" s="4"/>
      <c r="C30" s="4"/>
      <c r="D30" s="5"/>
      <c r="E30" s="4"/>
      <c r="F30" s="4"/>
      <c r="G30" s="4"/>
      <c r="H30" s="4"/>
      <c r="I30" s="4"/>
      <c r="J30" s="6"/>
      <c r="K30" s="4"/>
      <c r="L30" s="4"/>
      <c r="M30" s="4"/>
      <c r="N30" s="4"/>
      <c r="O30" s="4"/>
      <c r="P30" s="4"/>
    </row>
    <row r="31" spans="1:20" s="3" customFormat="1" ht="30" customHeight="1" x14ac:dyDescent="0.25">
      <c r="A31" s="4"/>
      <c r="B31" s="4"/>
      <c r="C31" s="4"/>
      <c r="D31" s="5"/>
      <c r="E31" s="4"/>
      <c r="F31" s="4"/>
      <c r="G31" s="4"/>
      <c r="H31" s="4"/>
      <c r="I31" s="4"/>
      <c r="J31" s="6"/>
      <c r="K31" s="4"/>
      <c r="L31" s="4"/>
      <c r="M31" s="4"/>
      <c r="N31" s="4"/>
      <c r="O31" s="4"/>
      <c r="P31" s="4"/>
    </row>
    <row r="32" spans="1:20" s="3" customFormat="1" ht="30" customHeight="1" x14ac:dyDescent="0.25">
      <c r="A32" s="4"/>
      <c r="B32" s="4"/>
      <c r="C32" s="4"/>
      <c r="D32" s="5"/>
      <c r="E32" s="4"/>
      <c r="F32" s="4"/>
      <c r="G32" s="4"/>
      <c r="H32" s="4"/>
      <c r="I32" s="4"/>
      <c r="J32" s="6"/>
      <c r="K32" s="4"/>
      <c r="L32" s="4"/>
      <c r="M32" s="4"/>
      <c r="N32" s="4"/>
      <c r="O32" s="4"/>
      <c r="P32" s="4"/>
    </row>
    <row r="33" spans="1:20" s="3" customFormat="1" ht="30" customHeight="1" x14ac:dyDescent="0.25">
      <c r="A33" s="4"/>
      <c r="B33" s="4"/>
      <c r="C33" s="4"/>
      <c r="D33" s="5"/>
      <c r="E33" s="4"/>
      <c r="F33" s="4"/>
      <c r="G33" s="4"/>
      <c r="H33" s="4"/>
      <c r="I33" s="4"/>
      <c r="J33" s="6"/>
      <c r="K33" s="4"/>
      <c r="L33" s="4"/>
      <c r="M33" s="4"/>
      <c r="N33" s="4"/>
      <c r="O33" s="4"/>
      <c r="P33" s="4"/>
    </row>
    <row r="34" spans="1:20" s="3" customFormat="1" ht="30" customHeight="1" x14ac:dyDescent="0.25">
      <c r="A34" s="4"/>
      <c r="B34" s="4"/>
      <c r="C34" s="4"/>
      <c r="D34" s="5"/>
      <c r="E34" s="4"/>
      <c r="F34" s="4"/>
      <c r="G34" s="4"/>
      <c r="H34" s="4"/>
      <c r="I34" s="4"/>
      <c r="J34" s="6"/>
      <c r="K34" s="4"/>
      <c r="L34" s="4"/>
      <c r="M34" s="4"/>
      <c r="N34" s="4"/>
      <c r="O34" s="4"/>
      <c r="P34" s="4"/>
    </row>
    <row r="35" spans="1:20" s="3" customFormat="1" ht="30" customHeight="1" x14ac:dyDescent="0.25">
      <c r="A35" s="4"/>
      <c r="B35" s="4"/>
      <c r="C35" s="4"/>
      <c r="D35" s="5"/>
      <c r="E35" s="4"/>
      <c r="F35" s="4"/>
      <c r="G35" s="4"/>
      <c r="H35" s="4"/>
      <c r="I35" s="4"/>
      <c r="J35" s="6"/>
      <c r="K35" s="4"/>
      <c r="L35" s="4"/>
      <c r="M35" s="4"/>
      <c r="N35" s="4"/>
      <c r="O35" s="4"/>
      <c r="P35" s="4"/>
    </row>
    <row r="36" spans="1:20" s="3" customFormat="1" ht="30" customHeight="1" x14ac:dyDescent="0.25">
      <c r="A36" s="4"/>
      <c r="B36" s="4"/>
      <c r="C36" s="4"/>
      <c r="D36" s="5"/>
      <c r="E36" s="4"/>
      <c r="F36" s="4"/>
      <c r="G36" s="4"/>
      <c r="H36" s="4"/>
      <c r="I36" s="4"/>
      <c r="J36" s="6"/>
      <c r="K36" s="4"/>
      <c r="L36" s="4"/>
      <c r="M36" s="4"/>
      <c r="N36" s="4"/>
      <c r="O36" s="4"/>
      <c r="P36" s="4"/>
    </row>
    <row r="37" spans="1:20" s="3" customFormat="1" ht="30" customHeight="1" x14ac:dyDescent="0.25">
      <c r="A37" s="4"/>
      <c r="B37" s="4"/>
      <c r="C37" s="4"/>
      <c r="D37" s="5"/>
      <c r="E37" s="4"/>
      <c r="F37" s="4"/>
      <c r="G37" s="4"/>
      <c r="H37" s="4"/>
      <c r="I37" s="4"/>
      <c r="J37" s="6"/>
      <c r="K37" s="4"/>
      <c r="L37" s="4"/>
      <c r="M37" s="4"/>
      <c r="N37" s="4"/>
      <c r="O37" s="4"/>
      <c r="P37" s="4"/>
    </row>
    <row r="38" spans="1:20" s="3" customFormat="1" ht="30" customHeight="1" x14ac:dyDescent="0.25">
      <c r="A38" s="4"/>
      <c r="B38" s="4"/>
      <c r="C38" s="4"/>
      <c r="D38" s="5"/>
      <c r="E38" s="4"/>
      <c r="F38" s="4"/>
      <c r="G38" s="4"/>
      <c r="H38" s="4"/>
      <c r="I38" s="4"/>
      <c r="J38" s="6"/>
      <c r="K38" s="4"/>
      <c r="L38" s="4"/>
      <c r="M38" s="4"/>
      <c r="N38" s="4"/>
      <c r="O38" s="4"/>
      <c r="P38" s="4"/>
    </row>
    <row r="39" spans="1:20" s="3" customFormat="1" ht="30" customHeight="1" x14ac:dyDescent="0.25">
      <c r="A39" s="4"/>
      <c r="B39" s="4"/>
      <c r="C39" s="4"/>
      <c r="D39" s="5"/>
      <c r="E39" s="4"/>
      <c r="F39" s="4"/>
      <c r="G39" s="4"/>
      <c r="H39" s="4"/>
      <c r="I39" s="4"/>
      <c r="J39" s="6"/>
      <c r="K39" s="4"/>
      <c r="L39" s="4"/>
      <c r="M39" s="4"/>
      <c r="N39" s="4"/>
      <c r="O39" s="4"/>
      <c r="P39" s="4"/>
    </row>
    <row r="40" spans="1:20" s="3" customFormat="1" ht="30" customHeight="1" x14ac:dyDescent="0.25">
      <c r="A40" s="4"/>
      <c r="B40" s="4"/>
      <c r="C40" s="4"/>
      <c r="D40" s="5"/>
      <c r="E40" s="4"/>
      <c r="F40" s="4"/>
      <c r="G40" s="4"/>
      <c r="H40" s="4"/>
      <c r="I40" s="4"/>
      <c r="J40" s="6"/>
      <c r="K40" s="4"/>
      <c r="L40" s="4"/>
      <c r="M40" s="4"/>
      <c r="N40" s="4"/>
      <c r="O40" s="4"/>
      <c r="P40" s="4"/>
    </row>
    <row r="41" spans="1:20" s="3" customFormat="1" ht="30" customHeight="1" x14ac:dyDescent="0.25">
      <c r="A41" s="4"/>
      <c r="B41" s="4"/>
      <c r="C41" s="4"/>
      <c r="D41" s="5"/>
      <c r="E41" s="4"/>
      <c r="F41" s="4"/>
      <c r="G41" s="4"/>
      <c r="H41" s="4"/>
      <c r="I41" s="4"/>
      <c r="J41" s="6"/>
      <c r="K41" s="4"/>
      <c r="L41" s="4"/>
      <c r="M41" s="4"/>
      <c r="N41" s="4"/>
      <c r="O41" s="4"/>
      <c r="P41" s="4"/>
    </row>
    <row r="42" spans="1:20" s="3" customFormat="1" ht="30" customHeight="1" x14ac:dyDescent="0.25">
      <c r="A42" s="4"/>
      <c r="B42" s="4"/>
      <c r="C42" s="4"/>
      <c r="D42" s="5"/>
      <c r="E42" s="4"/>
      <c r="F42" s="4"/>
      <c r="G42" s="4"/>
      <c r="H42" s="4"/>
      <c r="I42" s="4"/>
      <c r="J42" s="6"/>
      <c r="K42" s="4"/>
      <c r="L42" s="4"/>
      <c r="M42" s="4"/>
      <c r="N42" s="4"/>
      <c r="O42" s="4"/>
      <c r="P42" s="4"/>
    </row>
    <row r="43" spans="1:20" s="3" customFormat="1" ht="30" customHeight="1" x14ac:dyDescent="0.25">
      <c r="A43" s="4"/>
      <c r="B43" s="4"/>
      <c r="C43" s="4"/>
      <c r="D43" s="5"/>
      <c r="E43" s="4"/>
      <c r="F43" s="4"/>
      <c r="G43" s="4"/>
      <c r="H43" s="4"/>
      <c r="I43" s="4"/>
      <c r="J43" s="6"/>
      <c r="K43" s="4"/>
      <c r="L43" s="4"/>
      <c r="M43" s="4"/>
      <c r="N43" s="4"/>
      <c r="O43" s="4"/>
      <c r="P43" s="4"/>
    </row>
    <row r="44" spans="1:20" s="3" customFormat="1" ht="30" customHeight="1" x14ac:dyDescent="0.25">
      <c r="A44" s="4"/>
      <c r="B44" s="4"/>
      <c r="C44" s="4"/>
      <c r="D44" s="5"/>
      <c r="E44" s="4"/>
      <c r="F44" s="4"/>
      <c r="G44" s="4"/>
      <c r="H44" s="4"/>
      <c r="I44" s="4"/>
      <c r="J44" s="6"/>
      <c r="K44" s="4"/>
      <c r="L44" s="4"/>
      <c r="M44" s="4"/>
      <c r="N44" s="4"/>
      <c r="O44" s="4"/>
      <c r="P44" s="4"/>
    </row>
    <row r="45" spans="1:20" s="3" customFormat="1" ht="30" customHeight="1" x14ac:dyDescent="0.25">
      <c r="A45" s="4"/>
      <c r="B45" s="4"/>
      <c r="C45" s="4"/>
      <c r="D45" s="5"/>
      <c r="E45" s="4"/>
      <c r="F45" s="4"/>
      <c r="G45" s="4"/>
      <c r="H45" s="4"/>
      <c r="I45" s="4"/>
      <c r="J45" s="6"/>
      <c r="K45" s="4"/>
      <c r="L45" s="4"/>
      <c r="M45" s="4"/>
      <c r="N45" s="4"/>
      <c r="O45" s="4"/>
      <c r="P45" s="4"/>
    </row>
    <row r="46" spans="1:20" s="3" customFormat="1" ht="30" customHeight="1" x14ac:dyDescent="0.25">
      <c r="A46" s="4"/>
      <c r="B46" s="4"/>
      <c r="C46" s="4"/>
      <c r="D46" s="5"/>
      <c r="E46" s="4"/>
      <c r="F46" s="4"/>
      <c r="G46" s="4"/>
      <c r="H46" s="4"/>
      <c r="I46" s="4"/>
      <c r="J46" s="6"/>
      <c r="K46" s="4"/>
      <c r="L46" s="4"/>
      <c r="M46" s="4"/>
      <c r="N46" s="4"/>
      <c r="O46" s="4"/>
      <c r="P46" s="4"/>
    </row>
    <row r="47" spans="1:20" x14ac:dyDescent="0.2">
      <c r="R47" s="3"/>
      <c r="S47" s="3"/>
      <c r="T47" s="3"/>
    </row>
    <row r="48" spans="1:20" x14ac:dyDescent="0.2">
      <c r="R48" s="3"/>
      <c r="S48" s="3"/>
      <c r="T48" s="3"/>
    </row>
    <row r="49" spans="18:20" x14ac:dyDescent="0.2">
      <c r="R49" s="3"/>
      <c r="S49" s="3"/>
      <c r="T49" s="3"/>
    </row>
    <row r="50" spans="18:20" x14ac:dyDescent="0.2">
      <c r="R50" s="3"/>
      <c r="S50" s="3"/>
      <c r="T50" s="3"/>
    </row>
    <row r="51" spans="18:20" x14ac:dyDescent="0.2">
      <c r="R51" s="3"/>
      <c r="S51" s="3"/>
      <c r="T51" s="3"/>
    </row>
    <row r="52" spans="18:20" x14ac:dyDescent="0.2">
      <c r="R52" s="3"/>
      <c r="S52" s="3"/>
      <c r="T52" s="3"/>
    </row>
  </sheetData>
  <mergeCells count="11">
    <mergeCell ref="L6:P6"/>
    <mergeCell ref="A6:A7"/>
    <mergeCell ref="B6:B7"/>
    <mergeCell ref="C6:C7"/>
    <mergeCell ref="D6:D7"/>
    <mergeCell ref="E6:F6"/>
    <mergeCell ref="G6:G7"/>
    <mergeCell ref="H6:H7"/>
    <mergeCell ref="I6:I7"/>
    <mergeCell ref="J6:J7"/>
    <mergeCell ref="K6:K7"/>
  </mergeCells>
  <pageMargins left="0.7" right="0.7" top="0.75" bottom="0.75" header="0.3" footer="0.3"/>
  <pageSetup scale="24" orientation="portrait" horizontalDpi="0" verticalDpi="0" r:id="rId1"/>
  <colBreaks count="1" manualBreakCount="1">
    <brk id="1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13B5C-B08C-4FB1-916B-114F74C88963}">
  <sheetPr>
    <tabColor rgb="FF92D050"/>
  </sheetPr>
  <dimension ref="A1:U55"/>
  <sheetViews>
    <sheetView showGridLines="0" zoomScale="70" zoomScaleNormal="70" zoomScaleSheetLayoutView="70" workbookViewId="0">
      <selection activeCell="K8" sqref="K8"/>
    </sheetView>
  </sheetViews>
  <sheetFormatPr defaultColWidth="9.140625" defaultRowHeight="14.25" outlineLevelCol="1" x14ac:dyDescent="0.2"/>
  <cols>
    <col min="1" max="1" width="8.7109375" style="7" customWidth="1" outlineLevel="1"/>
    <col min="2" max="2" width="8.28515625" style="7" customWidth="1" outlineLevel="1"/>
    <col min="3" max="3" width="34" style="7" customWidth="1"/>
    <col min="4" max="4" width="32.140625" style="7" bestFit="1" customWidth="1"/>
    <col min="5" max="5" width="26.85546875" style="7" customWidth="1"/>
    <col min="6" max="6" width="18.28515625" style="7" bestFit="1" customWidth="1"/>
    <col min="7" max="7" width="21.42578125" style="7" bestFit="1" customWidth="1"/>
    <col min="8" max="8" width="26.7109375" style="7" bestFit="1" customWidth="1"/>
    <col min="9" max="10" width="17.140625" style="7" customWidth="1"/>
    <col min="11" max="11" width="23.42578125" style="7" customWidth="1"/>
    <col min="12" max="12" width="22.140625" style="7" customWidth="1" outlineLevel="1"/>
    <col min="13" max="17" width="18.5703125" style="7" customWidth="1" outlineLevel="1"/>
    <col min="18" max="19" width="9.140625" style="7" customWidth="1"/>
    <col min="20" max="20" width="35.140625" style="7" customWidth="1"/>
    <col min="21" max="16384" width="9.140625" style="7"/>
  </cols>
  <sheetData>
    <row r="1" spans="1:21" ht="20.25" x14ac:dyDescent="0.3">
      <c r="C1" s="10" t="s">
        <v>4</v>
      </c>
      <c r="D1" s="10"/>
      <c r="E1" s="10"/>
    </row>
    <row r="2" spans="1:21" ht="15" x14ac:dyDescent="0.25">
      <c r="C2" s="9" t="s">
        <v>6</v>
      </c>
      <c r="D2" s="9"/>
      <c r="E2" s="9"/>
    </row>
    <row r="3" spans="1:21" ht="15" x14ac:dyDescent="0.25">
      <c r="C3" s="9"/>
      <c r="D3" s="9"/>
      <c r="E3" s="9"/>
    </row>
    <row r="4" spans="1:21" ht="15" x14ac:dyDescent="0.25">
      <c r="C4" s="5" t="s">
        <v>290</v>
      </c>
      <c r="D4" s="8" t="s">
        <v>285</v>
      </c>
      <c r="E4" s="9"/>
      <c r="K4" s="9" t="s">
        <v>167</v>
      </c>
    </row>
    <row r="5" spans="1:21" x14ac:dyDescent="0.2">
      <c r="C5" s="7" t="s">
        <v>263</v>
      </c>
      <c r="D5" s="8"/>
      <c r="J5" s="29">
        <f>SUM(J8:J55)</f>
        <v>15575000</v>
      </c>
      <c r="K5" s="29">
        <f>SUM(K8:K55)</f>
        <v>4800000</v>
      </c>
      <c r="M5" s="29">
        <f>SUM(M8:M55)</f>
        <v>15575000</v>
      </c>
      <c r="N5" s="29">
        <f t="shared" ref="N5:Q5" si="0">SUM(N8:N55)</f>
        <v>15575000</v>
      </c>
      <c r="O5" s="29">
        <f t="shared" si="0"/>
        <v>15575000</v>
      </c>
      <c r="P5" s="29">
        <f t="shared" si="0"/>
        <v>15575000</v>
      </c>
      <c r="Q5" s="29">
        <f t="shared" si="0"/>
        <v>0</v>
      </c>
    </row>
    <row r="6" spans="1:21" s="3" customFormat="1" ht="30" customHeight="1" x14ac:dyDescent="0.25">
      <c r="A6" s="127" t="s">
        <v>55</v>
      </c>
      <c r="B6" s="127" t="s">
        <v>59</v>
      </c>
      <c r="C6" s="134" t="s">
        <v>58</v>
      </c>
      <c r="D6" s="134"/>
      <c r="E6" s="127" t="s">
        <v>96</v>
      </c>
      <c r="F6" s="134" t="s">
        <v>97</v>
      </c>
      <c r="G6" s="134"/>
      <c r="H6" s="134"/>
      <c r="I6" s="127" t="s">
        <v>31</v>
      </c>
      <c r="J6" s="127" t="s">
        <v>61</v>
      </c>
      <c r="K6" s="129" t="s">
        <v>60</v>
      </c>
      <c r="L6" s="127" t="s">
        <v>33</v>
      </c>
      <c r="M6" s="131" t="s">
        <v>54</v>
      </c>
      <c r="N6" s="132"/>
      <c r="O6" s="132"/>
      <c r="P6" s="132"/>
      <c r="Q6" s="133"/>
      <c r="U6" s="1"/>
    </row>
    <row r="7" spans="1:21" s="3" customFormat="1" ht="30" customHeight="1" x14ac:dyDescent="0.25">
      <c r="A7" s="128"/>
      <c r="B7" s="128"/>
      <c r="C7" s="16" t="s">
        <v>94</v>
      </c>
      <c r="D7" s="16" t="s">
        <v>95</v>
      </c>
      <c r="E7" s="128"/>
      <c r="F7" s="16" t="s">
        <v>110</v>
      </c>
      <c r="G7" s="16" t="s">
        <v>100</v>
      </c>
      <c r="H7" s="16" t="s">
        <v>64</v>
      </c>
      <c r="I7" s="128"/>
      <c r="J7" s="128"/>
      <c r="K7" s="130"/>
      <c r="L7" s="128"/>
      <c r="M7" s="15">
        <v>2024</v>
      </c>
      <c r="N7" s="15">
        <v>2023</v>
      </c>
      <c r="O7" s="15">
        <v>2022</v>
      </c>
      <c r="P7" s="15">
        <v>2021</v>
      </c>
      <c r="Q7" s="15">
        <v>2020</v>
      </c>
      <c r="S7" s="25" t="s">
        <v>30</v>
      </c>
      <c r="T7" s="25" t="s">
        <v>30</v>
      </c>
      <c r="U7" s="24" t="s">
        <v>30</v>
      </c>
    </row>
    <row r="8" spans="1:21" s="3" customFormat="1" ht="30" customHeight="1" x14ac:dyDescent="0.25">
      <c r="A8" s="4">
        <v>1</v>
      </c>
      <c r="B8" s="4" t="str">
        <f>VLOOKUP($C8,$T:$U,2,0)</f>
        <v>0402</v>
      </c>
      <c r="C8" s="23" t="s">
        <v>68</v>
      </c>
      <c r="D8" s="23" t="s">
        <v>289</v>
      </c>
      <c r="E8" s="4" t="s">
        <v>292</v>
      </c>
      <c r="F8" s="5" t="s">
        <v>210</v>
      </c>
      <c r="G8" s="21" t="s">
        <v>290</v>
      </c>
      <c r="H8" s="5" t="s">
        <v>285</v>
      </c>
      <c r="I8" s="5">
        <v>2010</v>
      </c>
      <c r="J8" s="11">
        <v>15575000</v>
      </c>
      <c r="K8" s="45">
        <v>4800000</v>
      </c>
      <c r="L8" s="4" t="s">
        <v>30</v>
      </c>
      <c r="M8" s="11">
        <v>15575000</v>
      </c>
      <c r="N8" s="11">
        <v>15575000</v>
      </c>
      <c r="O8" s="11">
        <v>15575000</v>
      </c>
      <c r="P8" s="11">
        <v>15575000</v>
      </c>
      <c r="Q8" s="11">
        <v>0</v>
      </c>
      <c r="S8" s="24" t="s">
        <v>65</v>
      </c>
      <c r="T8" s="25" t="s">
        <v>66</v>
      </c>
      <c r="U8" s="24" t="s">
        <v>65</v>
      </c>
    </row>
    <row r="9" spans="1:21" s="3" customFormat="1" ht="30" customHeight="1" x14ac:dyDescent="0.25">
      <c r="A9" s="4">
        <f>A8+1</f>
        <v>2</v>
      </c>
      <c r="B9" s="4"/>
      <c r="C9" s="23"/>
      <c r="D9" s="4"/>
      <c r="E9" s="4"/>
      <c r="F9" s="5"/>
      <c r="G9" s="21"/>
      <c r="H9" s="5"/>
      <c r="I9" s="5"/>
      <c r="J9" s="11"/>
      <c r="K9" s="45"/>
      <c r="L9" s="4"/>
      <c r="M9" s="11"/>
      <c r="N9" s="11"/>
      <c r="O9" s="11"/>
      <c r="P9" s="11"/>
      <c r="Q9" s="11"/>
      <c r="S9" s="24" t="s">
        <v>67</v>
      </c>
      <c r="T9" s="25" t="s">
        <v>68</v>
      </c>
      <c r="U9" s="24" t="s">
        <v>67</v>
      </c>
    </row>
    <row r="10" spans="1:21" s="3" customFormat="1" ht="30" customHeight="1" x14ac:dyDescent="0.25">
      <c r="A10" s="4"/>
      <c r="B10" s="4"/>
      <c r="C10" s="23"/>
      <c r="D10" s="4"/>
      <c r="E10" s="4"/>
      <c r="F10" s="5"/>
      <c r="G10" s="21"/>
      <c r="H10" s="5"/>
      <c r="I10" s="5"/>
      <c r="J10" s="11"/>
      <c r="K10" s="45"/>
      <c r="L10" s="4"/>
      <c r="M10" s="11"/>
      <c r="N10" s="11"/>
      <c r="O10" s="11"/>
      <c r="P10" s="11"/>
      <c r="Q10" s="11"/>
      <c r="S10" s="24" t="s">
        <v>69</v>
      </c>
      <c r="T10" s="25" t="s">
        <v>70</v>
      </c>
      <c r="U10" s="24" t="s">
        <v>69</v>
      </c>
    </row>
    <row r="11" spans="1:21" s="3" customFormat="1" ht="30" customHeight="1" x14ac:dyDescent="0.25">
      <c r="A11" s="4"/>
      <c r="B11" s="4"/>
      <c r="C11" s="4"/>
      <c r="D11" s="4"/>
      <c r="E11" s="4"/>
      <c r="F11" s="5"/>
      <c r="G11" s="5"/>
      <c r="H11" s="5"/>
      <c r="I11" s="5"/>
      <c r="J11" s="13"/>
      <c r="K11" s="14"/>
      <c r="L11" s="4"/>
      <c r="M11" s="11"/>
      <c r="N11" s="11"/>
      <c r="O11" s="11"/>
      <c r="P11" s="11"/>
      <c r="Q11" s="11"/>
      <c r="S11" s="24" t="s">
        <v>71</v>
      </c>
      <c r="T11" s="25" t="s">
        <v>72</v>
      </c>
      <c r="U11" s="24" t="s">
        <v>71</v>
      </c>
    </row>
    <row r="12" spans="1:21" s="3" customFormat="1" ht="30" customHeight="1" x14ac:dyDescent="0.25">
      <c r="A12" s="4"/>
      <c r="B12" s="4"/>
      <c r="C12" s="4"/>
      <c r="D12" s="4"/>
      <c r="E12" s="23"/>
      <c r="F12" s="5"/>
      <c r="G12" s="21"/>
      <c r="H12" s="5"/>
      <c r="I12" s="5"/>
      <c r="J12" s="13"/>
      <c r="K12" s="14"/>
      <c r="L12" s="4"/>
      <c r="M12" s="11"/>
      <c r="N12" s="11"/>
      <c r="O12" s="11"/>
      <c r="P12" s="11"/>
      <c r="Q12" s="11"/>
      <c r="S12" s="24" t="s">
        <v>73</v>
      </c>
      <c r="T12" s="25" t="s">
        <v>74</v>
      </c>
      <c r="U12" s="24" t="s">
        <v>73</v>
      </c>
    </row>
    <row r="13" spans="1:21" s="3" customFormat="1" ht="30" customHeight="1" x14ac:dyDescent="0.25">
      <c r="A13" s="4"/>
      <c r="B13" s="4"/>
      <c r="C13" s="4"/>
      <c r="D13" s="23"/>
      <c r="E13" s="23"/>
      <c r="F13" s="5"/>
      <c r="G13" s="21"/>
      <c r="H13" s="5"/>
      <c r="I13" s="5"/>
      <c r="J13" s="11"/>
      <c r="K13" s="108"/>
      <c r="L13" s="4"/>
      <c r="M13" s="11"/>
      <c r="N13" s="11"/>
      <c r="O13" s="11"/>
      <c r="P13" s="11"/>
      <c r="Q13" s="11"/>
      <c r="S13" s="24" t="s">
        <v>75</v>
      </c>
      <c r="T13" s="25" t="s">
        <v>76</v>
      </c>
      <c r="U13" s="24" t="s">
        <v>75</v>
      </c>
    </row>
    <row r="14" spans="1:21" s="3" customFormat="1" ht="30" customHeight="1" x14ac:dyDescent="0.25">
      <c r="A14" s="4"/>
      <c r="B14" s="4"/>
      <c r="C14" s="4"/>
      <c r="D14" s="4"/>
      <c r="E14" s="4"/>
      <c r="F14" s="5"/>
      <c r="G14" s="5"/>
      <c r="H14" s="5"/>
      <c r="I14" s="5"/>
      <c r="J14" s="13"/>
      <c r="K14" s="14"/>
      <c r="L14" s="4"/>
      <c r="M14" s="11"/>
      <c r="N14" s="11"/>
      <c r="O14" s="11"/>
      <c r="P14" s="11"/>
      <c r="Q14" s="11"/>
      <c r="S14" s="24" t="s">
        <v>77</v>
      </c>
      <c r="T14" s="25" t="s">
        <v>78</v>
      </c>
      <c r="U14" s="24" t="s">
        <v>77</v>
      </c>
    </row>
    <row r="15" spans="1:21" s="3" customFormat="1" ht="30" customHeight="1" x14ac:dyDescent="0.25">
      <c r="A15" s="4"/>
      <c r="B15" s="4"/>
      <c r="C15" s="4"/>
      <c r="D15" s="4"/>
      <c r="E15" s="4"/>
      <c r="F15" s="5"/>
      <c r="G15" s="5"/>
      <c r="H15" s="5"/>
      <c r="I15" s="5"/>
      <c r="J15" s="13"/>
      <c r="K15" s="14"/>
      <c r="L15" s="4"/>
      <c r="M15" s="11"/>
      <c r="N15" s="11"/>
      <c r="O15" s="11"/>
      <c r="P15" s="11"/>
      <c r="Q15" s="11"/>
      <c r="S15" s="24" t="s">
        <v>79</v>
      </c>
      <c r="T15" s="25" t="s">
        <v>80</v>
      </c>
      <c r="U15" s="24" t="s">
        <v>79</v>
      </c>
    </row>
    <row r="16" spans="1:21" s="3" customFormat="1" ht="30" customHeight="1" x14ac:dyDescent="0.25">
      <c r="A16" s="4"/>
      <c r="B16" s="4"/>
      <c r="C16" s="4"/>
      <c r="D16" s="4"/>
      <c r="E16" s="4"/>
      <c r="F16" s="5"/>
      <c r="G16" s="5"/>
      <c r="H16" s="13"/>
      <c r="I16" s="5"/>
      <c r="J16" s="13"/>
      <c r="K16" s="14"/>
      <c r="L16" s="4"/>
      <c r="M16" s="11"/>
      <c r="N16" s="11"/>
      <c r="O16" s="11"/>
      <c r="P16" s="11"/>
      <c r="Q16" s="11"/>
      <c r="S16" s="24" t="s">
        <v>81</v>
      </c>
      <c r="T16" s="25" t="s">
        <v>82</v>
      </c>
      <c r="U16" s="24" t="s">
        <v>81</v>
      </c>
    </row>
    <row r="17" spans="1:21" s="3" customFormat="1" ht="30" customHeight="1" x14ac:dyDescent="0.25">
      <c r="A17" s="4"/>
      <c r="B17" s="4"/>
      <c r="C17" s="4"/>
      <c r="D17" s="4"/>
      <c r="E17" s="4"/>
      <c r="F17" s="5"/>
      <c r="G17" s="5"/>
      <c r="H17" s="5"/>
      <c r="I17" s="5"/>
      <c r="J17" s="13"/>
      <c r="K17" s="14"/>
      <c r="L17" s="4"/>
      <c r="M17" s="11"/>
      <c r="N17" s="11"/>
      <c r="O17" s="11"/>
      <c r="P17" s="11"/>
      <c r="Q17" s="11"/>
      <c r="S17" s="24" t="s">
        <v>83</v>
      </c>
      <c r="T17" s="25" t="s">
        <v>84</v>
      </c>
      <c r="U17" s="24" t="s">
        <v>83</v>
      </c>
    </row>
    <row r="18" spans="1:21" s="3" customFormat="1" ht="30" customHeight="1" x14ac:dyDescent="0.25">
      <c r="A18" s="4"/>
      <c r="B18" s="4"/>
      <c r="C18" s="4"/>
      <c r="D18" s="4"/>
      <c r="E18" s="4"/>
      <c r="F18" s="5"/>
      <c r="G18" s="5"/>
      <c r="H18" s="5"/>
      <c r="I18" s="5"/>
      <c r="J18" s="13"/>
      <c r="K18" s="14"/>
      <c r="L18" s="4"/>
      <c r="M18" s="11"/>
      <c r="N18" s="11"/>
      <c r="O18" s="11"/>
      <c r="P18" s="11"/>
      <c r="Q18" s="11"/>
      <c r="S18" s="24" t="s">
        <v>85</v>
      </c>
      <c r="T18" s="25" t="s">
        <v>86</v>
      </c>
      <c r="U18" s="24" t="s">
        <v>85</v>
      </c>
    </row>
    <row r="19" spans="1:21" s="3" customFormat="1" ht="30" customHeight="1" x14ac:dyDescent="0.25">
      <c r="A19" s="4"/>
      <c r="B19" s="4"/>
      <c r="C19" s="4"/>
      <c r="D19" s="4"/>
      <c r="E19" s="4"/>
      <c r="F19" s="5"/>
      <c r="G19" s="5"/>
      <c r="H19" s="5"/>
      <c r="I19" s="5"/>
      <c r="J19" s="13"/>
      <c r="K19" s="14"/>
      <c r="L19" s="4"/>
      <c r="M19" s="11"/>
      <c r="N19" s="11"/>
      <c r="O19" s="11"/>
      <c r="P19" s="11"/>
      <c r="Q19" s="11"/>
      <c r="S19" s="24" t="s">
        <v>87</v>
      </c>
      <c r="T19" s="25" t="s">
        <v>88</v>
      </c>
      <c r="U19" s="24" t="s">
        <v>87</v>
      </c>
    </row>
    <row r="20" spans="1:21" s="3" customFormat="1" ht="30" customHeight="1" x14ac:dyDescent="0.25">
      <c r="A20" s="4"/>
      <c r="B20" s="4"/>
      <c r="C20" s="4"/>
      <c r="D20" s="4"/>
      <c r="E20" s="4"/>
      <c r="F20" s="5"/>
      <c r="G20" s="5"/>
      <c r="H20" s="5"/>
      <c r="I20" s="5"/>
      <c r="J20" s="13"/>
      <c r="K20" s="14"/>
      <c r="L20" s="4"/>
      <c r="M20" s="11"/>
      <c r="N20" s="11"/>
      <c r="O20" s="11"/>
      <c r="P20" s="11"/>
      <c r="Q20" s="11"/>
      <c r="S20" s="25" t="s">
        <v>89</v>
      </c>
      <c r="T20" s="25" t="s">
        <v>90</v>
      </c>
      <c r="U20" s="25" t="s">
        <v>89</v>
      </c>
    </row>
    <row r="21" spans="1:21" s="3" customFormat="1" ht="30" customHeight="1" x14ac:dyDescent="0.25">
      <c r="A21" s="4"/>
      <c r="B21" s="4"/>
      <c r="C21" s="4"/>
      <c r="D21" s="4"/>
      <c r="E21" s="4"/>
      <c r="F21" s="5"/>
      <c r="G21" s="5"/>
      <c r="H21" s="5"/>
      <c r="I21" s="5"/>
      <c r="J21" s="13"/>
      <c r="K21" s="14"/>
      <c r="L21" s="4"/>
      <c r="M21" s="12"/>
      <c r="N21" s="12"/>
      <c r="O21" s="12"/>
      <c r="P21" s="12"/>
      <c r="Q21" s="12"/>
    </row>
    <row r="22" spans="1:21" s="3" customFormat="1" ht="30" customHeight="1" x14ac:dyDescent="0.25">
      <c r="A22" s="4"/>
      <c r="B22" s="4"/>
      <c r="C22" s="4"/>
      <c r="D22" s="4"/>
      <c r="E22" s="4"/>
      <c r="F22" s="5"/>
      <c r="G22" s="5"/>
      <c r="H22" s="5"/>
      <c r="I22" s="5"/>
      <c r="J22" s="13"/>
      <c r="K22" s="14"/>
      <c r="L22" s="4"/>
      <c r="M22" s="12"/>
      <c r="N22" s="12"/>
      <c r="O22" s="12"/>
      <c r="P22" s="12"/>
      <c r="Q22" s="12"/>
      <c r="S22" s="3" t="s">
        <v>205</v>
      </c>
    </row>
    <row r="23" spans="1:21" s="3" customFormat="1" ht="30" customHeight="1" x14ac:dyDescent="0.25">
      <c r="A23" s="4"/>
      <c r="B23" s="4"/>
      <c r="C23" s="4"/>
      <c r="D23" s="4"/>
      <c r="E23" s="4"/>
      <c r="F23" s="5"/>
      <c r="G23" s="5"/>
      <c r="H23" s="5"/>
      <c r="I23" s="5"/>
      <c r="J23" s="13"/>
      <c r="K23" s="14"/>
      <c r="L23" s="4"/>
      <c r="M23" s="12"/>
      <c r="N23" s="12"/>
      <c r="O23" s="12"/>
      <c r="P23" s="12"/>
      <c r="Q23" s="12"/>
      <c r="S23" s="3" t="s">
        <v>206</v>
      </c>
      <c r="T23" s="3" t="s">
        <v>207</v>
      </c>
    </row>
    <row r="24" spans="1:21" s="3" customFormat="1" ht="30" customHeight="1" x14ac:dyDescent="0.25">
      <c r="A24" s="4"/>
      <c r="B24" s="4"/>
      <c r="C24" s="4"/>
      <c r="D24" s="4"/>
      <c r="E24" s="4"/>
      <c r="F24" s="5"/>
      <c r="G24" s="5"/>
      <c r="H24" s="5"/>
      <c r="I24" s="5"/>
      <c r="J24" s="13"/>
      <c r="K24" s="14"/>
      <c r="L24" s="4"/>
      <c r="M24" s="12"/>
      <c r="N24" s="12"/>
      <c r="O24" s="12"/>
      <c r="P24" s="12"/>
      <c r="Q24" s="12"/>
      <c r="S24" s="3" t="s">
        <v>208</v>
      </c>
      <c r="T24" s="3" t="s">
        <v>209</v>
      </c>
    </row>
    <row r="25" spans="1:21" s="3" customFormat="1" ht="30" customHeight="1" x14ac:dyDescent="0.25">
      <c r="A25" s="4"/>
      <c r="B25" s="4"/>
      <c r="C25" s="4"/>
      <c r="D25" s="4"/>
      <c r="E25" s="4"/>
      <c r="F25" s="5"/>
      <c r="G25" s="5"/>
      <c r="H25" s="5"/>
      <c r="I25" s="5"/>
      <c r="J25" s="13"/>
      <c r="K25" s="14"/>
      <c r="L25" s="4"/>
      <c r="M25" s="12"/>
      <c r="N25" s="12"/>
      <c r="O25" s="12"/>
      <c r="P25" s="12"/>
      <c r="Q25" s="12"/>
      <c r="S25" s="3" t="s">
        <v>210</v>
      </c>
      <c r="T25" s="3" t="s">
        <v>211</v>
      </c>
    </row>
    <row r="26" spans="1:21" s="3" customFormat="1" ht="30" customHeight="1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6"/>
      <c r="L26" s="4"/>
      <c r="M26" s="4"/>
      <c r="N26" s="4"/>
      <c r="O26" s="4"/>
      <c r="P26" s="4"/>
      <c r="Q26" s="4"/>
    </row>
    <row r="27" spans="1:21" s="3" customFormat="1" ht="30" customHeight="1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6"/>
      <c r="L27" s="4"/>
      <c r="M27" s="4"/>
      <c r="N27" s="4"/>
      <c r="O27" s="4"/>
      <c r="P27" s="4"/>
      <c r="Q27" s="4"/>
    </row>
    <row r="28" spans="1:21" s="3" customFormat="1" ht="30" customHeight="1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6"/>
      <c r="L28" s="4"/>
      <c r="M28" s="4"/>
      <c r="N28" s="4"/>
      <c r="O28" s="4"/>
      <c r="P28" s="4"/>
      <c r="Q28" s="4"/>
    </row>
    <row r="29" spans="1:21" s="3" customFormat="1" ht="30" customHeight="1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6"/>
      <c r="L29" s="4"/>
      <c r="M29" s="4"/>
      <c r="N29" s="4"/>
      <c r="O29" s="4"/>
      <c r="P29" s="4"/>
      <c r="Q29" s="4"/>
    </row>
    <row r="30" spans="1:21" s="3" customFormat="1" ht="30" customHeight="1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6"/>
      <c r="L30" s="4"/>
      <c r="M30" s="4"/>
      <c r="N30" s="4"/>
      <c r="O30" s="4"/>
      <c r="P30" s="4"/>
      <c r="Q30" s="4"/>
    </row>
    <row r="31" spans="1:21" s="3" customFormat="1" ht="30" customHeight="1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6"/>
      <c r="L31" s="4"/>
      <c r="M31" s="4"/>
      <c r="N31" s="4"/>
      <c r="O31" s="4"/>
      <c r="P31" s="4"/>
      <c r="Q31" s="4"/>
    </row>
    <row r="32" spans="1:21" s="3" customFormat="1" ht="30" customHeight="1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6"/>
      <c r="L32" s="4"/>
      <c r="M32" s="4"/>
      <c r="N32" s="4"/>
      <c r="O32" s="4"/>
      <c r="P32" s="4"/>
      <c r="Q32" s="4"/>
    </row>
    <row r="33" spans="1:17" s="3" customFormat="1" ht="30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6"/>
      <c r="L33" s="4"/>
      <c r="M33" s="4"/>
      <c r="N33" s="4"/>
      <c r="O33" s="4"/>
      <c r="P33" s="4"/>
      <c r="Q33" s="4"/>
    </row>
    <row r="34" spans="1:17" s="3" customFormat="1" ht="30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6"/>
      <c r="L34" s="4"/>
      <c r="M34" s="4"/>
      <c r="N34" s="4"/>
      <c r="O34" s="4"/>
      <c r="P34" s="4"/>
      <c r="Q34" s="4"/>
    </row>
    <row r="35" spans="1:17" s="3" customFormat="1" ht="30" customHeight="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6"/>
      <c r="L35" s="4"/>
      <c r="M35" s="4"/>
      <c r="N35" s="4"/>
      <c r="O35" s="4"/>
      <c r="P35" s="4"/>
      <c r="Q35" s="4"/>
    </row>
    <row r="36" spans="1:17" s="3" customFormat="1" ht="30" customHeight="1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6"/>
      <c r="L36" s="4"/>
      <c r="M36" s="4"/>
      <c r="N36" s="4"/>
      <c r="O36" s="4"/>
      <c r="P36" s="4"/>
      <c r="Q36" s="4"/>
    </row>
    <row r="37" spans="1:17" s="3" customFormat="1" ht="30" customHeight="1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6"/>
      <c r="L37" s="4"/>
      <c r="M37" s="4"/>
      <c r="N37" s="4"/>
      <c r="O37" s="4"/>
      <c r="P37" s="4"/>
      <c r="Q37" s="4"/>
    </row>
    <row r="38" spans="1:17" s="3" customFormat="1" ht="30" customHeight="1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6"/>
      <c r="L38" s="4"/>
      <c r="M38" s="4"/>
      <c r="N38" s="4"/>
      <c r="O38" s="4"/>
      <c r="P38" s="4"/>
      <c r="Q38" s="4"/>
    </row>
    <row r="39" spans="1:17" s="3" customFormat="1" ht="30" customHeight="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6"/>
      <c r="L39" s="4"/>
      <c r="M39" s="4"/>
      <c r="N39" s="4"/>
      <c r="O39" s="4"/>
      <c r="P39" s="4"/>
      <c r="Q39" s="4"/>
    </row>
    <row r="40" spans="1:17" s="3" customFormat="1" ht="30" customHeight="1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6"/>
      <c r="L40" s="4"/>
      <c r="M40" s="4"/>
      <c r="N40" s="4"/>
      <c r="O40" s="4"/>
      <c r="P40" s="4"/>
      <c r="Q40" s="4"/>
    </row>
    <row r="41" spans="1:17" s="3" customFormat="1" ht="30" customHeight="1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6"/>
      <c r="L41" s="4"/>
      <c r="M41" s="4"/>
      <c r="N41" s="4"/>
      <c r="O41" s="4"/>
      <c r="P41" s="4"/>
      <c r="Q41" s="4"/>
    </row>
    <row r="42" spans="1:17" s="3" customFormat="1" ht="30" customHeight="1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6"/>
      <c r="L42" s="4"/>
      <c r="M42" s="4"/>
      <c r="N42" s="4"/>
      <c r="O42" s="4"/>
      <c r="P42" s="4"/>
      <c r="Q42" s="4"/>
    </row>
    <row r="43" spans="1:17" s="3" customFormat="1" ht="30" customHeight="1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6"/>
      <c r="L43" s="4"/>
      <c r="M43" s="4"/>
      <c r="N43" s="4"/>
      <c r="O43" s="4"/>
      <c r="P43" s="4"/>
      <c r="Q43" s="4"/>
    </row>
    <row r="44" spans="1:17" s="3" customFormat="1" ht="30" customHeight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6"/>
      <c r="L44" s="4"/>
      <c r="M44" s="4"/>
      <c r="N44" s="4"/>
      <c r="O44" s="4"/>
      <c r="P44" s="4"/>
      <c r="Q44" s="4"/>
    </row>
    <row r="45" spans="1:17" s="3" customFormat="1" ht="30" customHeigh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6"/>
      <c r="L45" s="4"/>
      <c r="M45" s="4"/>
      <c r="N45" s="4"/>
      <c r="O45" s="4"/>
      <c r="P45" s="4"/>
      <c r="Q45" s="4"/>
    </row>
    <row r="46" spans="1:17" s="3" customFormat="1" ht="30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6"/>
      <c r="L46" s="4"/>
      <c r="M46" s="4"/>
      <c r="N46" s="4"/>
      <c r="O46" s="4"/>
      <c r="P46" s="4"/>
      <c r="Q46" s="4"/>
    </row>
    <row r="47" spans="1:17" s="3" customFormat="1" ht="30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6"/>
      <c r="L47" s="4"/>
      <c r="M47" s="4"/>
      <c r="N47" s="4"/>
      <c r="O47" s="4"/>
      <c r="P47" s="4"/>
      <c r="Q47" s="4"/>
    </row>
    <row r="48" spans="1:17" s="3" customFormat="1" ht="30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6"/>
      <c r="L48" s="4"/>
      <c r="M48" s="4"/>
      <c r="N48" s="4"/>
      <c r="O48" s="4"/>
      <c r="P48" s="4"/>
      <c r="Q48" s="4"/>
    </row>
    <row r="49" spans="1:17" s="3" customFormat="1" ht="30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6"/>
      <c r="L49" s="4"/>
      <c r="M49" s="4"/>
      <c r="N49" s="4"/>
      <c r="O49" s="4"/>
      <c r="P49" s="4"/>
      <c r="Q49" s="4"/>
    </row>
    <row r="50" spans="1:17" s="3" customFormat="1" ht="30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6"/>
      <c r="L50" s="4"/>
      <c r="M50" s="4"/>
      <c r="N50" s="4"/>
      <c r="O50" s="4"/>
      <c r="P50" s="4"/>
      <c r="Q50" s="4"/>
    </row>
    <row r="51" spans="1:17" s="3" customFormat="1" ht="30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6"/>
      <c r="L51" s="4"/>
      <c r="M51" s="4"/>
      <c r="N51" s="4"/>
      <c r="O51" s="4"/>
      <c r="P51" s="4"/>
      <c r="Q51" s="4"/>
    </row>
    <row r="52" spans="1:17" s="3" customFormat="1" ht="30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6"/>
      <c r="L52" s="4"/>
      <c r="M52" s="4"/>
      <c r="N52" s="4"/>
      <c r="O52" s="4"/>
      <c r="P52" s="4"/>
      <c r="Q52" s="4"/>
    </row>
    <row r="53" spans="1:17" s="3" customFormat="1" ht="30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6"/>
      <c r="L53" s="4"/>
      <c r="M53" s="4"/>
      <c r="N53" s="4"/>
      <c r="O53" s="4"/>
      <c r="P53" s="4"/>
      <c r="Q53" s="4"/>
    </row>
    <row r="54" spans="1:17" s="3" customFormat="1" ht="30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6"/>
      <c r="L54" s="4"/>
      <c r="M54" s="4"/>
      <c r="N54" s="4"/>
      <c r="O54" s="4"/>
      <c r="P54" s="4"/>
      <c r="Q54" s="4"/>
    </row>
    <row r="55" spans="1:17" s="3" customFormat="1" ht="30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6"/>
      <c r="L55" s="4"/>
      <c r="M55" s="4"/>
      <c r="N55" s="4"/>
      <c r="O55" s="4"/>
      <c r="P55" s="4"/>
      <c r="Q55" s="4"/>
    </row>
  </sheetData>
  <mergeCells count="10">
    <mergeCell ref="A6:A7"/>
    <mergeCell ref="B6:B7"/>
    <mergeCell ref="F6:H6"/>
    <mergeCell ref="I6:I7"/>
    <mergeCell ref="J6:J7"/>
    <mergeCell ref="K6:K7"/>
    <mergeCell ref="L6:L7"/>
    <mergeCell ref="M6:Q6"/>
    <mergeCell ref="C6:D6"/>
    <mergeCell ref="E6:E7"/>
  </mergeCells>
  <pageMargins left="0.7" right="0.7" top="0.75" bottom="0.75" header="0.3" footer="0.3"/>
  <pageSetup scale="24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D5295-FE34-4FEB-815E-EC9D5DC25652}">
  <sheetPr>
    <tabColor rgb="FF92D050"/>
  </sheetPr>
  <dimension ref="A1:W55"/>
  <sheetViews>
    <sheetView showGridLines="0" view="pageBreakPreview" topLeftCell="D1" zoomScale="70" zoomScaleNormal="70" zoomScaleSheetLayoutView="70" workbookViewId="0">
      <selection activeCell="J8" sqref="J8"/>
    </sheetView>
  </sheetViews>
  <sheetFormatPr defaultColWidth="9.140625" defaultRowHeight="14.25" outlineLevelCol="1" x14ac:dyDescent="0.2"/>
  <cols>
    <col min="1" max="1" width="8.7109375" style="7" customWidth="1" outlineLevel="1"/>
    <col min="2" max="2" width="8.28515625" style="7" customWidth="1" outlineLevel="1"/>
    <col min="3" max="3" width="39.7109375" style="7" customWidth="1"/>
    <col min="4" max="4" width="15.42578125" style="7" customWidth="1"/>
    <col min="5" max="5" width="63.85546875" style="7" customWidth="1"/>
    <col min="6" max="7" width="14.140625" style="7" customWidth="1"/>
    <col min="8" max="8" width="20.28515625" style="7" customWidth="1"/>
    <col min="9" max="9" width="24.5703125" style="27" bestFit="1" customWidth="1"/>
    <col min="10" max="10" width="16.140625" style="7" customWidth="1"/>
    <col min="11" max="11" width="18.7109375" style="7" customWidth="1"/>
    <col min="12" max="12" width="22.140625" style="7" customWidth="1"/>
    <col min="13" max="13" width="22.140625" style="7" customWidth="1" outlineLevel="1"/>
    <col min="14" max="18" width="18.5703125" style="7" customWidth="1" outlineLevel="1"/>
    <col min="19" max="19" width="9.140625" style="7" customWidth="1"/>
    <col min="20" max="20" width="16.85546875" style="7" bestFit="1" customWidth="1"/>
    <col min="21" max="21" width="76.42578125" style="7" bestFit="1" customWidth="1"/>
    <col min="22" max="16384" width="9.140625" style="7"/>
  </cols>
  <sheetData>
    <row r="1" spans="1:23" ht="20.25" x14ac:dyDescent="0.3">
      <c r="C1" s="10" t="s">
        <v>7</v>
      </c>
      <c r="D1" s="10"/>
    </row>
    <row r="2" spans="1:23" ht="15" x14ac:dyDescent="0.25">
      <c r="C2" s="9" t="s">
        <v>8</v>
      </c>
      <c r="D2" s="9"/>
    </row>
    <row r="3" spans="1:23" ht="15" x14ac:dyDescent="0.25">
      <c r="C3" s="9"/>
      <c r="D3" s="9"/>
      <c r="I3" s="7"/>
    </row>
    <row r="4" spans="1:23" ht="15" x14ac:dyDescent="0.25">
      <c r="C4" s="5" t="s">
        <v>290</v>
      </c>
      <c r="D4" s="8" t="s">
        <v>285</v>
      </c>
      <c r="F4" s="7" t="s">
        <v>168</v>
      </c>
      <c r="I4" s="7"/>
      <c r="L4" s="9" t="s">
        <v>169</v>
      </c>
    </row>
    <row r="5" spans="1:23" x14ac:dyDescent="0.2">
      <c r="C5" s="7" t="s">
        <v>263</v>
      </c>
      <c r="D5" s="8"/>
      <c r="I5" s="7"/>
      <c r="K5" s="29">
        <f>SUM(K8:K55)</f>
        <v>78500000</v>
      </c>
      <c r="L5" s="29">
        <f>SUM(L8:L55)</f>
        <v>342530000</v>
      </c>
      <c r="N5" s="29">
        <f>SUM(N8:N55)</f>
        <v>78500000</v>
      </c>
      <c r="O5" s="29">
        <f>SUM(O8:O55)</f>
        <v>78500000</v>
      </c>
      <c r="P5" s="29">
        <f>SUM(P8:P55)</f>
        <v>78500000</v>
      </c>
      <c r="Q5" s="29">
        <f>SUM(Q8:Q55)</f>
        <v>78500000</v>
      </c>
      <c r="R5" s="29">
        <f>SUM(R8:R55)</f>
        <v>0</v>
      </c>
    </row>
    <row r="6" spans="1:23" s="3" customFormat="1" ht="30" customHeight="1" x14ac:dyDescent="0.25">
      <c r="A6" s="127" t="s">
        <v>55</v>
      </c>
      <c r="B6" s="127" t="s">
        <v>59</v>
      </c>
      <c r="C6" s="134" t="s">
        <v>58</v>
      </c>
      <c r="D6" s="134" t="s">
        <v>57</v>
      </c>
      <c r="E6" s="127" t="s">
        <v>166</v>
      </c>
      <c r="F6" s="134" t="s">
        <v>145</v>
      </c>
      <c r="G6" s="134"/>
      <c r="H6" s="127" t="s">
        <v>148</v>
      </c>
      <c r="I6" s="135" t="s">
        <v>149</v>
      </c>
      <c r="J6" s="127" t="s">
        <v>31</v>
      </c>
      <c r="K6" s="127" t="s">
        <v>61</v>
      </c>
      <c r="L6" s="129" t="s">
        <v>60</v>
      </c>
      <c r="M6" s="127" t="s">
        <v>33</v>
      </c>
      <c r="N6" s="131" t="s">
        <v>54</v>
      </c>
      <c r="O6" s="132"/>
      <c r="P6" s="132"/>
      <c r="Q6" s="132"/>
      <c r="R6" s="133"/>
      <c r="V6" s="1"/>
    </row>
    <row r="7" spans="1:23" s="3" customFormat="1" ht="30" customHeight="1" x14ac:dyDescent="0.25">
      <c r="A7" s="128"/>
      <c r="B7" s="128"/>
      <c r="C7" s="134"/>
      <c r="D7" s="134"/>
      <c r="E7" s="128"/>
      <c r="F7" s="16" t="s">
        <v>146</v>
      </c>
      <c r="G7" s="16" t="s">
        <v>147</v>
      </c>
      <c r="H7" s="128"/>
      <c r="I7" s="136"/>
      <c r="J7" s="128"/>
      <c r="K7" s="128"/>
      <c r="L7" s="130"/>
      <c r="M7" s="128"/>
      <c r="N7" s="15">
        <v>2024</v>
      </c>
      <c r="O7" s="15">
        <v>2023</v>
      </c>
      <c r="P7" s="15">
        <v>2022</v>
      </c>
      <c r="Q7" s="15">
        <v>2021</v>
      </c>
      <c r="R7" s="15">
        <v>2020</v>
      </c>
      <c r="T7" s="3" t="s">
        <v>30</v>
      </c>
      <c r="U7" s="3" t="s">
        <v>30</v>
      </c>
      <c r="V7" s="1" t="s">
        <v>30</v>
      </c>
    </row>
    <row r="8" spans="1:23" s="3" customFormat="1" ht="30" customHeight="1" x14ac:dyDescent="0.25">
      <c r="A8" s="4">
        <v>1</v>
      </c>
      <c r="B8" s="4" t="str">
        <f>VLOOKUP(C8,$U:$V,2,0)</f>
        <v>0502</v>
      </c>
      <c r="C8" s="23" t="s">
        <v>153</v>
      </c>
      <c r="D8" s="4" t="s">
        <v>291</v>
      </c>
      <c r="E8" s="120" t="s">
        <v>296</v>
      </c>
      <c r="F8" s="5" t="s">
        <v>294</v>
      </c>
      <c r="G8" s="21" t="s">
        <v>295</v>
      </c>
      <c r="H8" s="121" t="s">
        <v>218</v>
      </c>
      <c r="I8" s="21" t="s">
        <v>293</v>
      </c>
      <c r="J8" s="5">
        <v>2012</v>
      </c>
      <c r="K8" s="11">
        <v>78500000</v>
      </c>
      <c r="L8" s="45">
        <v>342530000</v>
      </c>
      <c r="M8" s="22" t="s">
        <v>30</v>
      </c>
      <c r="N8" s="11">
        <v>78500000</v>
      </c>
      <c r="O8" s="11">
        <v>78500000</v>
      </c>
      <c r="P8" s="11">
        <v>78500000</v>
      </c>
      <c r="Q8" s="11">
        <v>78500000</v>
      </c>
      <c r="R8" s="11">
        <v>0</v>
      </c>
      <c r="S8" s="79"/>
      <c r="T8" s="20" t="s">
        <v>150</v>
      </c>
      <c r="U8" s="19" t="s">
        <v>151</v>
      </c>
      <c r="V8" s="20" t="s">
        <v>150</v>
      </c>
      <c r="W8" s="3" t="s">
        <v>197</v>
      </c>
    </row>
    <row r="9" spans="1:23" s="3" customFormat="1" ht="30" customHeight="1" x14ac:dyDescent="0.25">
      <c r="A9" s="4">
        <f>A8+1</f>
        <v>2</v>
      </c>
      <c r="B9" s="4"/>
      <c r="C9" s="23"/>
      <c r="D9" s="4"/>
      <c r="E9" s="120"/>
      <c r="F9" s="5"/>
      <c r="G9" s="21"/>
      <c r="H9" s="121"/>
      <c r="I9" s="21"/>
      <c r="J9" s="5"/>
      <c r="K9" s="11"/>
      <c r="L9" s="45"/>
      <c r="M9" s="22"/>
      <c r="N9" s="11"/>
      <c r="O9" s="11"/>
      <c r="P9" s="11"/>
      <c r="Q9" s="11"/>
      <c r="R9" s="11"/>
      <c r="T9" s="20" t="s">
        <v>152</v>
      </c>
      <c r="U9" s="19" t="s">
        <v>153</v>
      </c>
      <c r="V9" s="20" t="s">
        <v>152</v>
      </c>
      <c r="W9" s="3" t="s">
        <v>198</v>
      </c>
    </row>
    <row r="10" spans="1:23" s="3" customFormat="1" ht="30" customHeight="1" x14ac:dyDescent="0.25">
      <c r="A10" s="4">
        <v>3</v>
      </c>
      <c r="B10" s="4"/>
      <c r="C10" s="78"/>
      <c r="D10" s="4"/>
      <c r="E10" s="107"/>
      <c r="F10" s="5"/>
      <c r="G10" s="21"/>
      <c r="H10" s="5"/>
      <c r="I10" s="26"/>
      <c r="J10" s="5"/>
      <c r="K10" s="13"/>
      <c r="L10" s="14"/>
      <c r="M10" s="22"/>
      <c r="N10" s="11"/>
      <c r="O10" s="11"/>
      <c r="P10" s="11"/>
      <c r="Q10" s="11"/>
      <c r="R10" s="11"/>
      <c r="T10" s="20" t="s">
        <v>154</v>
      </c>
      <c r="U10" s="19" t="s">
        <v>155</v>
      </c>
      <c r="V10" s="20" t="s">
        <v>154</v>
      </c>
    </row>
    <row r="11" spans="1:23" s="3" customFormat="1" ht="30" customHeight="1" x14ac:dyDescent="0.25">
      <c r="A11" s="4"/>
      <c r="B11" s="4"/>
      <c r="C11" s="78"/>
      <c r="D11" s="4"/>
      <c r="E11" s="107"/>
      <c r="F11" s="5"/>
      <c r="G11" s="5"/>
      <c r="H11" s="5"/>
      <c r="I11" s="26"/>
      <c r="J11" s="5"/>
      <c r="K11" s="13"/>
      <c r="L11" s="14"/>
      <c r="M11" s="22"/>
      <c r="N11" s="11"/>
      <c r="O11" s="11"/>
      <c r="P11" s="11"/>
      <c r="Q11" s="11"/>
      <c r="R11" s="11"/>
      <c r="S11" s="79"/>
      <c r="T11" s="20" t="s">
        <v>156</v>
      </c>
      <c r="U11" s="19" t="s">
        <v>157</v>
      </c>
      <c r="V11" s="20" t="s">
        <v>156</v>
      </c>
    </row>
    <row r="12" spans="1:23" s="3" customFormat="1" ht="30" customHeight="1" x14ac:dyDescent="0.25">
      <c r="A12" s="4"/>
      <c r="B12" s="4"/>
      <c r="C12" s="78"/>
      <c r="D12" s="4"/>
      <c r="E12" s="107"/>
      <c r="F12" s="5"/>
      <c r="G12" s="21"/>
      <c r="H12" s="5"/>
      <c r="I12" s="26"/>
      <c r="J12" s="5"/>
      <c r="K12" s="13"/>
      <c r="L12" s="14"/>
      <c r="M12" s="22"/>
      <c r="N12" s="11"/>
      <c r="O12" s="11"/>
      <c r="P12" s="11"/>
      <c r="Q12" s="11"/>
      <c r="R12" s="11"/>
      <c r="T12" s="20" t="s">
        <v>158</v>
      </c>
      <c r="U12" s="19" t="s">
        <v>159</v>
      </c>
      <c r="V12" s="20" t="s">
        <v>158</v>
      </c>
    </row>
    <row r="13" spans="1:23" s="3" customFormat="1" ht="30" customHeight="1" x14ac:dyDescent="0.25">
      <c r="A13" s="4"/>
      <c r="B13" s="4"/>
      <c r="C13" s="78"/>
      <c r="D13" s="4"/>
      <c r="E13" s="107"/>
      <c r="F13" s="5"/>
      <c r="G13" s="5"/>
      <c r="H13" s="5"/>
      <c r="I13" s="26"/>
      <c r="J13" s="5"/>
      <c r="K13" s="13"/>
      <c r="L13" s="14"/>
      <c r="M13" s="22"/>
      <c r="N13" s="11"/>
      <c r="O13" s="11"/>
      <c r="P13" s="11"/>
      <c r="Q13" s="11"/>
      <c r="R13" s="11"/>
      <c r="T13" s="20" t="s">
        <v>160</v>
      </c>
      <c r="U13" s="19" t="s">
        <v>161</v>
      </c>
      <c r="V13" s="20" t="s">
        <v>160</v>
      </c>
    </row>
    <row r="14" spans="1:23" s="3" customFormat="1" ht="30" customHeight="1" x14ac:dyDescent="0.25">
      <c r="A14" s="4"/>
      <c r="B14" s="4"/>
      <c r="C14" s="23"/>
      <c r="D14" s="4"/>
      <c r="E14" s="107"/>
      <c r="F14" s="5"/>
      <c r="G14" s="5"/>
      <c r="H14" s="5"/>
      <c r="I14" s="26"/>
      <c r="J14" s="5"/>
      <c r="K14" s="13"/>
      <c r="L14" s="14"/>
      <c r="M14" s="22"/>
      <c r="N14" s="11"/>
      <c r="O14" s="11"/>
      <c r="P14" s="11"/>
      <c r="Q14" s="11"/>
      <c r="R14" s="11"/>
      <c r="T14" s="20" t="s">
        <v>162</v>
      </c>
      <c r="U14" s="19" t="s">
        <v>163</v>
      </c>
      <c r="V14" s="20" t="s">
        <v>162</v>
      </c>
    </row>
    <row r="15" spans="1:23" s="3" customFormat="1" ht="30" customHeight="1" x14ac:dyDescent="0.25">
      <c r="A15" s="4"/>
      <c r="B15" s="4"/>
      <c r="C15" s="23"/>
      <c r="D15" s="4"/>
      <c r="E15" s="107"/>
      <c r="F15" s="5"/>
      <c r="G15" s="5"/>
      <c r="H15" s="5"/>
      <c r="I15" s="26"/>
      <c r="J15" s="5"/>
      <c r="K15" s="13"/>
      <c r="L15" s="14"/>
      <c r="M15" s="22"/>
      <c r="N15" s="11"/>
      <c r="O15" s="11"/>
      <c r="P15" s="11"/>
      <c r="Q15" s="11"/>
      <c r="R15" s="11"/>
      <c r="T15" s="20" t="s">
        <v>164</v>
      </c>
      <c r="U15" s="19" t="s">
        <v>165</v>
      </c>
      <c r="V15" s="20" t="s">
        <v>164</v>
      </c>
    </row>
    <row r="16" spans="1:23" s="3" customFormat="1" ht="30" customHeight="1" x14ac:dyDescent="0.25">
      <c r="A16" s="4"/>
      <c r="B16" s="4"/>
      <c r="C16" s="78"/>
      <c r="D16" s="4"/>
      <c r="E16" s="107"/>
      <c r="F16" s="5"/>
      <c r="G16" s="5"/>
      <c r="H16" s="5"/>
      <c r="I16" s="26"/>
      <c r="J16" s="5"/>
      <c r="K16" s="13"/>
      <c r="L16" s="14"/>
      <c r="M16" s="22"/>
      <c r="N16" s="11"/>
      <c r="O16" s="11"/>
      <c r="P16" s="11"/>
      <c r="Q16" s="11"/>
      <c r="R16" s="11"/>
      <c r="T16" s="20"/>
      <c r="U16" s="19"/>
      <c r="V16" s="20"/>
    </row>
    <row r="17" spans="1:22" s="3" customFormat="1" ht="30" customHeight="1" x14ac:dyDescent="0.25">
      <c r="A17" s="4"/>
      <c r="B17" s="4"/>
      <c r="C17" s="4"/>
      <c r="D17" s="4"/>
      <c r="E17" s="5"/>
      <c r="F17" s="5"/>
      <c r="G17" s="5"/>
      <c r="H17" s="5"/>
      <c r="I17" s="26"/>
      <c r="J17" s="5"/>
      <c r="K17" s="13"/>
      <c r="L17" s="14"/>
      <c r="M17" s="4"/>
      <c r="N17" s="11"/>
      <c r="O17" s="11"/>
      <c r="P17" s="11"/>
      <c r="Q17" s="11"/>
      <c r="R17" s="11"/>
      <c r="T17" s="20"/>
      <c r="U17" s="19"/>
      <c r="V17" s="20"/>
    </row>
    <row r="18" spans="1:22" s="3" customFormat="1" ht="30" customHeight="1" x14ac:dyDescent="0.25">
      <c r="A18" s="4"/>
      <c r="B18" s="4"/>
      <c r="C18" s="4"/>
      <c r="D18" s="4"/>
      <c r="E18" s="5"/>
      <c r="F18" s="5"/>
      <c r="G18" s="5"/>
      <c r="H18" s="5"/>
      <c r="I18" s="26"/>
      <c r="J18" s="5"/>
      <c r="K18" s="13"/>
      <c r="L18" s="14"/>
      <c r="M18" s="4"/>
      <c r="N18" s="11"/>
      <c r="O18" s="11"/>
      <c r="P18" s="11"/>
      <c r="Q18" s="11"/>
      <c r="R18" s="11"/>
      <c r="T18" s="20" t="s">
        <v>212</v>
      </c>
      <c r="U18" s="19"/>
      <c r="V18" s="20"/>
    </row>
    <row r="19" spans="1:22" s="3" customFormat="1" ht="30" customHeight="1" x14ac:dyDescent="0.25">
      <c r="A19" s="4"/>
      <c r="B19" s="4"/>
      <c r="C19" s="4"/>
      <c r="D19" s="4"/>
      <c r="E19" s="5"/>
      <c r="F19" s="5"/>
      <c r="G19" s="5"/>
      <c r="H19" s="5"/>
      <c r="I19" s="26"/>
      <c r="J19" s="5"/>
      <c r="K19" s="13"/>
      <c r="L19" s="14"/>
      <c r="M19" s="4"/>
      <c r="N19" s="11"/>
      <c r="O19" s="11"/>
      <c r="P19" s="11"/>
      <c r="Q19" s="11"/>
      <c r="R19" s="11"/>
      <c r="T19" s="20" t="s">
        <v>213</v>
      </c>
      <c r="U19" s="19" t="s">
        <v>207</v>
      </c>
      <c r="V19" s="20"/>
    </row>
    <row r="20" spans="1:22" s="3" customFormat="1" ht="30" customHeight="1" x14ac:dyDescent="0.25">
      <c r="A20" s="4"/>
      <c r="B20" s="4"/>
      <c r="C20" s="4"/>
      <c r="D20" s="4"/>
      <c r="E20" s="5"/>
      <c r="F20" s="5"/>
      <c r="G20" s="5"/>
      <c r="H20" s="5"/>
      <c r="I20" s="26"/>
      <c r="J20" s="5"/>
      <c r="K20" s="13"/>
      <c r="L20" s="14"/>
      <c r="M20" s="4"/>
      <c r="N20" s="11"/>
      <c r="O20" s="11"/>
      <c r="P20" s="11"/>
      <c r="Q20" s="11"/>
      <c r="R20" s="11"/>
      <c r="T20" s="19" t="s">
        <v>214</v>
      </c>
      <c r="U20" s="19" t="s">
        <v>215</v>
      </c>
      <c r="V20" s="19"/>
    </row>
    <row r="21" spans="1:22" s="3" customFormat="1" ht="30" customHeight="1" x14ac:dyDescent="0.25">
      <c r="A21" s="4"/>
      <c r="B21" s="4"/>
      <c r="C21" s="4"/>
      <c r="D21" s="4"/>
      <c r="E21" s="5"/>
      <c r="F21" s="5"/>
      <c r="G21" s="5"/>
      <c r="H21" s="5"/>
      <c r="I21" s="26"/>
      <c r="J21" s="5"/>
      <c r="K21" s="13"/>
      <c r="L21" s="14"/>
      <c r="M21" s="4"/>
      <c r="N21" s="12"/>
      <c r="O21" s="12"/>
      <c r="P21" s="12"/>
      <c r="Q21" s="12"/>
      <c r="R21" s="12"/>
      <c r="T21" s="3" t="s">
        <v>216</v>
      </c>
      <c r="U21" s="3" t="s">
        <v>217</v>
      </c>
    </row>
    <row r="22" spans="1:22" s="3" customFormat="1" ht="30" customHeight="1" x14ac:dyDescent="0.25">
      <c r="A22" s="4"/>
      <c r="B22" s="4"/>
      <c r="C22" s="4"/>
      <c r="D22" s="4"/>
      <c r="E22" s="5"/>
      <c r="F22" s="5"/>
      <c r="G22" s="5"/>
      <c r="H22" s="5"/>
      <c r="I22" s="26"/>
      <c r="J22" s="5"/>
      <c r="K22" s="13"/>
      <c r="L22" s="14"/>
      <c r="M22" s="4"/>
      <c r="N22" s="12"/>
      <c r="O22" s="12"/>
      <c r="P22" s="12"/>
      <c r="Q22" s="12"/>
      <c r="R22" s="12"/>
      <c r="T22" s="3" t="s">
        <v>218</v>
      </c>
      <c r="U22" s="3" t="s">
        <v>219</v>
      </c>
    </row>
    <row r="23" spans="1:22" s="3" customFormat="1" ht="30" customHeight="1" x14ac:dyDescent="0.25">
      <c r="A23" s="4"/>
      <c r="B23" s="4"/>
      <c r="C23" s="4"/>
      <c r="D23" s="4"/>
      <c r="E23" s="5"/>
      <c r="F23" s="5"/>
      <c r="G23" s="5"/>
      <c r="H23" s="5"/>
      <c r="I23" s="26"/>
      <c r="J23" s="5"/>
      <c r="K23" s="13"/>
      <c r="L23" s="14"/>
      <c r="M23" s="4"/>
      <c r="N23" s="12"/>
      <c r="O23" s="12"/>
      <c r="P23" s="12"/>
      <c r="Q23" s="12"/>
      <c r="R23" s="12"/>
      <c r="T23" s="3" t="s">
        <v>220</v>
      </c>
      <c r="U23" s="3" t="s">
        <v>221</v>
      </c>
    </row>
    <row r="24" spans="1:22" s="3" customFormat="1" ht="30" customHeight="1" x14ac:dyDescent="0.25">
      <c r="A24" s="4"/>
      <c r="B24" s="4"/>
      <c r="C24" s="4"/>
      <c r="D24" s="4"/>
      <c r="E24" s="5"/>
      <c r="F24" s="5"/>
      <c r="G24" s="5"/>
      <c r="H24" s="5"/>
      <c r="I24" s="26"/>
      <c r="J24" s="5"/>
      <c r="K24" s="13"/>
      <c r="L24" s="14"/>
      <c r="M24" s="4"/>
      <c r="N24" s="12"/>
      <c r="O24" s="12"/>
      <c r="P24" s="12"/>
      <c r="Q24" s="12"/>
      <c r="R24" s="12"/>
      <c r="T24" s="3" t="s">
        <v>222</v>
      </c>
      <c r="U24" s="3" t="s">
        <v>223</v>
      </c>
    </row>
    <row r="25" spans="1:22" s="3" customFormat="1" ht="30" customHeight="1" x14ac:dyDescent="0.25">
      <c r="A25" s="4"/>
      <c r="B25" s="4"/>
      <c r="C25" s="4"/>
      <c r="D25" s="4"/>
      <c r="E25" s="5"/>
      <c r="F25" s="5"/>
      <c r="G25" s="5"/>
      <c r="H25" s="5"/>
      <c r="I25" s="26"/>
      <c r="J25" s="5"/>
      <c r="K25" s="13"/>
      <c r="L25" s="14"/>
      <c r="M25" s="4"/>
      <c r="N25" s="12"/>
      <c r="O25" s="12"/>
      <c r="P25" s="12"/>
      <c r="Q25" s="12"/>
      <c r="R25" s="12"/>
      <c r="T25" s="3" t="s">
        <v>224</v>
      </c>
      <c r="U25" s="3" t="s">
        <v>225</v>
      </c>
    </row>
    <row r="26" spans="1:22" s="3" customFormat="1" ht="30" customHeight="1" x14ac:dyDescent="0.25">
      <c r="A26" s="4"/>
      <c r="B26" s="4"/>
      <c r="C26" s="4"/>
      <c r="D26" s="4"/>
      <c r="E26" s="5"/>
      <c r="F26" s="5"/>
      <c r="G26" s="5"/>
      <c r="H26" s="5"/>
      <c r="I26" s="26"/>
      <c r="J26" s="5"/>
      <c r="K26" s="13"/>
      <c r="L26" s="14"/>
      <c r="M26" s="4"/>
      <c r="N26" s="12"/>
      <c r="O26" s="12"/>
      <c r="P26" s="12"/>
      <c r="Q26" s="12"/>
      <c r="R26" s="12"/>
    </row>
    <row r="27" spans="1:22" s="3" customFormat="1" ht="30" customHeight="1" x14ac:dyDescent="0.25">
      <c r="A27" s="4"/>
      <c r="B27" s="4"/>
      <c r="C27" s="4"/>
      <c r="D27" s="4"/>
      <c r="E27" s="5"/>
      <c r="F27" s="5"/>
      <c r="G27" s="5"/>
      <c r="H27" s="5"/>
      <c r="I27" s="26"/>
      <c r="J27" s="5"/>
      <c r="K27" s="13"/>
      <c r="L27" s="14"/>
      <c r="M27" s="4"/>
      <c r="N27" s="12"/>
      <c r="O27" s="12"/>
      <c r="P27" s="12"/>
      <c r="Q27" s="12"/>
      <c r="R27" s="12"/>
    </row>
    <row r="28" spans="1:22" s="3" customFormat="1" ht="30" customHeight="1" x14ac:dyDescent="0.25">
      <c r="A28" s="4"/>
      <c r="B28" s="4"/>
      <c r="C28" s="4"/>
      <c r="D28" s="4"/>
      <c r="E28" s="4"/>
      <c r="F28" s="4"/>
      <c r="G28" s="4"/>
      <c r="H28" s="4"/>
      <c r="I28" s="28"/>
      <c r="J28" s="4"/>
      <c r="K28" s="4"/>
      <c r="L28" s="6"/>
      <c r="M28" s="4"/>
      <c r="N28" s="4"/>
      <c r="O28" s="4"/>
      <c r="P28" s="4"/>
      <c r="Q28" s="4"/>
      <c r="R28" s="4"/>
    </row>
    <row r="29" spans="1:22" s="3" customFormat="1" ht="30" customHeight="1" x14ac:dyDescent="0.25">
      <c r="A29" s="4"/>
      <c r="B29" s="4"/>
      <c r="C29" s="4"/>
      <c r="D29" s="4"/>
      <c r="E29" s="4"/>
      <c r="F29" s="4"/>
      <c r="G29" s="4"/>
      <c r="H29" s="4"/>
      <c r="I29" s="28"/>
      <c r="J29" s="4"/>
      <c r="K29" s="4"/>
      <c r="L29" s="6"/>
      <c r="M29" s="4"/>
      <c r="N29" s="4"/>
      <c r="O29" s="4"/>
      <c r="P29" s="4"/>
      <c r="Q29" s="4"/>
      <c r="R29" s="4"/>
    </row>
    <row r="30" spans="1:22" s="3" customFormat="1" ht="30" customHeight="1" x14ac:dyDescent="0.25">
      <c r="A30" s="4"/>
      <c r="B30" s="4"/>
      <c r="C30" s="4"/>
      <c r="D30" s="4"/>
      <c r="E30" s="4"/>
      <c r="F30" s="4"/>
      <c r="G30" s="4"/>
      <c r="H30" s="4"/>
      <c r="I30" s="28"/>
      <c r="J30" s="4"/>
      <c r="K30" s="4"/>
      <c r="L30" s="6"/>
      <c r="M30" s="4"/>
      <c r="N30" s="4"/>
      <c r="O30" s="4"/>
      <c r="P30" s="4"/>
      <c r="Q30" s="4"/>
      <c r="R30" s="4"/>
    </row>
    <row r="31" spans="1:22" s="3" customFormat="1" ht="30" customHeight="1" x14ac:dyDescent="0.25">
      <c r="A31" s="4"/>
      <c r="B31" s="4"/>
      <c r="C31" s="4"/>
      <c r="D31" s="4"/>
      <c r="E31" s="4"/>
      <c r="F31" s="4"/>
      <c r="G31" s="4"/>
      <c r="H31" s="4"/>
      <c r="I31" s="28"/>
      <c r="J31" s="4"/>
      <c r="K31" s="4"/>
      <c r="L31" s="6"/>
      <c r="M31" s="4"/>
      <c r="N31" s="4"/>
      <c r="O31" s="4"/>
      <c r="P31" s="4"/>
      <c r="Q31" s="4"/>
      <c r="R31" s="4"/>
    </row>
    <row r="32" spans="1:22" s="3" customFormat="1" ht="30" customHeight="1" x14ac:dyDescent="0.25">
      <c r="A32" s="4"/>
      <c r="B32" s="4"/>
      <c r="C32" s="4"/>
      <c r="D32" s="4"/>
      <c r="E32" s="4"/>
      <c r="F32" s="4"/>
      <c r="G32" s="4"/>
      <c r="H32" s="4"/>
      <c r="I32" s="28"/>
      <c r="J32" s="4"/>
      <c r="K32" s="4"/>
      <c r="L32" s="6"/>
      <c r="M32" s="4"/>
      <c r="N32" s="4"/>
      <c r="O32" s="4"/>
      <c r="P32" s="4"/>
      <c r="Q32" s="4"/>
      <c r="R32" s="4"/>
    </row>
    <row r="33" spans="1:18" s="3" customFormat="1" ht="30" customHeight="1" x14ac:dyDescent="0.25">
      <c r="A33" s="4"/>
      <c r="B33" s="4"/>
      <c r="C33" s="4"/>
      <c r="D33" s="4"/>
      <c r="E33" s="4"/>
      <c r="F33" s="4"/>
      <c r="G33" s="4"/>
      <c r="H33" s="4"/>
      <c r="I33" s="28"/>
      <c r="J33" s="4"/>
      <c r="K33" s="4"/>
      <c r="L33" s="6"/>
      <c r="M33" s="4"/>
      <c r="N33" s="4"/>
      <c r="O33" s="4"/>
      <c r="P33" s="4"/>
      <c r="Q33" s="4"/>
      <c r="R33" s="4"/>
    </row>
    <row r="34" spans="1:18" s="3" customFormat="1" ht="30" customHeight="1" x14ac:dyDescent="0.25">
      <c r="A34" s="4"/>
      <c r="B34" s="4"/>
      <c r="C34" s="4"/>
      <c r="D34" s="4"/>
      <c r="E34" s="4"/>
      <c r="F34" s="4"/>
      <c r="G34" s="4"/>
      <c r="H34" s="4"/>
      <c r="I34" s="28"/>
      <c r="J34" s="4"/>
      <c r="K34" s="4"/>
      <c r="L34" s="6"/>
      <c r="M34" s="4"/>
      <c r="N34" s="4"/>
      <c r="O34" s="4"/>
      <c r="P34" s="4"/>
      <c r="Q34" s="4"/>
      <c r="R34" s="4"/>
    </row>
    <row r="35" spans="1:18" s="3" customFormat="1" ht="30" customHeight="1" x14ac:dyDescent="0.25">
      <c r="A35" s="4"/>
      <c r="B35" s="4"/>
      <c r="C35" s="4"/>
      <c r="D35" s="4"/>
      <c r="E35" s="4"/>
      <c r="F35" s="4"/>
      <c r="G35" s="4"/>
      <c r="H35" s="4"/>
      <c r="I35" s="28"/>
      <c r="J35" s="4"/>
      <c r="K35" s="4"/>
      <c r="L35" s="6"/>
      <c r="M35" s="4"/>
      <c r="N35" s="4"/>
      <c r="O35" s="4"/>
      <c r="P35" s="4"/>
      <c r="Q35" s="4"/>
      <c r="R35" s="4"/>
    </row>
    <row r="36" spans="1:18" s="3" customFormat="1" ht="30" customHeight="1" x14ac:dyDescent="0.25">
      <c r="A36" s="4"/>
      <c r="B36" s="4"/>
      <c r="C36" s="4"/>
      <c r="D36" s="4"/>
      <c r="E36" s="4"/>
      <c r="F36" s="4"/>
      <c r="G36" s="4"/>
      <c r="H36" s="4"/>
      <c r="I36" s="28"/>
      <c r="J36" s="4"/>
      <c r="K36" s="4"/>
      <c r="L36" s="6"/>
      <c r="M36" s="4"/>
      <c r="N36" s="4"/>
      <c r="O36" s="4"/>
      <c r="P36" s="4"/>
      <c r="Q36" s="4"/>
      <c r="R36" s="4"/>
    </row>
    <row r="37" spans="1:18" s="3" customFormat="1" ht="30" customHeight="1" x14ac:dyDescent="0.25">
      <c r="A37" s="4"/>
      <c r="B37" s="4"/>
      <c r="C37" s="4"/>
      <c r="D37" s="4"/>
      <c r="E37" s="4"/>
      <c r="F37" s="4"/>
      <c r="G37" s="4"/>
      <c r="H37" s="4"/>
      <c r="I37" s="28"/>
      <c r="J37" s="4"/>
      <c r="K37" s="4"/>
      <c r="L37" s="6"/>
      <c r="M37" s="4"/>
      <c r="N37" s="4"/>
      <c r="O37" s="4"/>
      <c r="P37" s="4"/>
      <c r="Q37" s="4"/>
      <c r="R37" s="4"/>
    </row>
    <row r="38" spans="1:18" s="3" customFormat="1" ht="30" customHeight="1" x14ac:dyDescent="0.25">
      <c r="A38" s="4"/>
      <c r="B38" s="4"/>
      <c r="C38" s="4"/>
      <c r="D38" s="4"/>
      <c r="E38" s="4"/>
      <c r="F38" s="4"/>
      <c r="G38" s="4"/>
      <c r="H38" s="4"/>
      <c r="I38" s="28"/>
      <c r="J38" s="4"/>
      <c r="K38" s="4"/>
      <c r="L38" s="6"/>
      <c r="M38" s="4"/>
      <c r="N38" s="4"/>
      <c r="O38" s="4"/>
      <c r="P38" s="4"/>
      <c r="Q38" s="4"/>
      <c r="R38" s="4"/>
    </row>
    <row r="39" spans="1:18" s="3" customFormat="1" ht="30" customHeight="1" x14ac:dyDescent="0.25">
      <c r="A39" s="4"/>
      <c r="B39" s="4"/>
      <c r="C39" s="4"/>
      <c r="D39" s="4"/>
      <c r="E39" s="4"/>
      <c r="F39" s="4"/>
      <c r="G39" s="4"/>
      <c r="H39" s="4"/>
      <c r="I39" s="28"/>
      <c r="J39" s="4"/>
      <c r="K39" s="4"/>
      <c r="L39" s="6"/>
      <c r="M39" s="4"/>
      <c r="N39" s="4"/>
      <c r="O39" s="4"/>
      <c r="P39" s="4"/>
      <c r="Q39" s="4"/>
      <c r="R39" s="4"/>
    </row>
    <row r="40" spans="1:18" s="3" customFormat="1" ht="30" customHeight="1" x14ac:dyDescent="0.25">
      <c r="A40" s="4"/>
      <c r="B40" s="4"/>
      <c r="C40" s="4"/>
      <c r="D40" s="4"/>
      <c r="E40" s="4"/>
      <c r="F40" s="4"/>
      <c r="G40" s="4"/>
      <c r="H40" s="4"/>
      <c r="I40" s="28"/>
      <c r="J40" s="4"/>
      <c r="K40" s="4"/>
      <c r="L40" s="6"/>
      <c r="M40" s="4"/>
      <c r="N40" s="4"/>
      <c r="O40" s="4"/>
      <c r="P40" s="4"/>
      <c r="Q40" s="4"/>
      <c r="R40" s="4"/>
    </row>
    <row r="41" spans="1:18" s="3" customFormat="1" ht="30" customHeight="1" x14ac:dyDescent="0.25">
      <c r="A41" s="4"/>
      <c r="B41" s="4"/>
      <c r="C41" s="4"/>
      <c r="D41" s="4"/>
      <c r="E41" s="4"/>
      <c r="F41" s="4"/>
      <c r="G41" s="4"/>
      <c r="H41" s="4"/>
      <c r="I41" s="28"/>
      <c r="J41" s="4"/>
      <c r="K41" s="4"/>
      <c r="L41" s="6"/>
      <c r="M41" s="4"/>
      <c r="N41" s="4"/>
      <c r="O41" s="4"/>
      <c r="P41" s="4"/>
      <c r="Q41" s="4"/>
      <c r="R41" s="4"/>
    </row>
    <row r="42" spans="1:18" s="3" customFormat="1" ht="30" customHeight="1" x14ac:dyDescent="0.25">
      <c r="A42" s="4"/>
      <c r="B42" s="4"/>
      <c r="C42" s="4"/>
      <c r="D42" s="4"/>
      <c r="E42" s="4"/>
      <c r="F42" s="4"/>
      <c r="G42" s="4"/>
      <c r="H42" s="4"/>
      <c r="I42" s="28"/>
      <c r="J42" s="4"/>
      <c r="K42" s="4"/>
      <c r="L42" s="6"/>
      <c r="M42" s="4"/>
      <c r="N42" s="4"/>
      <c r="O42" s="4"/>
      <c r="P42" s="4"/>
      <c r="Q42" s="4"/>
      <c r="R42" s="4"/>
    </row>
    <row r="43" spans="1:18" s="3" customFormat="1" ht="30" customHeight="1" x14ac:dyDescent="0.25">
      <c r="A43" s="4"/>
      <c r="B43" s="4"/>
      <c r="C43" s="4"/>
      <c r="D43" s="4"/>
      <c r="E43" s="4"/>
      <c r="F43" s="4"/>
      <c r="G43" s="4"/>
      <c r="H43" s="4"/>
      <c r="I43" s="28"/>
      <c r="J43" s="4"/>
      <c r="K43" s="4"/>
      <c r="L43" s="6"/>
      <c r="M43" s="4"/>
      <c r="N43" s="4"/>
      <c r="O43" s="4"/>
      <c r="P43" s="4"/>
      <c r="Q43" s="4"/>
      <c r="R43" s="4"/>
    </row>
    <row r="44" spans="1:18" s="3" customFormat="1" ht="30" customHeight="1" x14ac:dyDescent="0.25">
      <c r="A44" s="4"/>
      <c r="B44" s="4"/>
      <c r="C44" s="4"/>
      <c r="D44" s="4"/>
      <c r="E44" s="4"/>
      <c r="F44" s="4"/>
      <c r="G44" s="4"/>
      <c r="H44" s="4"/>
      <c r="I44" s="28"/>
      <c r="J44" s="4"/>
      <c r="K44" s="4"/>
      <c r="L44" s="6"/>
      <c r="M44" s="4"/>
      <c r="N44" s="4"/>
      <c r="O44" s="4"/>
      <c r="P44" s="4"/>
      <c r="Q44" s="4"/>
      <c r="R44" s="4"/>
    </row>
    <row r="45" spans="1:18" s="3" customFormat="1" ht="30" customHeight="1" x14ac:dyDescent="0.25">
      <c r="A45" s="4"/>
      <c r="B45" s="4"/>
      <c r="C45" s="4"/>
      <c r="D45" s="4"/>
      <c r="E45" s="4"/>
      <c r="F45" s="4"/>
      <c r="G45" s="4"/>
      <c r="H45" s="4"/>
      <c r="I45" s="28"/>
      <c r="J45" s="4"/>
      <c r="K45" s="4"/>
      <c r="L45" s="6"/>
      <c r="M45" s="4"/>
      <c r="N45" s="4"/>
      <c r="O45" s="4"/>
      <c r="P45" s="4"/>
      <c r="Q45" s="4"/>
      <c r="R45" s="4"/>
    </row>
    <row r="46" spans="1:18" s="3" customFormat="1" ht="30" customHeight="1" x14ac:dyDescent="0.25">
      <c r="A46" s="4"/>
      <c r="B46" s="4"/>
      <c r="C46" s="4"/>
      <c r="D46" s="4"/>
      <c r="E46" s="4"/>
      <c r="F46" s="4"/>
      <c r="G46" s="4"/>
      <c r="H46" s="4"/>
      <c r="I46" s="28"/>
      <c r="J46" s="4"/>
      <c r="K46" s="4"/>
      <c r="L46" s="6"/>
      <c r="M46" s="4"/>
      <c r="N46" s="4"/>
      <c r="O46" s="4"/>
      <c r="P46" s="4"/>
      <c r="Q46" s="4"/>
      <c r="R46" s="4"/>
    </row>
    <row r="47" spans="1:18" s="3" customFormat="1" ht="30" customHeight="1" x14ac:dyDescent="0.25">
      <c r="A47" s="4"/>
      <c r="B47" s="4"/>
      <c r="C47" s="4"/>
      <c r="D47" s="4"/>
      <c r="E47" s="4"/>
      <c r="F47" s="4"/>
      <c r="G47" s="4"/>
      <c r="H47" s="4"/>
      <c r="I47" s="28"/>
      <c r="J47" s="4"/>
      <c r="K47" s="4"/>
      <c r="L47" s="6"/>
      <c r="M47" s="4"/>
      <c r="N47" s="4"/>
      <c r="O47" s="4"/>
      <c r="P47" s="4"/>
      <c r="Q47" s="4"/>
      <c r="R47" s="4"/>
    </row>
    <row r="48" spans="1:18" s="3" customFormat="1" ht="30" customHeight="1" x14ac:dyDescent="0.25">
      <c r="A48" s="4"/>
      <c r="B48" s="4"/>
      <c r="C48" s="4"/>
      <c r="D48" s="4"/>
      <c r="E48" s="4"/>
      <c r="F48" s="4"/>
      <c r="G48" s="4"/>
      <c r="H48" s="4"/>
      <c r="I48" s="28"/>
      <c r="J48" s="4"/>
      <c r="K48" s="4"/>
      <c r="L48" s="6"/>
      <c r="M48" s="4"/>
      <c r="N48" s="4"/>
      <c r="O48" s="4"/>
      <c r="P48" s="4"/>
      <c r="Q48" s="4"/>
      <c r="R48" s="4"/>
    </row>
    <row r="49" spans="1:18" s="3" customFormat="1" ht="30" customHeight="1" x14ac:dyDescent="0.25">
      <c r="A49" s="4"/>
      <c r="B49" s="4"/>
      <c r="C49" s="4"/>
      <c r="D49" s="4"/>
      <c r="E49" s="4"/>
      <c r="F49" s="4"/>
      <c r="G49" s="4"/>
      <c r="H49" s="4"/>
      <c r="I49" s="28"/>
      <c r="J49" s="4"/>
      <c r="K49" s="4"/>
      <c r="L49" s="6"/>
      <c r="M49" s="4"/>
      <c r="N49" s="4"/>
      <c r="O49" s="4"/>
      <c r="P49" s="4"/>
      <c r="Q49" s="4"/>
      <c r="R49" s="4"/>
    </row>
    <row r="50" spans="1:18" s="3" customFormat="1" ht="30" customHeight="1" x14ac:dyDescent="0.25">
      <c r="A50" s="4"/>
      <c r="B50" s="4"/>
      <c r="C50" s="4"/>
      <c r="D50" s="4"/>
      <c r="E50" s="4"/>
      <c r="F50" s="4"/>
      <c r="G50" s="4"/>
      <c r="H50" s="4"/>
      <c r="I50" s="28"/>
      <c r="J50" s="4"/>
      <c r="K50" s="4"/>
      <c r="L50" s="6"/>
      <c r="M50" s="4"/>
      <c r="N50" s="4"/>
      <c r="O50" s="4"/>
      <c r="P50" s="4"/>
      <c r="Q50" s="4"/>
      <c r="R50" s="4"/>
    </row>
    <row r="51" spans="1:18" s="3" customFormat="1" ht="30" customHeight="1" x14ac:dyDescent="0.25">
      <c r="A51" s="4"/>
      <c r="B51" s="4"/>
      <c r="C51" s="4"/>
      <c r="D51" s="4"/>
      <c r="E51" s="4"/>
      <c r="F51" s="4"/>
      <c r="G51" s="4"/>
      <c r="H51" s="4"/>
      <c r="I51" s="28"/>
      <c r="J51" s="4"/>
      <c r="K51" s="4"/>
      <c r="L51" s="6"/>
      <c r="M51" s="4"/>
      <c r="N51" s="4"/>
      <c r="O51" s="4"/>
      <c r="P51" s="4"/>
      <c r="Q51" s="4"/>
      <c r="R51" s="4"/>
    </row>
    <row r="52" spans="1:18" s="3" customFormat="1" ht="30" customHeight="1" x14ac:dyDescent="0.25">
      <c r="A52" s="4"/>
      <c r="B52" s="4"/>
      <c r="C52" s="4"/>
      <c r="D52" s="4"/>
      <c r="E52" s="4"/>
      <c r="F52" s="4"/>
      <c r="G52" s="4"/>
      <c r="H52" s="4"/>
      <c r="I52" s="28"/>
      <c r="J52" s="4"/>
      <c r="K52" s="4"/>
      <c r="L52" s="6"/>
      <c r="M52" s="4"/>
      <c r="N52" s="4"/>
      <c r="O52" s="4"/>
      <c r="P52" s="4"/>
      <c r="Q52" s="4"/>
      <c r="R52" s="4"/>
    </row>
    <row r="53" spans="1:18" s="3" customFormat="1" ht="30" customHeight="1" x14ac:dyDescent="0.25">
      <c r="A53" s="4"/>
      <c r="B53" s="4"/>
      <c r="C53" s="4"/>
      <c r="D53" s="4"/>
      <c r="E53" s="4"/>
      <c r="F53" s="4"/>
      <c r="G53" s="4"/>
      <c r="H53" s="4"/>
      <c r="I53" s="28"/>
      <c r="J53" s="4"/>
      <c r="K53" s="4"/>
      <c r="L53" s="6"/>
      <c r="M53" s="4"/>
      <c r="N53" s="4"/>
      <c r="O53" s="4"/>
      <c r="P53" s="4"/>
      <c r="Q53" s="4"/>
      <c r="R53" s="4"/>
    </row>
    <row r="54" spans="1:18" s="3" customFormat="1" ht="30" customHeight="1" x14ac:dyDescent="0.25">
      <c r="A54" s="4"/>
      <c r="B54" s="4"/>
      <c r="C54" s="4"/>
      <c r="D54" s="4"/>
      <c r="E54" s="4"/>
      <c r="F54" s="4"/>
      <c r="G54" s="4"/>
      <c r="H54" s="4"/>
      <c r="I54" s="28"/>
      <c r="J54" s="4"/>
      <c r="K54" s="4"/>
      <c r="L54" s="6"/>
      <c r="M54" s="4"/>
      <c r="N54" s="4"/>
      <c r="O54" s="4"/>
      <c r="P54" s="4"/>
      <c r="Q54" s="4"/>
      <c r="R54" s="4"/>
    </row>
    <row r="55" spans="1:18" s="3" customFormat="1" ht="30" customHeight="1" x14ac:dyDescent="0.25">
      <c r="A55" s="4"/>
      <c r="B55" s="4"/>
      <c r="C55" s="4"/>
      <c r="D55" s="4"/>
      <c r="E55" s="4"/>
      <c r="F55" s="4"/>
      <c r="G55" s="4"/>
      <c r="H55" s="4"/>
      <c r="I55" s="28"/>
      <c r="J55" s="4"/>
      <c r="K55" s="4"/>
      <c r="L55" s="6"/>
      <c r="M55" s="4"/>
      <c r="N55" s="4"/>
      <c r="O55" s="4"/>
      <c r="P55" s="4"/>
      <c r="Q55" s="4"/>
      <c r="R55" s="4"/>
    </row>
  </sheetData>
  <mergeCells count="13">
    <mergeCell ref="A6:A7"/>
    <mergeCell ref="B6:B7"/>
    <mergeCell ref="F6:G6"/>
    <mergeCell ref="J6:J7"/>
    <mergeCell ref="E6:E7"/>
    <mergeCell ref="K6:K7"/>
    <mergeCell ref="L6:L7"/>
    <mergeCell ref="M6:M7"/>
    <mergeCell ref="N6:R6"/>
    <mergeCell ref="C6:C7"/>
    <mergeCell ref="D6:D7"/>
    <mergeCell ref="H6:H7"/>
    <mergeCell ref="I6:I7"/>
  </mergeCells>
  <pageMargins left="0.7" right="0.7" top="0.75" bottom="0.75" header="0.3" footer="0.3"/>
  <pageSetup scale="22" orientation="portrait" horizontalDpi="0" verticalDpi="0" r:id="rId1"/>
  <colBreaks count="1" manualBreakCount="1">
    <brk id="18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BF8B8-D30D-4CDD-9D56-9B4F0607F7DB}">
  <sheetPr>
    <tabColor rgb="FF92D050"/>
  </sheetPr>
  <dimension ref="A1:R55"/>
  <sheetViews>
    <sheetView showGridLines="0" view="pageBreakPreview" zoomScale="70" zoomScaleNormal="70" zoomScaleSheetLayoutView="70" workbookViewId="0">
      <selection activeCell="G8" sqref="G8"/>
    </sheetView>
  </sheetViews>
  <sheetFormatPr defaultColWidth="9.140625" defaultRowHeight="14.25" outlineLevelCol="1" x14ac:dyDescent="0.2"/>
  <cols>
    <col min="1" max="1" width="8.7109375" style="7" customWidth="1" outlineLevel="1"/>
    <col min="2" max="2" width="8.28515625" style="7" customWidth="1" outlineLevel="1"/>
    <col min="3" max="3" width="30.7109375" style="7" customWidth="1"/>
    <col min="4" max="4" width="18.5703125" style="7" customWidth="1"/>
    <col min="5" max="5" width="26.85546875" style="7" customWidth="1"/>
    <col min="6" max="6" width="44.28515625" style="7" bestFit="1" customWidth="1"/>
    <col min="7" max="7" width="18.7109375" style="7" customWidth="1"/>
    <col min="8" max="8" width="22.140625" style="7" customWidth="1"/>
    <col min="9" max="9" width="22.140625" style="7" customWidth="1" outlineLevel="1"/>
    <col min="10" max="14" width="18.5703125" style="7" customWidth="1" outlineLevel="1"/>
    <col min="15" max="16" width="9.140625" style="7" customWidth="1"/>
    <col min="17" max="17" width="35.140625" style="7" customWidth="1"/>
    <col min="18" max="16384" width="9.140625" style="7"/>
  </cols>
  <sheetData>
    <row r="1" spans="1:18" ht="20.25" x14ac:dyDescent="0.3">
      <c r="C1" s="10" t="s">
        <v>142</v>
      </c>
      <c r="E1" s="10"/>
    </row>
    <row r="2" spans="1:18" ht="15" x14ac:dyDescent="0.25">
      <c r="C2" s="9" t="s">
        <v>9</v>
      </c>
      <c r="E2" s="9"/>
    </row>
    <row r="3" spans="1:18" ht="15" x14ac:dyDescent="0.25">
      <c r="C3" s="9"/>
      <c r="E3" s="9"/>
    </row>
    <row r="4" spans="1:18" ht="15" x14ac:dyDescent="0.25">
      <c r="C4" s="5" t="s">
        <v>290</v>
      </c>
      <c r="D4" s="8" t="s">
        <v>285</v>
      </c>
      <c r="E4" s="9"/>
    </row>
    <row r="5" spans="1:18" x14ac:dyDescent="0.2">
      <c r="C5" s="7" t="s">
        <v>263</v>
      </c>
      <c r="D5" s="8"/>
      <c r="G5" s="29">
        <f>SUM(G8:G55)</f>
        <v>27500000</v>
      </c>
      <c r="H5" s="29">
        <f>SUM(H8:H55)</f>
        <v>27500000</v>
      </c>
      <c r="J5" s="29">
        <f>SUM(J8:J55)</f>
        <v>0</v>
      </c>
      <c r="K5" s="29">
        <f t="shared" ref="K5:N5" si="0">SUM(K8:K55)</f>
        <v>0</v>
      </c>
      <c r="L5" s="29">
        <f t="shared" si="0"/>
        <v>0</v>
      </c>
      <c r="M5" s="29">
        <f t="shared" si="0"/>
        <v>0</v>
      </c>
      <c r="N5" s="29">
        <f t="shared" si="0"/>
        <v>0</v>
      </c>
    </row>
    <row r="6" spans="1:18" s="3" customFormat="1" ht="30" customHeight="1" x14ac:dyDescent="0.25">
      <c r="A6" s="127" t="s">
        <v>55</v>
      </c>
      <c r="B6" s="127" t="s">
        <v>59</v>
      </c>
      <c r="C6" s="127" t="s">
        <v>58</v>
      </c>
      <c r="D6" s="127" t="s">
        <v>31</v>
      </c>
      <c r="E6" s="127" t="s">
        <v>143</v>
      </c>
      <c r="F6" s="127" t="s">
        <v>144</v>
      </c>
      <c r="G6" s="127" t="s">
        <v>61</v>
      </c>
      <c r="H6" s="129" t="s">
        <v>60</v>
      </c>
      <c r="I6" s="127" t="s">
        <v>33</v>
      </c>
      <c r="J6" s="131" t="s">
        <v>54</v>
      </c>
      <c r="K6" s="132"/>
      <c r="L6" s="132"/>
      <c r="M6" s="132"/>
      <c r="N6" s="133"/>
      <c r="R6" s="1"/>
    </row>
    <row r="7" spans="1:18" s="3" customFormat="1" ht="30" customHeight="1" x14ac:dyDescent="0.25">
      <c r="A7" s="128"/>
      <c r="B7" s="128"/>
      <c r="C7" s="128"/>
      <c r="D7" s="128"/>
      <c r="E7" s="128"/>
      <c r="F7" s="128"/>
      <c r="G7" s="128"/>
      <c r="H7" s="130"/>
      <c r="I7" s="128"/>
      <c r="J7" s="15">
        <v>2024</v>
      </c>
      <c r="K7" s="15">
        <v>2023</v>
      </c>
      <c r="L7" s="15">
        <v>2022</v>
      </c>
      <c r="M7" s="15">
        <v>2021</v>
      </c>
      <c r="N7" s="15">
        <v>2020</v>
      </c>
      <c r="P7" s="25" t="s">
        <v>30</v>
      </c>
      <c r="Q7" s="25" t="s">
        <v>30</v>
      </c>
      <c r="R7" s="1" t="s">
        <v>30</v>
      </c>
    </row>
    <row r="8" spans="1:18" s="3" customFormat="1" ht="30" customHeight="1" x14ac:dyDescent="0.25">
      <c r="A8" s="4">
        <v>1</v>
      </c>
      <c r="B8" s="4" t="str">
        <f t="shared" ref="B8" si="1">VLOOKUP(C8,$Q:$R,2,0)</f>
        <v>0712</v>
      </c>
      <c r="C8" s="4" t="s">
        <v>141</v>
      </c>
      <c r="D8" s="5">
        <v>2025</v>
      </c>
      <c r="E8" s="4" t="s">
        <v>30</v>
      </c>
      <c r="F8" s="4" t="s">
        <v>30</v>
      </c>
      <c r="G8" s="11">
        <f>H8</f>
        <v>27500000</v>
      </c>
      <c r="H8" s="45">
        <v>27500000</v>
      </c>
      <c r="I8" s="4" t="s">
        <v>30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P8" s="17" t="s">
        <v>111</v>
      </c>
      <c r="Q8" s="18" t="s">
        <v>112</v>
      </c>
      <c r="R8" s="17" t="s">
        <v>111</v>
      </c>
    </row>
    <row r="9" spans="1:18" s="3" customFormat="1" ht="30" customHeight="1" x14ac:dyDescent="0.25">
      <c r="A9" s="4">
        <f>A8+1</f>
        <v>2</v>
      </c>
      <c r="B9" s="4"/>
      <c r="C9" s="4"/>
      <c r="D9" s="5"/>
      <c r="E9" s="4"/>
      <c r="F9" s="4"/>
      <c r="G9" s="13"/>
      <c r="H9" s="45"/>
      <c r="I9" s="4"/>
      <c r="J9" s="11"/>
      <c r="K9" s="11"/>
      <c r="L9" s="11"/>
      <c r="M9" s="11"/>
      <c r="N9" s="11"/>
      <c r="P9" s="17" t="s">
        <v>113</v>
      </c>
      <c r="Q9" s="18" t="s">
        <v>114</v>
      </c>
      <c r="R9" s="17" t="s">
        <v>113</v>
      </c>
    </row>
    <row r="10" spans="1:18" s="3" customFormat="1" ht="30" customHeight="1" x14ac:dyDescent="0.25">
      <c r="A10" s="4">
        <f t="shared" ref="A10:A55" si="2">A9+1</f>
        <v>3</v>
      </c>
      <c r="B10" s="4"/>
      <c r="C10" s="4"/>
      <c r="D10" s="5"/>
      <c r="E10" s="4"/>
      <c r="F10" s="4"/>
      <c r="G10" s="13"/>
      <c r="H10" s="14"/>
      <c r="I10" s="4"/>
      <c r="J10" s="11"/>
      <c r="K10" s="11"/>
      <c r="L10" s="11"/>
      <c r="M10" s="11"/>
      <c r="N10" s="11"/>
      <c r="P10" s="17" t="s">
        <v>115</v>
      </c>
      <c r="Q10" s="18" t="s">
        <v>116</v>
      </c>
      <c r="R10" s="17" t="s">
        <v>115</v>
      </c>
    </row>
    <row r="11" spans="1:18" s="3" customFormat="1" ht="30" customHeight="1" x14ac:dyDescent="0.25">
      <c r="A11" s="4">
        <f t="shared" si="2"/>
        <v>4</v>
      </c>
      <c r="B11" s="4"/>
      <c r="C11" s="4"/>
      <c r="D11" s="5"/>
      <c r="E11" s="4"/>
      <c r="F11" s="5"/>
      <c r="G11" s="13"/>
      <c r="H11" s="14"/>
      <c r="I11" s="4"/>
      <c r="J11" s="11"/>
      <c r="K11" s="11"/>
      <c r="L11" s="11"/>
      <c r="M11" s="11"/>
      <c r="N11" s="11"/>
      <c r="P11" s="17" t="s">
        <v>117</v>
      </c>
      <c r="Q11" s="18" t="s">
        <v>118</v>
      </c>
      <c r="R11" s="17" t="s">
        <v>117</v>
      </c>
    </row>
    <row r="12" spans="1:18" s="3" customFormat="1" ht="30" customHeight="1" x14ac:dyDescent="0.25">
      <c r="A12" s="4">
        <f t="shared" si="2"/>
        <v>5</v>
      </c>
      <c r="B12" s="4"/>
      <c r="C12" s="4"/>
      <c r="D12" s="5"/>
      <c r="E12" s="4"/>
      <c r="F12" s="5"/>
      <c r="G12" s="13"/>
      <c r="H12" s="14"/>
      <c r="I12" s="4"/>
      <c r="J12" s="11"/>
      <c r="K12" s="11"/>
      <c r="L12" s="11"/>
      <c r="M12" s="11"/>
      <c r="N12" s="11"/>
      <c r="P12" s="17" t="s">
        <v>119</v>
      </c>
      <c r="Q12" s="18" t="s">
        <v>120</v>
      </c>
      <c r="R12" s="17" t="s">
        <v>119</v>
      </c>
    </row>
    <row r="13" spans="1:18" s="3" customFormat="1" ht="30" customHeight="1" x14ac:dyDescent="0.25">
      <c r="A13" s="4">
        <f t="shared" si="2"/>
        <v>6</v>
      </c>
      <c r="B13" s="4"/>
      <c r="C13" s="4"/>
      <c r="D13" s="5"/>
      <c r="E13" s="4"/>
      <c r="F13" s="5"/>
      <c r="G13" s="13"/>
      <c r="H13" s="14"/>
      <c r="I13" s="4"/>
      <c r="J13" s="11"/>
      <c r="K13" s="11"/>
      <c r="L13" s="11"/>
      <c r="M13" s="11"/>
      <c r="N13" s="11"/>
      <c r="P13" s="17" t="s">
        <v>121</v>
      </c>
      <c r="Q13" s="18" t="s">
        <v>122</v>
      </c>
      <c r="R13" s="17" t="s">
        <v>121</v>
      </c>
    </row>
    <row r="14" spans="1:18" s="3" customFormat="1" ht="30" customHeight="1" x14ac:dyDescent="0.25">
      <c r="A14" s="4">
        <f t="shared" si="2"/>
        <v>7</v>
      </c>
      <c r="B14" s="4"/>
      <c r="C14" s="4"/>
      <c r="D14" s="5"/>
      <c r="E14" s="4"/>
      <c r="F14" s="5"/>
      <c r="G14" s="13"/>
      <c r="H14" s="14"/>
      <c r="I14" s="4"/>
      <c r="J14" s="11"/>
      <c r="K14" s="11"/>
      <c r="L14" s="11"/>
      <c r="M14" s="11"/>
      <c r="N14" s="11"/>
      <c r="P14" s="17" t="s">
        <v>123</v>
      </c>
      <c r="Q14" s="18" t="s">
        <v>124</v>
      </c>
      <c r="R14" s="17" t="s">
        <v>123</v>
      </c>
    </row>
    <row r="15" spans="1:18" s="3" customFormat="1" ht="30" customHeight="1" x14ac:dyDescent="0.25">
      <c r="A15" s="4">
        <f t="shared" si="2"/>
        <v>8</v>
      </c>
      <c r="B15" s="4"/>
      <c r="C15" s="4"/>
      <c r="D15" s="5"/>
      <c r="E15" s="4"/>
      <c r="F15" s="5"/>
      <c r="G15" s="13"/>
      <c r="H15" s="14"/>
      <c r="I15" s="4"/>
      <c r="J15" s="11"/>
      <c r="K15" s="11"/>
      <c r="L15" s="11"/>
      <c r="M15" s="11"/>
      <c r="N15" s="11"/>
      <c r="P15" s="17" t="s">
        <v>125</v>
      </c>
      <c r="Q15" s="18" t="s">
        <v>126</v>
      </c>
      <c r="R15" s="17" t="s">
        <v>125</v>
      </c>
    </row>
    <row r="16" spans="1:18" s="3" customFormat="1" ht="30" customHeight="1" x14ac:dyDescent="0.25">
      <c r="A16" s="4">
        <f t="shared" si="2"/>
        <v>9</v>
      </c>
      <c r="B16" s="4"/>
      <c r="C16" s="4"/>
      <c r="D16" s="5"/>
      <c r="E16" s="4"/>
      <c r="F16" s="5"/>
      <c r="G16" s="13"/>
      <c r="H16" s="14"/>
      <c r="I16" s="4"/>
      <c r="J16" s="11"/>
      <c r="K16" s="11"/>
      <c r="L16" s="11"/>
      <c r="M16" s="11"/>
      <c r="N16" s="11"/>
      <c r="P16" s="17" t="s">
        <v>127</v>
      </c>
      <c r="Q16" s="18" t="s">
        <v>29</v>
      </c>
      <c r="R16" s="17" t="s">
        <v>127</v>
      </c>
    </row>
    <row r="17" spans="1:18" s="3" customFormat="1" ht="30" customHeight="1" x14ac:dyDescent="0.25">
      <c r="A17" s="4">
        <f t="shared" si="2"/>
        <v>10</v>
      </c>
      <c r="B17" s="4"/>
      <c r="C17" s="4"/>
      <c r="D17" s="5"/>
      <c r="E17" s="4"/>
      <c r="F17" s="5"/>
      <c r="G17" s="13"/>
      <c r="H17" s="14"/>
      <c r="I17" s="4"/>
      <c r="J17" s="11"/>
      <c r="K17" s="11"/>
      <c r="L17" s="11"/>
      <c r="M17" s="11"/>
      <c r="N17" s="11"/>
      <c r="P17" s="17" t="s">
        <v>128</v>
      </c>
      <c r="Q17" s="18" t="s">
        <v>129</v>
      </c>
      <c r="R17" s="17" t="s">
        <v>128</v>
      </c>
    </row>
    <row r="18" spans="1:18" s="3" customFormat="1" ht="30" customHeight="1" x14ac:dyDescent="0.25">
      <c r="A18" s="4">
        <f t="shared" si="2"/>
        <v>11</v>
      </c>
      <c r="B18" s="4"/>
      <c r="C18" s="4"/>
      <c r="D18" s="5"/>
      <c r="E18" s="4"/>
      <c r="F18" s="5"/>
      <c r="G18" s="13"/>
      <c r="H18" s="14"/>
      <c r="I18" s="4"/>
      <c r="J18" s="11"/>
      <c r="K18" s="11"/>
      <c r="L18" s="11"/>
      <c r="M18" s="11"/>
      <c r="N18" s="11"/>
      <c r="P18" s="17" t="s">
        <v>130</v>
      </c>
      <c r="Q18" s="18" t="s">
        <v>131</v>
      </c>
      <c r="R18" s="17" t="s">
        <v>130</v>
      </c>
    </row>
    <row r="19" spans="1:18" s="3" customFormat="1" ht="30" customHeight="1" x14ac:dyDescent="0.25">
      <c r="A19" s="4">
        <f t="shared" si="2"/>
        <v>12</v>
      </c>
      <c r="B19" s="4"/>
      <c r="C19" s="4"/>
      <c r="D19" s="5"/>
      <c r="E19" s="4"/>
      <c r="F19" s="5"/>
      <c r="G19" s="13"/>
      <c r="H19" s="14"/>
      <c r="I19" s="4"/>
      <c r="J19" s="11"/>
      <c r="K19" s="11"/>
      <c r="L19" s="11"/>
      <c r="M19" s="11"/>
      <c r="N19" s="11"/>
      <c r="P19" s="17" t="s">
        <v>132</v>
      </c>
      <c r="Q19" s="18" t="s">
        <v>133</v>
      </c>
      <c r="R19" s="17" t="s">
        <v>132</v>
      </c>
    </row>
    <row r="20" spans="1:18" s="3" customFormat="1" ht="30" customHeight="1" x14ac:dyDescent="0.25">
      <c r="A20" s="4">
        <f t="shared" si="2"/>
        <v>13</v>
      </c>
      <c r="B20" s="4"/>
      <c r="C20" s="4"/>
      <c r="D20" s="5"/>
      <c r="E20" s="4"/>
      <c r="F20" s="5"/>
      <c r="G20" s="13"/>
      <c r="H20" s="14"/>
      <c r="I20" s="4"/>
      <c r="J20" s="11"/>
      <c r="K20" s="11"/>
      <c r="L20" s="11"/>
      <c r="M20" s="11"/>
      <c r="N20" s="11"/>
      <c r="P20" s="18" t="s">
        <v>134</v>
      </c>
      <c r="Q20" s="18" t="s">
        <v>135</v>
      </c>
      <c r="R20" s="18" t="s">
        <v>134</v>
      </c>
    </row>
    <row r="21" spans="1:18" s="3" customFormat="1" ht="30" customHeight="1" x14ac:dyDescent="0.25">
      <c r="A21" s="4">
        <f t="shared" si="2"/>
        <v>14</v>
      </c>
      <c r="B21" s="4"/>
      <c r="C21" s="4"/>
      <c r="D21" s="5"/>
      <c r="E21" s="4"/>
      <c r="F21" s="5"/>
      <c r="G21" s="13"/>
      <c r="H21" s="14"/>
      <c r="I21" s="4"/>
      <c r="J21" s="12"/>
      <c r="K21" s="12"/>
      <c r="L21" s="12"/>
      <c r="M21" s="12"/>
      <c r="N21" s="12"/>
      <c r="P21" s="25" t="s">
        <v>136</v>
      </c>
      <c r="Q21" s="25" t="s">
        <v>137</v>
      </c>
      <c r="R21" s="25" t="s">
        <v>136</v>
      </c>
    </row>
    <row r="22" spans="1:18" s="3" customFormat="1" ht="30" customHeight="1" x14ac:dyDescent="0.25">
      <c r="A22" s="4">
        <f t="shared" si="2"/>
        <v>15</v>
      </c>
      <c r="B22" s="4"/>
      <c r="C22" s="4"/>
      <c r="D22" s="5"/>
      <c r="E22" s="4"/>
      <c r="F22" s="5"/>
      <c r="G22" s="13"/>
      <c r="H22" s="14"/>
      <c r="I22" s="4"/>
      <c r="J22" s="12"/>
      <c r="K22" s="12"/>
      <c r="L22" s="12"/>
      <c r="M22" s="12"/>
      <c r="N22" s="12"/>
      <c r="P22" s="25" t="s">
        <v>138</v>
      </c>
      <c r="Q22" s="25" t="s">
        <v>139</v>
      </c>
      <c r="R22" s="25" t="s">
        <v>138</v>
      </c>
    </row>
    <row r="23" spans="1:18" s="3" customFormat="1" ht="30" customHeight="1" x14ac:dyDescent="0.25">
      <c r="A23" s="4">
        <f t="shared" si="2"/>
        <v>16</v>
      </c>
      <c r="B23" s="4"/>
      <c r="C23" s="4"/>
      <c r="D23" s="5"/>
      <c r="E23" s="4"/>
      <c r="F23" s="5"/>
      <c r="G23" s="13"/>
      <c r="H23" s="14"/>
      <c r="I23" s="4"/>
      <c r="J23" s="12"/>
      <c r="K23" s="12"/>
      <c r="L23" s="12"/>
      <c r="M23" s="12"/>
      <c r="N23" s="12"/>
      <c r="P23" s="25" t="s">
        <v>140</v>
      </c>
      <c r="Q23" s="25" t="s">
        <v>141</v>
      </c>
      <c r="R23" s="25" t="s">
        <v>140</v>
      </c>
    </row>
    <row r="24" spans="1:18" s="3" customFormat="1" ht="30" customHeight="1" x14ac:dyDescent="0.25">
      <c r="A24" s="4">
        <f t="shared" si="2"/>
        <v>17</v>
      </c>
      <c r="B24" s="4"/>
      <c r="C24" s="4"/>
      <c r="D24" s="5"/>
      <c r="E24" s="4"/>
      <c r="F24" s="5"/>
      <c r="G24" s="13"/>
      <c r="H24" s="14"/>
      <c r="I24" s="4"/>
      <c r="J24" s="12"/>
      <c r="K24" s="12"/>
      <c r="L24" s="12"/>
      <c r="M24" s="12"/>
      <c r="N24" s="12"/>
      <c r="P24" s="79" t="s">
        <v>270</v>
      </c>
      <c r="Q24" s="3" t="s">
        <v>176</v>
      </c>
      <c r="R24" s="25" t="s">
        <v>270</v>
      </c>
    </row>
    <row r="25" spans="1:18" s="3" customFormat="1" ht="30" customHeight="1" x14ac:dyDescent="0.25">
      <c r="A25" s="4">
        <f t="shared" si="2"/>
        <v>18</v>
      </c>
      <c r="B25" s="4"/>
      <c r="C25" s="4"/>
      <c r="D25" s="5"/>
      <c r="E25" s="4"/>
      <c r="F25" s="5"/>
      <c r="G25" s="13"/>
      <c r="H25" s="14"/>
      <c r="I25" s="4"/>
      <c r="J25" s="12"/>
      <c r="K25" s="12"/>
      <c r="L25" s="12"/>
      <c r="M25" s="12"/>
      <c r="N25" s="12"/>
    </row>
    <row r="26" spans="1:18" s="3" customFormat="1" ht="30" customHeight="1" x14ac:dyDescent="0.25">
      <c r="A26" s="4">
        <f t="shared" si="2"/>
        <v>19</v>
      </c>
      <c r="B26" s="4"/>
      <c r="C26" s="4"/>
      <c r="D26" s="4"/>
      <c r="E26" s="4"/>
      <c r="F26" s="4"/>
      <c r="G26" s="4"/>
      <c r="H26" s="6"/>
      <c r="I26" s="4"/>
      <c r="J26" s="4"/>
      <c r="K26" s="4"/>
      <c r="L26" s="4"/>
      <c r="M26" s="4"/>
      <c r="N26" s="4"/>
    </row>
    <row r="27" spans="1:18" s="3" customFormat="1" ht="30" customHeight="1" x14ac:dyDescent="0.25">
      <c r="A27" s="4">
        <f t="shared" si="2"/>
        <v>20</v>
      </c>
      <c r="B27" s="4"/>
      <c r="C27" s="4"/>
      <c r="D27" s="4"/>
      <c r="E27" s="4"/>
      <c r="F27" s="4"/>
      <c r="G27" s="4"/>
      <c r="H27" s="6"/>
      <c r="I27" s="4"/>
      <c r="J27" s="4"/>
      <c r="K27" s="4"/>
      <c r="L27" s="4"/>
      <c r="M27" s="4"/>
      <c r="N27" s="4"/>
    </row>
    <row r="28" spans="1:18" s="3" customFormat="1" ht="30" customHeight="1" x14ac:dyDescent="0.25">
      <c r="A28" s="4">
        <f t="shared" si="2"/>
        <v>21</v>
      </c>
      <c r="B28" s="4"/>
      <c r="C28" s="4"/>
      <c r="D28" s="4"/>
      <c r="E28" s="4"/>
      <c r="F28" s="4"/>
      <c r="G28" s="4"/>
      <c r="H28" s="6"/>
      <c r="I28" s="4"/>
      <c r="J28" s="4"/>
      <c r="K28" s="4"/>
      <c r="L28" s="4"/>
      <c r="M28" s="4"/>
      <c r="N28" s="4"/>
    </row>
    <row r="29" spans="1:18" s="3" customFormat="1" ht="30" customHeight="1" x14ac:dyDescent="0.25">
      <c r="A29" s="4">
        <f t="shared" si="2"/>
        <v>22</v>
      </c>
      <c r="B29" s="4"/>
      <c r="C29" s="4"/>
      <c r="D29" s="4"/>
      <c r="E29" s="4"/>
      <c r="F29" s="4"/>
      <c r="G29" s="4"/>
      <c r="H29" s="6"/>
      <c r="I29" s="4"/>
      <c r="J29" s="4"/>
      <c r="K29" s="4"/>
      <c r="L29" s="4"/>
      <c r="M29" s="4"/>
      <c r="N29" s="4"/>
    </row>
    <row r="30" spans="1:18" s="3" customFormat="1" ht="30" customHeight="1" x14ac:dyDescent="0.25">
      <c r="A30" s="4">
        <f t="shared" si="2"/>
        <v>23</v>
      </c>
      <c r="B30" s="4"/>
      <c r="C30" s="4"/>
      <c r="D30" s="4"/>
      <c r="E30" s="4"/>
      <c r="F30" s="4"/>
      <c r="G30" s="4"/>
      <c r="H30" s="6"/>
      <c r="I30" s="4"/>
      <c r="J30" s="4"/>
      <c r="K30" s="4"/>
      <c r="L30" s="4"/>
      <c r="M30" s="4"/>
      <c r="N30" s="4"/>
    </row>
    <row r="31" spans="1:18" s="3" customFormat="1" ht="30" customHeight="1" x14ac:dyDescent="0.25">
      <c r="A31" s="4">
        <f t="shared" si="2"/>
        <v>24</v>
      </c>
      <c r="B31" s="4"/>
      <c r="C31" s="4"/>
      <c r="D31" s="4"/>
      <c r="E31" s="4"/>
      <c r="F31" s="4"/>
      <c r="G31" s="4"/>
      <c r="H31" s="6"/>
      <c r="I31" s="4"/>
      <c r="J31" s="4"/>
      <c r="K31" s="4"/>
      <c r="L31" s="4"/>
      <c r="M31" s="4"/>
      <c r="N31" s="4"/>
    </row>
    <row r="32" spans="1:18" s="3" customFormat="1" ht="30" customHeight="1" x14ac:dyDescent="0.25">
      <c r="A32" s="4">
        <f t="shared" si="2"/>
        <v>25</v>
      </c>
      <c r="B32" s="4"/>
      <c r="C32" s="4"/>
      <c r="D32" s="4"/>
      <c r="E32" s="4"/>
      <c r="F32" s="4"/>
      <c r="G32" s="4"/>
      <c r="H32" s="6"/>
      <c r="I32" s="4"/>
      <c r="J32" s="4"/>
      <c r="K32" s="4"/>
      <c r="L32" s="4"/>
      <c r="M32" s="4"/>
      <c r="N32" s="4"/>
    </row>
    <row r="33" spans="1:14" s="3" customFormat="1" ht="30" customHeight="1" x14ac:dyDescent="0.25">
      <c r="A33" s="4">
        <f t="shared" si="2"/>
        <v>26</v>
      </c>
      <c r="B33" s="4"/>
      <c r="C33" s="4"/>
      <c r="D33" s="4"/>
      <c r="E33" s="4"/>
      <c r="F33" s="4"/>
      <c r="G33" s="4"/>
      <c r="H33" s="6"/>
      <c r="I33" s="4"/>
      <c r="J33" s="4"/>
      <c r="K33" s="4"/>
      <c r="L33" s="4"/>
      <c r="M33" s="4"/>
      <c r="N33" s="4"/>
    </row>
    <row r="34" spans="1:14" s="3" customFormat="1" ht="30" customHeight="1" x14ac:dyDescent="0.25">
      <c r="A34" s="4">
        <f t="shared" si="2"/>
        <v>27</v>
      </c>
      <c r="B34" s="4"/>
      <c r="C34" s="4"/>
      <c r="D34" s="4"/>
      <c r="E34" s="4"/>
      <c r="F34" s="4"/>
      <c r="G34" s="4"/>
      <c r="H34" s="6"/>
      <c r="I34" s="4"/>
      <c r="J34" s="4"/>
      <c r="K34" s="4"/>
      <c r="L34" s="4"/>
      <c r="M34" s="4"/>
      <c r="N34" s="4"/>
    </row>
    <row r="35" spans="1:14" s="3" customFormat="1" ht="30" customHeight="1" x14ac:dyDescent="0.25">
      <c r="A35" s="4">
        <f t="shared" si="2"/>
        <v>28</v>
      </c>
      <c r="B35" s="4"/>
      <c r="C35" s="4"/>
      <c r="D35" s="4"/>
      <c r="E35" s="4"/>
      <c r="F35" s="4"/>
      <c r="G35" s="4"/>
      <c r="H35" s="6"/>
      <c r="I35" s="4"/>
      <c r="J35" s="4"/>
      <c r="K35" s="4"/>
      <c r="L35" s="4"/>
      <c r="M35" s="4"/>
      <c r="N35" s="4"/>
    </row>
    <row r="36" spans="1:14" s="3" customFormat="1" ht="30" customHeight="1" x14ac:dyDescent="0.25">
      <c r="A36" s="4">
        <f t="shared" si="2"/>
        <v>29</v>
      </c>
      <c r="B36" s="4"/>
      <c r="C36" s="4"/>
      <c r="D36" s="4"/>
      <c r="E36" s="4"/>
      <c r="F36" s="4"/>
      <c r="G36" s="4"/>
      <c r="H36" s="6"/>
      <c r="I36" s="4"/>
      <c r="J36" s="4"/>
      <c r="K36" s="4"/>
      <c r="L36" s="4"/>
      <c r="M36" s="4"/>
      <c r="N36" s="4"/>
    </row>
    <row r="37" spans="1:14" s="3" customFormat="1" ht="30" customHeight="1" x14ac:dyDescent="0.25">
      <c r="A37" s="4">
        <f t="shared" si="2"/>
        <v>30</v>
      </c>
      <c r="B37" s="4"/>
      <c r="C37" s="4"/>
      <c r="D37" s="4"/>
      <c r="E37" s="4"/>
      <c r="F37" s="4"/>
      <c r="G37" s="4"/>
      <c r="H37" s="6"/>
      <c r="I37" s="4"/>
      <c r="J37" s="4"/>
      <c r="K37" s="4"/>
      <c r="L37" s="4"/>
      <c r="M37" s="4"/>
      <c r="N37" s="4"/>
    </row>
    <row r="38" spans="1:14" s="3" customFormat="1" ht="30" customHeight="1" x14ac:dyDescent="0.25">
      <c r="A38" s="4">
        <f t="shared" si="2"/>
        <v>31</v>
      </c>
      <c r="B38" s="4"/>
      <c r="C38" s="4"/>
      <c r="D38" s="4"/>
      <c r="E38" s="4"/>
      <c r="F38" s="4"/>
      <c r="G38" s="4"/>
      <c r="H38" s="6"/>
      <c r="I38" s="4"/>
      <c r="J38" s="4"/>
      <c r="K38" s="4"/>
      <c r="L38" s="4"/>
      <c r="M38" s="4"/>
      <c r="N38" s="4"/>
    </row>
    <row r="39" spans="1:14" s="3" customFormat="1" ht="30" customHeight="1" x14ac:dyDescent="0.25">
      <c r="A39" s="4">
        <f t="shared" si="2"/>
        <v>32</v>
      </c>
      <c r="B39" s="4"/>
      <c r="C39" s="4"/>
      <c r="D39" s="4"/>
      <c r="E39" s="4"/>
      <c r="F39" s="4"/>
      <c r="G39" s="4"/>
      <c r="H39" s="6"/>
      <c r="I39" s="4"/>
      <c r="J39" s="4"/>
      <c r="K39" s="4"/>
      <c r="L39" s="4"/>
      <c r="M39" s="4"/>
      <c r="N39" s="4"/>
    </row>
    <row r="40" spans="1:14" s="3" customFormat="1" ht="30" customHeight="1" x14ac:dyDescent="0.25">
      <c r="A40" s="4">
        <f t="shared" si="2"/>
        <v>33</v>
      </c>
      <c r="B40" s="4"/>
      <c r="C40" s="4"/>
      <c r="D40" s="4"/>
      <c r="E40" s="4"/>
      <c r="F40" s="4"/>
      <c r="G40" s="4"/>
      <c r="H40" s="6"/>
      <c r="I40" s="4"/>
      <c r="J40" s="4"/>
      <c r="K40" s="4"/>
      <c r="L40" s="4"/>
      <c r="M40" s="4"/>
      <c r="N40" s="4"/>
    </row>
    <row r="41" spans="1:14" s="3" customFormat="1" ht="30" customHeight="1" x14ac:dyDescent="0.25">
      <c r="A41" s="4">
        <f t="shared" si="2"/>
        <v>34</v>
      </c>
      <c r="B41" s="4"/>
      <c r="C41" s="4"/>
      <c r="D41" s="4"/>
      <c r="E41" s="4"/>
      <c r="F41" s="4"/>
      <c r="G41" s="4"/>
      <c r="H41" s="6"/>
      <c r="I41" s="4"/>
      <c r="J41" s="4"/>
      <c r="K41" s="4"/>
      <c r="L41" s="4"/>
      <c r="M41" s="4"/>
      <c r="N41" s="4"/>
    </row>
    <row r="42" spans="1:14" s="3" customFormat="1" ht="30" customHeight="1" x14ac:dyDescent="0.25">
      <c r="A42" s="4">
        <f t="shared" si="2"/>
        <v>35</v>
      </c>
      <c r="B42" s="4"/>
      <c r="C42" s="4"/>
      <c r="D42" s="4"/>
      <c r="E42" s="4"/>
      <c r="F42" s="4"/>
      <c r="G42" s="4"/>
      <c r="H42" s="6"/>
      <c r="I42" s="4"/>
      <c r="J42" s="4"/>
      <c r="K42" s="4"/>
      <c r="L42" s="4"/>
      <c r="M42" s="4"/>
      <c r="N42" s="4"/>
    </row>
    <row r="43" spans="1:14" s="3" customFormat="1" ht="30" customHeight="1" x14ac:dyDescent="0.25">
      <c r="A43" s="4">
        <f t="shared" si="2"/>
        <v>36</v>
      </c>
      <c r="B43" s="4"/>
      <c r="C43" s="4"/>
      <c r="D43" s="4"/>
      <c r="E43" s="4"/>
      <c r="F43" s="4"/>
      <c r="G43" s="4"/>
      <c r="H43" s="6"/>
      <c r="I43" s="4"/>
      <c r="J43" s="4"/>
      <c r="K43" s="4"/>
      <c r="L43" s="4"/>
      <c r="M43" s="4"/>
      <c r="N43" s="4"/>
    </row>
    <row r="44" spans="1:14" s="3" customFormat="1" ht="30" customHeight="1" x14ac:dyDescent="0.25">
      <c r="A44" s="4">
        <f t="shared" si="2"/>
        <v>37</v>
      </c>
      <c r="B44" s="4"/>
      <c r="C44" s="4"/>
      <c r="D44" s="4"/>
      <c r="E44" s="4"/>
      <c r="F44" s="4"/>
      <c r="G44" s="4"/>
      <c r="H44" s="6"/>
      <c r="I44" s="4"/>
      <c r="J44" s="4"/>
      <c r="K44" s="4"/>
      <c r="L44" s="4"/>
      <c r="M44" s="4"/>
      <c r="N44" s="4"/>
    </row>
    <row r="45" spans="1:14" s="3" customFormat="1" ht="30" customHeight="1" x14ac:dyDescent="0.25">
      <c r="A45" s="4">
        <f t="shared" si="2"/>
        <v>38</v>
      </c>
      <c r="B45" s="4"/>
      <c r="C45" s="4"/>
      <c r="D45" s="4"/>
      <c r="E45" s="4"/>
      <c r="F45" s="4"/>
      <c r="G45" s="4"/>
      <c r="H45" s="6"/>
      <c r="I45" s="4"/>
      <c r="J45" s="4"/>
      <c r="K45" s="4"/>
      <c r="L45" s="4"/>
      <c r="M45" s="4"/>
      <c r="N45" s="4"/>
    </row>
    <row r="46" spans="1:14" s="3" customFormat="1" ht="30" customHeight="1" x14ac:dyDescent="0.25">
      <c r="A46" s="4">
        <f t="shared" si="2"/>
        <v>39</v>
      </c>
      <c r="B46" s="4"/>
      <c r="C46" s="4"/>
      <c r="D46" s="4"/>
      <c r="E46" s="4"/>
      <c r="F46" s="4"/>
      <c r="G46" s="4"/>
      <c r="H46" s="6"/>
      <c r="I46" s="4"/>
      <c r="J46" s="4"/>
      <c r="K46" s="4"/>
      <c r="L46" s="4"/>
      <c r="M46" s="4"/>
      <c r="N46" s="4"/>
    </row>
    <row r="47" spans="1:14" s="3" customFormat="1" ht="30" customHeight="1" x14ac:dyDescent="0.25">
      <c r="A47" s="4">
        <f t="shared" si="2"/>
        <v>40</v>
      </c>
      <c r="B47" s="4"/>
      <c r="C47" s="4"/>
      <c r="D47" s="4"/>
      <c r="E47" s="4"/>
      <c r="F47" s="4"/>
      <c r="G47" s="4"/>
      <c r="H47" s="6"/>
      <c r="I47" s="4"/>
      <c r="J47" s="4"/>
      <c r="K47" s="4"/>
      <c r="L47" s="4"/>
      <c r="M47" s="4"/>
      <c r="N47" s="4"/>
    </row>
    <row r="48" spans="1:14" s="3" customFormat="1" ht="30" customHeight="1" x14ac:dyDescent="0.25">
      <c r="A48" s="4">
        <f t="shared" si="2"/>
        <v>41</v>
      </c>
      <c r="B48" s="4"/>
      <c r="C48" s="4"/>
      <c r="D48" s="4"/>
      <c r="E48" s="4"/>
      <c r="F48" s="4"/>
      <c r="G48" s="4"/>
      <c r="H48" s="6"/>
      <c r="I48" s="4"/>
      <c r="J48" s="4"/>
      <c r="K48" s="4"/>
      <c r="L48" s="4"/>
      <c r="M48" s="4"/>
      <c r="N48" s="4"/>
    </row>
    <row r="49" spans="1:14" s="3" customFormat="1" ht="30" customHeight="1" x14ac:dyDescent="0.25">
      <c r="A49" s="4">
        <f t="shared" si="2"/>
        <v>42</v>
      </c>
      <c r="B49" s="4"/>
      <c r="C49" s="4"/>
      <c r="D49" s="4"/>
      <c r="E49" s="4"/>
      <c r="F49" s="4"/>
      <c r="G49" s="4"/>
      <c r="H49" s="6"/>
      <c r="I49" s="4"/>
      <c r="J49" s="4"/>
      <c r="K49" s="4"/>
      <c r="L49" s="4"/>
      <c r="M49" s="4"/>
      <c r="N49" s="4"/>
    </row>
    <row r="50" spans="1:14" s="3" customFormat="1" ht="30" customHeight="1" x14ac:dyDescent="0.25">
      <c r="A50" s="4">
        <f t="shared" si="2"/>
        <v>43</v>
      </c>
      <c r="B50" s="4"/>
      <c r="C50" s="4"/>
      <c r="D50" s="4"/>
      <c r="E50" s="4"/>
      <c r="F50" s="4"/>
      <c r="G50" s="4"/>
      <c r="H50" s="6"/>
      <c r="I50" s="4"/>
      <c r="J50" s="4"/>
      <c r="K50" s="4"/>
      <c r="L50" s="4"/>
      <c r="M50" s="4"/>
      <c r="N50" s="4"/>
    </row>
    <row r="51" spans="1:14" s="3" customFormat="1" ht="30" customHeight="1" x14ac:dyDescent="0.25">
      <c r="A51" s="4">
        <f t="shared" si="2"/>
        <v>44</v>
      </c>
      <c r="B51" s="4"/>
      <c r="C51" s="4"/>
      <c r="D51" s="4"/>
      <c r="E51" s="4"/>
      <c r="F51" s="4"/>
      <c r="G51" s="4"/>
      <c r="H51" s="6"/>
      <c r="I51" s="4"/>
      <c r="J51" s="4"/>
      <c r="K51" s="4"/>
      <c r="L51" s="4"/>
      <c r="M51" s="4"/>
      <c r="N51" s="4"/>
    </row>
    <row r="52" spans="1:14" s="3" customFormat="1" ht="30" customHeight="1" x14ac:dyDescent="0.25">
      <c r="A52" s="4">
        <f t="shared" si="2"/>
        <v>45</v>
      </c>
      <c r="B52" s="4"/>
      <c r="C52" s="4"/>
      <c r="D52" s="4"/>
      <c r="E52" s="4"/>
      <c r="F52" s="4"/>
      <c r="G52" s="4"/>
      <c r="H52" s="6"/>
      <c r="I52" s="4"/>
      <c r="J52" s="4"/>
      <c r="K52" s="4"/>
      <c r="L52" s="4"/>
      <c r="M52" s="4"/>
      <c r="N52" s="4"/>
    </row>
    <row r="53" spans="1:14" s="3" customFormat="1" ht="30" customHeight="1" x14ac:dyDescent="0.25">
      <c r="A53" s="4">
        <f t="shared" si="2"/>
        <v>46</v>
      </c>
      <c r="B53" s="4"/>
      <c r="C53" s="4"/>
      <c r="D53" s="4"/>
      <c r="E53" s="4"/>
      <c r="F53" s="4"/>
      <c r="G53" s="4"/>
      <c r="H53" s="6"/>
      <c r="I53" s="4"/>
      <c r="J53" s="4"/>
      <c r="K53" s="4"/>
      <c r="L53" s="4"/>
      <c r="M53" s="4"/>
      <c r="N53" s="4"/>
    </row>
    <row r="54" spans="1:14" s="3" customFormat="1" ht="30" customHeight="1" x14ac:dyDescent="0.25">
      <c r="A54" s="4">
        <f t="shared" si="2"/>
        <v>47</v>
      </c>
      <c r="B54" s="4"/>
      <c r="C54" s="4"/>
      <c r="D54" s="4"/>
      <c r="E54" s="4"/>
      <c r="F54" s="4"/>
      <c r="G54" s="4"/>
      <c r="H54" s="6"/>
      <c r="I54" s="4"/>
      <c r="J54" s="4"/>
      <c r="K54" s="4"/>
      <c r="L54" s="4"/>
      <c r="M54" s="4"/>
      <c r="N54" s="4"/>
    </row>
    <row r="55" spans="1:14" s="3" customFormat="1" ht="30" customHeight="1" x14ac:dyDescent="0.25">
      <c r="A55" s="4">
        <f t="shared" si="2"/>
        <v>48</v>
      </c>
      <c r="B55" s="4"/>
      <c r="C55" s="4"/>
      <c r="D55" s="4"/>
      <c r="E55" s="4"/>
      <c r="F55" s="4"/>
      <c r="G55" s="4"/>
      <c r="H55" s="6"/>
      <c r="I55" s="4"/>
      <c r="J55" s="4"/>
      <c r="K55" s="4"/>
      <c r="L55" s="4"/>
      <c r="M55" s="4"/>
      <c r="N55" s="4"/>
    </row>
  </sheetData>
  <mergeCells count="10">
    <mergeCell ref="A6:A7"/>
    <mergeCell ref="B6:B7"/>
    <mergeCell ref="E6:E7"/>
    <mergeCell ref="F6:F7"/>
    <mergeCell ref="G6:G7"/>
    <mergeCell ref="H6:H7"/>
    <mergeCell ref="I6:I7"/>
    <mergeCell ref="J6:N6"/>
    <mergeCell ref="C6:C7"/>
    <mergeCell ref="D6:D7"/>
  </mergeCells>
  <pageMargins left="0.7" right="0.7" top="0.75" bottom="0.75" header="0.3" footer="0.3"/>
  <pageSetup scale="24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11340-3F69-4AF0-A325-CDDD6DC966C7}">
  <sheetPr>
    <tabColor rgb="FFFFFF00"/>
  </sheetPr>
  <dimension ref="A1:R55"/>
  <sheetViews>
    <sheetView showGridLines="0" view="pageBreakPreview" zoomScale="60" zoomScaleNormal="70" workbookViewId="0">
      <selection activeCell="C4" sqref="C4:D4"/>
    </sheetView>
  </sheetViews>
  <sheetFormatPr defaultColWidth="9.140625" defaultRowHeight="14.25" outlineLevelCol="1" x14ac:dyDescent="0.2"/>
  <cols>
    <col min="1" max="1" width="8.7109375" style="7" customWidth="1" outlineLevel="1"/>
    <col min="2" max="2" width="8.28515625" style="7" customWidth="1" outlineLevel="1"/>
    <col min="3" max="3" width="32.85546875" style="7" customWidth="1"/>
    <col min="4" max="4" width="26.28515625" style="7" customWidth="1"/>
    <col min="5" max="5" width="26.5703125" style="7" customWidth="1"/>
    <col min="6" max="6" width="18.85546875" style="8" bestFit="1" customWidth="1"/>
    <col min="7" max="7" width="18.7109375" style="7" customWidth="1" outlineLevel="1"/>
    <col min="8" max="8" width="18.5703125" style="7" customWidth="1" outlineLevel="1"/>
    <col min="9" max="9" width="22.140625" style="7" customWidth="1" outlineLevel="1"/>
    <col min="10" max="14" width="18.5703125" style="7" customWidth="1" outlineLevel="1"/>
    <col min="15" max="16" width="9.140625" style="7" customWidth="1" outlineLevel="1"/>
    <col min="17" max="17" width="57.28515625" style="7" bestFit="1" customWidth="1" outlineLevel="1"/>
    <col min="18" max="18" width="9.140625" style="7" customWidth="1" outlineLevel="1"/>
    <col min="19" max="16384" width="9.140625" style="7"/>
  </cols>
  <sheetData>
    <row r="1" spans="1:18" ht="20.25" x14ac:dyDescent="0.3">
      <c r="C1" s="10" t="s">
        <v>190</v>
      </c>
    </row>
    <row r="2" spans="1:18" ht="15" x14ac:dyDescent="0.25">
      <c r="C2" s="9"/>
    </row>
    <row r="3" spans="1:18" ht="15" x14ac:dyDescent="0.25">
      <c r="C3" s="9"/>
    </row>
    <row r="4" spans="1:18" x14ac:dyDescent="0.2">
      <c r="C4" s="5" t="s">
        <v>290</v>
      </c>
      <c r="D4" s="8" t="s">
        <v>285</v>
      </c>
    </row>
    <row r="5" spans="1:18" x14ac:dyDescent="0.2">
      <c r="C5" s="7" t="s">
        <v>263</v>
      </c>
      <c r="D5" s="8"/>
      <c r="H5" s="29">
        <f>SUM(H8:H55)</f>
        <v>0</v>
      </c>
      <c r="J5" s="29">
        <f>SUM(J8:J55)</f>
        <v>0</v>
      </c>
      <c r="K5" s="29">
        <f t="shared" ref="K5:N5" si="0">SUM(K8:K55)</f>
        <v>0</v>
      </c>
      <c r="L5" s="29">
        <f t="shared" si="0"/>
        <v>0</v>
      </c>
      <c r="M5" s="29">
        <f t="shared" si="0"/>
        <v>0</v>
      </c>
      <c r="N5" s="29">
        <f t="shared" si="0"/>
        <v>0</v>
      </c>
    </row>
    <row r="6" spans="1:18" s="3" customFormat="1" ht="30" customHeight="1" x14ac:dyDescent="0.25">
      <c r="A6" s="127" t="s">
        <v>55</v>
      </c>
      <c r="B6" s="127" t="s">
        <v>59</v>
      </c>
      <c r="C6" s="127" t="s">
        <v>58</v>
      </c>
      <c r="D6" s="134" t="s">
        <v>262</v>
      </c>
      <c r="E6" s="134"/>
      <c r="F6" s="127" t="s">
        <v>191</v>
      </c>
      <c r="G6" s="127" t="s">
        <v>192</v>
      </c>
      <c r="H6" s="129" t="s">
        <v>103</v>
      </c>
      <c r="I6" s="127" t="s">
        <v>178</v>
      </c>
      <c r="J6" s="131" t="s">
        <v>54</v>
      </c>
      <c r="K6" s="132"/>
      <c r="L6" s="132"/>
      <c r="M6" s="132"/>
      <c r="N6" s="133"/>
    </row>
    <row r="7" spans="1:18" s="3" customFormat="1" ht="30" customHeight="1" x14ac:dyDescent="0.2">
      <c r="A7" s="128"/>
      <c r="B7" s="128"/>
      <c r="C7" s="128"/>
      <c r="D7" s="16" t="s">
        <v>100</v>
      </c>
      <c r="E7" s="16" t="s">
        <v>64</v>
      </c>
      <c r="F7" s="128"/>
      <c r="G7" s="128"/>
      <c r="H7" s="130"/>
      <c r="I7" s="128"/>
      <c r="J7" s="15">
        <v>2024</v>
      </c>
      <c r="K7" s="15">
        <v>2023</v>
      </c>
      <c r="L7" s="15">
        <v>2022</v>
      </c>
      <c r="M7" s="15">
        <v>2021</v>
      </c>
      <c r="N7" s="15">
        <v>2020</v>
      </c>
      <c r="P7" s="7" t="s">
        <v>30</v>
      </c>
      <c r="Q7" s="7" t="s">
        <v>30</v>
      </c>
      <c r="R7" s="7" t="s">
        <v>30</v>
      </c>
    </row>
    <row r="8" spans="1:18" s="3" customFormat="1" ht="30" customHeight="1" x14ac:dyDescent="0.25">
      <c r="A8" s="4">
        <v>1</v>
      </c>
      <c r="B8" s="4" t="str">
        <f>VLOOKUP(C8,$Q:$R,2,0)</f>
        <v>-</v>
      </c>
      <c r="C8" s="23" t="s">
        <v>30</v>
      </c>
      <c r="D8" s="5"/>
      <c r="E8" s="5"/>
      <c r="F8" s="5"/>
      <c r="G8" s="4"/>
      <c r="H8" s="45"/>
      <c r="I8" s="4"/>
      <c r="J8" s="11"/>
      <c r="K8" s="11"/>
      <c r="L8" s="11"/>
      <c r="M8" s="11"/>
      <c r="N8" s="11"/>
      <c r="P8" s="57">
        <v>101</v>
      </c>
      <c r="Q8" s="58" t="s">
        <v>193</v>
      </c>
      <c r="R8" s="57">
        <v>101</v>
      </c>
    </row>
    <row r="9" spans="1:18" s="3" customFormat="1" ht="30" customHeight="1" x14ac:dyDescent="0.25">
      <c r="A9" s="4">
        <f>A8+1</f>
        <v>2</v>
      </c>
      <c r="B9" s="4"/>
      <c r="C9" s="23"/>
      <c r="D9" s="5"/>
      <c r="E9" s="5"/>
      <c r="F9" s="5"/>
      <c r="G9" s="4"/>
      <c r="H9" s="6"/>
      <c r="I9" s="4"/>
      <c r="J9" s="11"/>
      <c r="K9" s="11"/>
      <c r="L9" s="11"/>
      <c r="M9" s="11"/>
      <c r="N9" s="11"/>
      <c r="P9" s="57">
        <v>102</v>
      </c>
      <c r="Q9" s="58" t="s">
        <v>194</v>
      </c>
      <c r="R9" s="57">
        <v>102</v>
      </c>
    </row>
    <row r="10" spans="1:18" s="3" customFormat="1" ht="30" customHeight="1" x14ac:dyDescent="0.25">
      <c r="A10" s="4">
        <f t="shared" ref="A10:A55" si="1">A9+1</f>
        <v>3</v>
      </c>
      <c r="B10" s="4"/>
      <c r="C10" s="4"/>
      <c r="D10" s="5"/>
      <c r="E10" s="5"/>
      <c r="F10" s="5"/>
      <c r="G10" s="4"/>
      <c r="H10" s="6"/>
      <c r="I10" s="4"/>
      <c r="J10" s="11"/>
      <c r="K10" s="11"/>
      <c r="L10" s="11"/>
      <c r="M10" s="11"/>
      <c r="N10" s="11"/>
      <c r="P10" s="57">
        <v>103</v>
      </c>
      <c r="Q10" s="58" t="s">
        <v>195</v>
      </c>
      <c r="R10" s="57">
        <v>103</v>
      </c>
    </row>
    <row r="11" spans="1:18" s="3" customFormat="1" ht="30" customHeight="1" x14ac:dyDescent="0.25">
      <c r="A11" s="4">
        <f t="shared" si="1"/>
        <v>4</v>
      </c>
      <c r="B11" s="4"/>
      <c r="C11" s="4"/>
      <c r="D11" s="5"/>
      <c r="E11" s="5"/>
      <c r="F11" s="5"/>
      <c r="G11" s="4"/>
      <c r="H11" s="6"/>
      <c r="I11" s="4"/>
      <c r="J11" s="11"/>
      <c r="K11" s="11"/>
      <c r="L11" s="11"/>
      <c r="M11" s="11"/>
      <c r="N11" s="11"/>
      <c r="P11" s="57">
        <v>109</v>
      </c>
      <c r="Q11" s="58" t="s">
        <v>196</v>
      </c>
      <c r="R11" s="57">
        <v>109</v>
      </c>
    </row>
    <row r="12" spans="1:18" s="3" customFormat="1" ht="30" customHeight="1" x14ac:dyDescent="0.25">
      <c r="A12" s="4">
        <f t="shared" si="1"/>
        <v>5</v>
      </c>
      <c r="B12" s="4"/>
      <c r="C12" s="4"/>
      <c r="D12" s="5"/>
      <c r="E12" s="5"/>
      <c r="F12" s="4"/>
      <c r="G12" s="4"/>
      <c r="H12" s="6"/>
      <c r="I12" s="4"/>
      <c r="J12" s="11"/>
      <c r="K12" s="11"/>
      <c r="L12" s="11"/>
      <c r="M12" s="11"/>
      <c r="N12" s="11"/>
      <c r="P12" s="1"/>
      <c r="Q12" s="2"/>
      <c r="R12" s="1"/>
    </row>
    <row r="13" spans="1:18" s="3" customFormat="1" ht="30" customHeight="1" x14ac:dyDescent="0.25">
      <c r="A13" s="4">
        <f t="shared" si="1"/>
        <v>6</v>
      </c>
      <c r="B13" s="4"/>
      <c r="C13" s="4"/>
      <c r="D13" s="5"/>
      <c r="E13" s="5"/>
      <c r="F13" s="4"/>
      <c r="G13" s="4"/>
      <c r="H13" s="6"/>
      <c r="I13" s="4"/>
      <c r="J13" s="11"/>
      <c r="K13" s="11"/>
      <c r="L13" s="11"/>
      <c r="M13" s="11"/>
      <c r="N13" s="11"/>
      <c r="P13" s="1"/>
      <c r="Q13" s="2"/>
      <c r="R13" s="1"/>
    </row>
    <row r="14" spans="1:18" s="3" customFormat="1" ht="30" customHeight="1" x14ac:dyDescent="0.25">
      <c r="A14" s="4">
        <f t="shared" si="1"/>
        <v>7</v>
      </c>
      <c r="B14" s="4"/>
      <c r="C14" s="4"/>
      <c r="D14" s="5"/>
      <c r="E14" s="5"/>
      <c r="F14" s="4"/>
      <c r="G14" s="4"/>
      <c r="H14" s="6"/>
      <c r="I14" s="4"/>
      <c r="J14" s="11"/>
      <c r="K14" s="11"/>
      <c r="L14" s="11"/>
      <c r="M14" s="11"/>
      <c r="N14" s="11"/>
      <c r="P14" s="1"/>
      <c r="Q14" s="2"/>
      <c r="R14" s="1"/>
    </row>
    <row r="15" spans="1:18" s="3" customFormat="1" ht="30" customHeight="1" x14ac:dyDescent="0.25">
      <c r="A15" s="4">
        <f t="shared" si="1"/>
        <v>8</v>
      </c>
      <c r="B15" s="4"/>
      <c r="C15" s="4"/>
      <c r="D15" s="5"/>
      <c r="E15" s="5"/>
      <c r="F15" s="4"/>
      <c r="G15" s="4"/>
      <c r="H15" s="6"/>
      <c r="I15" s="4"/>
      <c r="J15" s="11"/>
      <c r="K15" s="11"/>
      <c r="L15" s="11"/>
      <c r="M15" s="11"/>
      <c r="N15" s="11"/>
      <c r="P15" s="1"/>
      <c r="Q15" s="2"/>
      <c r="R15" s="1"/>
    </row>
    <row r="16" spans="1:18" s="3" customFormat="1" ht="30" customHeight="1" x14ac:dyDescent="0.25">
      <c r="A16" s="4">
        <f t="shared" si="1"/>
        <v>9</v>
      </c>
      <c r="B16" s="4"/>
      <c r="C16" s="4"/>
      <c r="D16" s="5"/>
      <c r="E16" s="5"/>
      <c r="F16" s="4"/>
      <c r="G16" s="4"/>
      <c r="H16" s="6"/>
      <c r="I16" s="4"/>
      <c r="J16" s="11"/>
      <c r="K16" s="11"/>
      <c r="L16" s="11"/>
      <c r="M16" s="11"/>
      <c r="N16" s="11"/>
    </row>
    <row r="17" spans="1:18" s="3" customFormat="1" ht="30" customHeight="1" x14ac:dyDescent="0.25">
      <c r="A17" s="4">
        <f t="shared" si="1"/>
        <v>10</v>
      </c>
      <c r="B17" s="4"/>
      <c r="C17" s="4"/>
      <c r="D17" s="5"/>
      <c r="E17" s="5"/>
      <c r="F17" s="4"/>
      <c r="G17" s="4"/>
      <c r="H17" s="6"/>
      <c r="I17" s="4"/>
      <c r="J17" s="11"/>
      <c r="K17" s="11"/>
      <c r="L17" s="11"/>
      <c r="M17" s="11"/>
      <c r="N17" s="11"/>
      <c r="P17" s="1"/>
      <c r="Q17" s="2"/>
      <c r="R17" s="1"/>
    </row>
    <row r="18" spans="1:18" s="3" customFormat="1" ht="30" customHeight="1" x14ac:dyDescent="0.25">
      <c r="A18" s="4">
        <f t="shared" si="1"/>
        <v>11</v>
      </c>
      <c r="B18" s="4"/>
      <c r="C18" s="4"/>
      <c r="D18" s="5"/>
      <c r="E18" s="5"/>
      <c r="F18" s="4"/>
      <c r="G18" s="4"/>
      <c r="H18" s="6"/>
      <c r="I18" s="4"/>
      <c r="J18" s="11"/>
      <c r="K18" s="11"/>
      <c r="L18" s="11"/>
      <c r="M18" s="11"/>
      <c r="N18" s="11"/>
    </row>
    <row r="19" spans="1:18" s="3" customFormat="1" ht="30" customHeight="1" x14ac:dyDescent="0.25">
      <c r="A19" s="4">
        <f t="shared" si="1"/>
        <v>12</v>
      </c>
      <c r="B19" s="4"/>
      <c r="C19" s="4"/>
      <c r="D19" s="5"/>
      <c r="E19" s="5"/>
      <c r="F19" s="4"/>
      <c r="G19" s="4"/>
      <c r="H19" s="6"/>
      <c r="I19" s="4"/>
      <c r="J19" s="11"/>
      <c r="K19" s="11"/>
      <c r="L19" s="11"/>
      <c r="M19" s="11"/>
      <c r="N19" s="11"/>
    </row>
    <row r="20" spans="1:18" s="3" customFormat="1" ht="30" customHeight="1" x14ac:dyDescent="0.25">
      <c r="A20" s="4">
        <f t="shared" si="1"/>
        <v>13</v>
      </c>
      <c r="B20" s="4"/>
      <c r="C20" s="4"/>
      <c r="D20" s="5"/>
      <c r="E20" s="5"/>
      <c r="F20" s="4"/>
      <c r="G20" s="4"/>
      <c r="H20" s="6"/>
      <c r="I20" s="4"/>
      <c r="J20" s="11"/>
      <c r="K20" s="11"/>
      <c r="L20" s="11"/>
      <c r="M20" s="11"/>
      <c r="N20" s="11"/>
    </row>
    <row r="21" spans="1:18" s="3" customFormat="1" ht="30" customHeight="1" x14ac:dyDescent="0.25">
      <c r="A21" s="4">
        <f t="shared" si="1"/>
        <v>14</v>
      </c>
      <c r="B21" s="4"/>
      <c r="C21" s="4"/>
      <c r="D21" s="5"/>
      <c r="E21" s="5"/>
      <c r="F21" s="4"/>
      <c r="G21" s="4"/>
      <c r="H21" s="6"/>
      <c r="I21" s="4"/>
      <c r="J21" s="11"/>
      <c r="K21" s="11"/>
      <c r="L21" s="11"/>
      <c r="M21" s="11"/>
      <c r="N21" s="11"/>
    </row>
    <row r="22" spans="1:18" s="3" customFormat="1" ht="30" customHeight="1" x14ac:dyDescent="0.25">
      <c r="A22" s="4">
        <f t="shared" si="1"/>
        <v>15</v>
      </c>
      <c r="B22" s="4"/>
      <c r="C22" s="4"/>
      <c r="D22" s="5"/>
      <c r="E22" s="5"/>
      <c r="F22" s="4"/>
      <c r="G22" s="4"/>
      <c r="H22" s="6"/>
      <c r="I22" s="4"/>
      <c r="J22" s="12"/>
      <c r="K22" s="12"/>
      <c r="L22" s="12"/>
      <c r="M22" s="12"/>
      <c r="N22" s="12"/>
    </row>
    <row r="23" spans="1:18" s="3" customFormat="1" ht="30" customHeight="1" x14ac:dyDescent="0.25">
      <c r="A23" s="4">
        <f t="shared" si="1"/>
        <v>16</v>
      </c>
      <c r="B23" s="4"/>
      <c r="C23" s="4"/>
      <c r="D23" s="5"/>
      <c r="E23" s="5"/>
      <c r="F23" s="4"/>
      <c r="G23" s="4"/>
      <c r="H23" s="6"/>
      <c r="I23" s="4"/>
      <c r="J23" s="12"/>
      <c r="K23" s="12"/>
      <c r="L23" s="12"/>
      <c r="M23" s="12"/>
      <c r="N23" s="12"/>
    </row>
    <row r="24" spans="1:18" s="3" customFormat="1" ht="30" customHeight="1" x14ac:dyDescent="0.25">
      <c r="A24" s="4">
        <f t="shared" si="1"/>
        <v>17</v>
      </c>
      <c r="B24" s="4"/>
      <c r="C24" s="4"/>
      <c r="D24" s="5"/>
      <c r="E24" s="5"/>
      <c r="F24" s="4"/>
      <c r="G24" s="4"/>
      <c r="H24" s="6"/>
      <c r="I24" s="4"/>
      <c r="J24" s="12"/>
      <c r="K24" s="12"/>
      <c r="L24" s="12"/>
      <c r="M24" s="12"/>
      <c r="N24" s="12"/>
    </row>
    <row r="25" spans="1:18" s="3" customFormat="1" ht="30" customHeight="1" x14ac:dyDescent="0.25">
      <c r="A25" s="4">
        <f t="shared" si="1"/>
        <v>18</v>
      </c>
      <c r="B25" s="4"/>
      <c r="C25" s="4"/>
      <c r="D25" s="5"/>
      <c r="E25" s="5"/>
      <c r="F25" s="5"/>
      <c r="G25" s="4"/>
      <c r="H25" s="6"/>
      <c r="I25" s="4"/>
      <c r="J25" s="12"/>
      <c r="K25" s="12"/>
      <c r="L25" s="12"/>
      <c r="M25" s="12"/>
      <c r="N25" s="12"/>
    </row>
    <row r="26" spans="1:18" s="3" customFormat="1" ht="30" customHeight="1" x14ac:dyDescent="0.25">
      <c r="A26" s="4">
        <f t="shared" si="1"/>
        <v>19</v>
      </c>
      <c r="B26" s="4"/>
      <c r="C26" s="4"/>
      <c r="D26" s="4"/>
      <c r="E26" s="4"/>
      <c r="F26" s="5"/>
      <c r="G26" s="4"/>
      <c r="H26" s="6"/>
      <c r="I26" s="4"/>
      <c r="J26" s="12"/>
      <c r="K26" s="12"/>
      <c r="L26" s="12"/>
      <c r="M26" s="12"/>
      <c r="N26" s="12"/>
    </row>
    <row r="27" spans="1:18" s="3" customFormat="1" ht="30" customHeight="1" x14ac:dyDescent="0.25">
      <c r="A27" s="4">
        <f t="shared" si="1"/>
        <v>20</v>
      </c>
      <c r="B27" s="4"/>
      <c r="C27" s="4"/>
      <c r="D27" s="4"/>
      <c r="E27" s="4"/>
      <c r="F27" s="5"/>
      <c r="G27" s="4"/>
      <c r="H27" s="6"/>
      <c r="I27" s="4"/>
      <c r="J27" s="12"/>
      <c r="K27" s="12"/>
      <c r="L27" s="12"/>
      <c r="M27" s="12"/>
      <c r="N27" s="12"/>
    </row>
    <row r="28" spans="1:18" s="3" customFormat="1" ht="30" customHeight="1" x14ac:dyDescent="0.25">
      <c r="A28" s="4">
        <f t="shared" si="1"/>
        <v>21</v>
      </c>
      <c r="B28" s="4"/>
      <c r="C28" s="4"/>
      <c r="D28" s="4"/>
      <c r="E28" s="4"/>
      <c r="F28" s="5"/>
      <c r="G28" s="4"/>
      <c r="H28" s="6"/>
      <c r="I28" s="4"/>
      <c r="J28" s="4"/>
      <c r="K28" s="4"/>
      <c r="L28" s="4"/>
      <c r="M28" s="4"/>
      <c r="N28" s="4"/>
    </row>
    <row r="29" spans="1:18" s="3" customFormat="1" ht="30" customHeight="1" x14ac:dyDescent="0.25">
      <c r="A29" s="4">
        <f t="shared" si="1"/>
        <v>22</v>
      </c>
      <c r="B29" s="4"/>
      <c r="C29" s="4"/>
      <c r="D29" s="4"/>
      <c r="E29" s="4"/>
      <c r="F29" s="5"/>
      <c r="G29" s="4"/>
      <c r="H29" s="6"/>
      <c r="I29" s="4"/>
      <c r="J29" s="4"/>
      <c r="K29" s="4"/>
      <c r="L29" s="4"/>
      <c r="M29" s="4"/>
      <c r="N29" s="4"/>
    </row>
    <row r="30" spans="1:18" s="3" customFormat="1" ht="30" customHeight="1" x14ac:dyDescent="0.25">
      <c r="A30" s="4">
        <f t="shared" si="1"/>
        <v>23</v>
      </c>
      <c r="B30" s="4"/>
      <c r="C30" s="4"/>
      <c r="D30" s="4"/>
      <c r="E30" s="4"/>
      <c r="F30" s="5"/>
      <c r="G30" s="4"/>
      <c r="H30" s="6"/>
      <c r="I30" s="4"/>
      <c r="J30" s="4"/>
      <c r="K30" s="4"/>
      <c r="L30" s="4"/>
      <c r="M30" s="4"/>
      <c r="N30" s="4"/>
    </row>
    <row r="31" spans="1:18" s="3" customFormat="1" ht="30" customHeight="1" x14ac:dyDescent="0.25">
      <c r="A31" s="4">
        <f t="shared" si="1"/>
        <v>24</v>
      </c>
      <c r="B31" s="4"/>
      <c r="C31" s="4"/>
      <c r="D31" s="4"/>
      <c r="E31" s="4"/>
      <c r="F31" s="5"/>
      <c r="G31" s="4"/>
      <c r="H31" s="6"/>
      <c r="I31" s="4"/>
      <c r="J31" s="4"/>
      <c r="K31" s="4"/>
      <c r="L31" s="4"/>
      <c r="M31" s="4"/>
      <c r="N31" s="4"/>
    </row>
    <row r="32" spans="1:18" s="3" customFormat="1" ht="30" customHeight="1" x14ac:dyDescent="0.25">
      <c r="A32" s="4">
        <f t="shared" si="1"/>
        <v>25</v>
      </c>
      <c r="B32" s="4"/>
      <c r="C32" s="4"/>
      <c r="D32" s="4"/>
      <c r="E32" s="4"/>
      <c r="F32" s="5"/>
      <c r="G32" s="4"/>
      <c r="H32" s="6"/>
      <c r="I32" s="4"/>
      <c r="J32" s="4"/>
      <c r="K32" s="4"/>
      <c r="L32" s="4"/>
      <c r="M32" s="4"/>
      <c r="N32" s="4"/>
    </row>
    <row r="33" spans="1:14" s="3" customFormat="1" ht="30" customHeight="1" x14ac:dyDescent="0.25">
      <c r="A33" s="4">
        <f t="shared" si="1"/>
        <v>26</v>
      </c>
      <c r="B33" s="4"/>
      <c r="C33" s="4"/>
      <c r="D33" s="4"/>
      <c r="E33" s="4"/>
      <c r="F33" s="5"/>
      <c r="G33" s="4"/>
      <c r="H33" s="6"/>
      <c r="I33" s="4"/>
      <c r="J33" s="4"/>
      <c r="K33" s="4"/>
      <c r="L33" s="4"/>
      <c r="M33" s="4"/>
      <c r="N33" s="4"/>
    </row>
    <row r="34" spans="1:14" s="3" customFormat="1" ht="30" customHeight="1" x14ac:dyDescent="0.25">
      <c r="A34" s="4">
        <f t="shared" si="1"/>
        <v>27</v>
      </c>
      <c r="B34" s="4"/>
      <c r="C34" s="4"/>
      <c r="D34" s="4"/>
      <c r="E34" s="4"/>
      <c r="F34" s="5"/>
      <c r="G34" s="4"/>
      <c r="H34" s="6"/>
      <c r="I34" s="4"/>
      <c r="J34" s="4"/>
      <c r="K34" s="4"/>
      <c r="L34" s="4"/>
      <c r="M34" s="4"/>
      <c r="N34" s="4"/>
    </row>
    <row r="35" spans="1:14" s="3" customFormat="1" ht="30" customHeight="1" x14ac:dyDescent="0.25">
      <c r="A35" s="4">
        <f t="shared" si="1"/>
        <v>28</v>
      </c>
      <c r="B35" s="4"/>
      <c r="C35" s="4"/>
      <c r="D35" s="4"/>
      <c r="E35" s="4"/>
      <c r="F35" s="5"/>
      <c r="G35" s="4"/>
      <c r="H35" s="6"/>
      <c r="I35" s="4"/>
      <c r="J35" s="4"/>
      <c r="K35" s="4"/>
      <c r="L35" s="4"/>
      <c r="M35" s="4"/>
      <c r="N35" s="4"/>
    </row>
    <row r="36" spans="1:14" s="3" customFormat="1" ht="30" customHeight="1" x14ac:dyDescent="0.25">
      <c r="A36" s="4">
        <f t="shared" si="1"/>
        <v>29</v>
      </c>
      <c r="B36" s="4"/>
      <c r="C36" s="4"/>
      <c r="D36" s="4"/>
      <c r="E36" s="4"/>
      <c r="F36" s="5"/>
      <c r="G36" s="4"/>
      <c r="H36" s="6"/>
      <c r="I36" s="4"/>
      <c r="J36" s="4"/>
      <c r="K36" s="4"/>
      <c r="L36" s="4"/>
      <c r="M36" s="4"/>
      <c r="N36" s="4"/>
    </row>
    <row r="37" spans="1:14" s="3" customFormat="1" ht="30" customHeight="1" x14ac:dyDescent="0.25">
      <c r="A37" s="4">
        <f t="shared" si="1"/>
        <v>30</v>
      </c>
      <c r="B37" s="4"/>
      <c r="C37" s="4"/>
      <c r="D37" s="4"/>
      <c r="E37" s="4"/>
      <c r="F37" s="5"/>
      <c r="G37" s="4"/>
      <c r="H37" s="6"/>
      <c r="I37" s="4"/>
      <c r="J37" s="4"/>
      <c r="K37" s="4"/>
      <c r="L37" s="4"/>
      <c r="M37" s="4"/>
      <c r="N37" s="4"/>
    </row>
    <row r="38" spans="1:14" s="3" customFormat="1" ht="30" customHeight="1" x14ac:dyDescent="0.25">
      <c r="A38" s="4">
        <f t="shared" si="1"/>
        <v>31</v>
      </c>
      <c r="B38" s="4"/>
      <c r="C38" s="4"/>
      <c r="D38" s="4"/>
      <c r="E38" s="4"/>
      <c r="F38" s="5"/>
      <c r="G38" s="4"/>
      <c r="H38" s="6"/>
      <c r="I38" s="4"/>
      <c r="J38" s="4"/>
      <c r="K38" s="4"/>
      <c r="L38" s="4"/>
      <c r="M38" s="4"/>
      <c r="N38" s="4"/>
    </row>
    <row r="39" spans="1:14" s="3" customFormat="1" ht="30" customHeight="1" x14ac:dyDescent="0.25">
      <c r="A39" s="4">
        <f t="shared" si="1"/>
        <v>32</v>
      </c>
      <c r="B39" s="4"/>
      <c r="C39" s="4"/>
      <c r="D39" s="4"/>
      <c r="E39" s="4"/>
      <c r="F39" s="5"/>
      <c r="G39" s="4"/>
      <c r="H39" s="6"/>
      <c r="I39" s="4"/>
      <c r="J39" s="4"/>
      <c r="K39" s="4"/>
      <c r="L39" s="4"/>
      <c r="M39" s="4"/>
      <c r="N39" s="4"/>
    </row>
    <row r="40" spans="1:14" s="3" customFormat="1" ht="30" customHeight="1" x14ac:dyDescent="0.25">
      <c r="A40" s="4">
        <f t="shared" si="1"/>
        <v>33</v>
      </c>
      <c r="B40" s="4"/>
      <c r="C40" s="4"/>
      <c r="D40" s="4"/>
      <c r="E40" s="4"/>
      <c r="F40" s="5"/>
      <c r="G40" s="4"/>
      <c r="H40" s="6"/>
      <c r="I40" s="4"/>
      <c r="J40" s="4"/>
      <c r="K40" s="4"/>
      <c r="L40" s="4"/>
      <c r="M40" s="4"/>
      <c r="N40" s="4"/>
    </row>
    <row r="41" spans="1:14" s="3" customFormat="1" ht="30" customHeight="1" x14ac:dyDescent="0.25">
      <c r="A41" s="4">
        <f t="shared" si="1"/>
        <v>34</v>
      </c>
      <c r="B41" s="4"/>
      <c r="C41" s="4"/>
      <c r="D41" s="4"/>
      <c r="E41" s="4"/>
      <c r="F41" s="5"/>
      <c r="G41" s="4"/>
      <c r="H41" s="6"/>
      <c r="I41" s="4"/>
      <c r="J41" s="4"/>
      <c r="K41" s="4"/>
      <c r="L41" s="4"/>
      <c r="M41" s="4"/>
      <c r="N41" s="4"/>
    </row>
    <row r="42" spans="1:14" s="3" customFormat="1" ht="30" customHeight="1" x14ac:dyDescent="0.25">
      <c r="A42" s="4">
        <f t="shared" si="1"/>
        <v>35</v>
      </c>
      <c r="B42" s="4"/>
      <c r="C42" s="4"/>
      <c r="D42" s="4"/>
      <c r="E42" s="4"/>
      <c r="F42" s="5"/>
      <c r="G42" s="4"/>
      <c r="H42" s="6"/>
      <c r="I42" s="4"/>
      <c r="J42" s="4"/>
      <c r="K42" s="4"/>
      <c r="L42" s="4"/>
      <c r="M42" s="4"/>
      <c r="N42" s="4"/>
    </row>
    <row r="43" spans="1:14" s="3" customFormat="1" ht="30" customHeight="1" x14ac:dyDescent="0.25">
      <c r="A43" s="4">
        <f t="shared" si="1"/>
        <v>36</v>
      </c>
      <c r="B43" s="4"/>
      <c r="C43" s="4"/>
      <c r="D43" s="4"/>
      <c r="E43" s="4"/>
      <c r="F43" s="5"/>
      <c r="G43" s="4"/>
      <c r="H43" s="6"/>
      <c r="I43" s="4"/>
      <c r="J43" s="4"/>
      <c r="K43" s="4"/>
      <c r="L43" s="4"/>
      <c r="M43" s="4"/>
      <c r="N43" s="4"/>
    </row>
    <row r="44" spans="1:14" s="3" customFormat="1" ht="30" customHeight="1" x14ac:dyDescent="0.25">
      <c r="A44" s="4">
        <f t="shared" si="1"/>
        <v>37</v>
      </c>
      <c r="B44" s="4"/>
      <c r="C44" s="4"/>
      <c r="D44" s="4"/>
      <c r="E44" s="4"/>
      <c r="F44" s="5"/>
      <c r="G44" s="4"/>
      <c r="H44" s="6"/>
      <c r="I44" s="4"/>
      <c r="J44" s="4"/>
      <c r="K44" s="4"/>
      <c r="L44" s="4"/>
      <c r="M44" s="4"/>
      <c r="N44" s="4"/>
    </row>
    <row r="45" spans="1:14" s="3" customFormat="1" ht="30" customHeight="1" x14ac:dyDescent="0.25">
      <c r="A45" s="4">
        <f t="shared" si="1"/>
        <v>38</v>
      </c>
      <c r="B45" s="4"/>
      <c r="C45" s="4"/>
      <c r="D45" s="4"/>
      <c r="E45" s="4"/>
      <c r="F45" s="5"/>
      <c r="G45" s="4"/>
      <c r="H45" s="6"/>
      <c r="I45" s="4"/>
      <c r="J45" s="4"/>
      <c r="K45" s="4"/>
      <c r="L45" s="4"/>
      <c r="M45" s="4"/>
      <c r="N45" s="4"/>
    </row>
    <row r="46" spans="1:14" s="3" customFormat="1" ht="30" customHeight="1" x14ac:dyDescent="0.25">
      <c r="A46" s="4">
        <f t="shared" si="1"/>
        <v>39</v>
      </c>
      <c r="B46" s="4"/>
      <c r="C46" s="4"/>
      <c r="D46" s="4"/>
      <c r="E46" s="4"/>
      <c r="F46" s="5"/>
      <c r="G46" s="4"/>
      <c r="H46" s="6"/>
      <c r="I46" s="4"/>
      <c r="J46" s="4"/>
      <c r="K46" s="4"/>
      <c r="L46" s="4"/>
      <c r="M46" s="4"/>
      <c r="N46" s="4"/>
    </row>
    <row r="47" spans="1:14" s="3" customFormat="1" ht="30" customHeight="1" x14ac:dyDescent="0.25">
      <c r="A47" s="4">
        <f t="shared" si="1"/>
        <v>40</v>
      </c>
      <c r="B47" s="4"/>
      <c r="C47" s="4"/>
      <c r="D47" s="4"/>
      <c r="E47" s="4"/>
      <c r="F47" s="5"/>
      <c r="G47" s="4"/>
      <c r="H47" s="6"/>
      <c r="I47" s="4"/>
      <c r="J47" s="4"/>
      <c r="K47" s="4"/>
      <c r="L47" s="4"/>
      <c r="M47" s="4"/>
      <c r="N47" s="4"/>
    </row>
    <row r="48" spans="1:14" s="3" customFormat="1" ht="30" customHeight="1" x14ac:dyDescent="0.25">
      <c r="A48" s="4">
        <f t="shared" si="1"/>
        <v>41</v>
      </c>
      <c r="B48" s="4"/>
      <c r="C48" s="4"/>
      <c r="D48" s="4"/>
      <c r="E48" s="4"/>
      <c r="F48" s="5"/>
      <c r="G48" s="4"/>
      <c r="H48" s="6"/>
      <c r="I48" s="4"/>
      <c r="J48" s="4"/>
      <c r="K48" s="4"/>
      <c r="L48" s="4"/>
      <c r="M48" s="4"/>
      <c r="N48" s="4"/>
    </row>
    <row r="49" spans="1:14" s="3" customFormat="1" ht="30" customHeight="1" x14ac:dyDescent="0.25">
      <c r="A49" s="4">
        <f t="shared" si="1"/>
        <v>42</v>
      </c>
      <c r="B49" s="4"/>
      <c r="C49" s="4"/>
      <c r="D49" s="4"/>
      <c r="E49" s="4"/>
      <c r="F49" s="5"/>
      <c r="G49" s="4"/>
      <c r="H49" s="6"/>
      <c r="I49" s="4"/>
      <c r="J49" s="4"/>
      <c r="K49" s="4"/>
      <c r="L49" s="4"/>
      <c r="M49" s="4"/>
      <c r="N49" s="4"/>
    </row>
    <row r="50" spans="1:14" s="3" customFormat="1" ht="30" customHeight="1" x14ac:dyDescent="0.25">
      <c r="A50" s="4">
        <f t="shared" si="1"/>
        <v>43</v>
      </c>
      <c r="B50" s="4"/>
      <c r="C50" s="4"/>
      <c r="D50" s="4"/>
      <c r="E50" s="4"/>
      <c r="F50" s="5"/>
      <c r="G50" s="4"/>
      <c r="H50" s="6"/>
      <c r="I50" s="4"/>
      <c r="J50" s="4"/>
      <c r="K50" s="4"/>
      <c r="L50" s="4"/>
      <c r="M50" s="4"/>
      <c r="N50" s="4"/>
    </row>
    <row r="51" spans="1:14" s="3" customFormat="1" ht="30" customHeight="1" x14ac:dyDescent="0.25">
      <c r="A51" s="4">
        <f t="shared" si="1"/>
        <v>44</v>
      </c>
      <c r="B51" s="4"/>
      <c r="C51" s="4"/>
      <c r="D51" s="4"/>
      <c r="E51" s="4"/>
      <c r="F51" s="5"/>
      <c r="G51" s="4"/>
      <c r="H51" s="6"/>
      <c r="I51" s="4"/>
      <c r="J51" s="4"/>
      <c r="K51" s="4"/>
      <c r="L51" s="4"/>
      <c r="M51" s="4"/>
      <c r="N51" s="4"/>
    </row>
    <row r="52" spans="1:14" s="3" customFormat="1" ht="30" customHeight="1" x14ac:dyDescent="0.25">
      <c r="A52" s="4">
        <f t="shared" si="1"/>
        <v>45</v>
      </c>
      <c r="B52" s="4"/>
      <c r="C52" s="4"/>
      <c r="D52" s="4"/>
      <c r="E52" s="4"/>
      <c r="F52" s="5"/>
      <c r="G52" s="4"/>
      <c r="H52" s="6"/>
      <c r="I52" s="4"/>
      <c r="J52" s="4"/>
      <c r="K52" s="4"/>
      <c r="L52" s="4"/>
      <c r="M52" s="4"/>
      <c r="N52" s="4"/>
    </row>
    <row r="53" spans="1:14" s="3" customFormat="1" ht="30" customHeight="1" x14ac:dyDescent="0.25">
      <c r="A53" s="4">
        <f t="shared" si="1"/>
        <v>46</v>
      </c>
      <c r="B53" s="4"/>
      <c r="C53" s="4"/>
      <c r="D53" s="4"/>
      <c r="E53" s="4"/>
      <c r="F53" s="5"/>
      <c r="G53" s="4"/>
      <c r="H53" s="6"/>
      <c r="I53" s="4"/>
      <c r="J53" s="4"/>
      <c r="K53" s="4"/>
      <c r="L53" s="4"/>
      <c r="M53" s="4"/>
      <c r="N53" s="4"/>
    </row>
    <row r="54" spans="1:14" s="3" customFormat="1" ht="30" customHeight="1" x14ac:dyDescent="0.25">
      <c r="A54" s="4">
        <f t="shared" si="1"/>
        <v>47</v>
      </c>
      <c r="B54" s="4"/>
      <c r="C54" s="4"/>
      <c r="D54" s="4"/>
      <c r="E54" s="4"/>
      <c r="F54" s="5"/>
      <c r="G54" s="4"/>
      <c r="H54" s="6"/>
      <c r="I54" s="4"/>
      <c r="J54" s="4"/>
      <c r="K54" s="4"/>
      <c r="L54" s="4"/>
      <c r="M54" s="4"/>
      <c r="N54" s="4"/>
    </row>
    <row r="55" spans="1:14" s="3" customFormat="1" ht="30" customHeight="1" x14ac:dyDescent="0.25">
      <c r="A55" s="4">
        <f t="shared" si="1"/>
        <v>48</v>
      </c>
      <c r="B55" s="4"/>
      <c r="C55" s="4"/>
      <c r="D55" s="4"/>
      <c r="E55" s="4"/>
      <c r="F55" s="5"/>
      <c r="G55" s="4"/>
      <c r="H55" s="6"/>
      <c r="I55" s="4"/>
      <c r="J55" s="4"/>
      <c r="K55" s="4"/>
      <c r="L55" s="4"/>
      <c r="M55" s="4"/>
      <c r="N55" s="4"/>
    </row>
  </sheetData>
  <mergeCells count="9">
    <mergeCell ref="G6:G7"/>
    <mergeCell ref="H6:H7"/>
    <mergeCell ref="I6:I7"/>
    <mergeCell ref="J6:N6"/>
    <mergeCell ref="A6:A7"/>
    <mergeCell ref="B6:B7"/>
    <mergeCell ref="C6:C7"/>
    <mergeCell ref="F6:F7"/>
    <mergeCell ref="D6:E6"/>
  </mergeCells>
  <pageMargins left="0.7" right="0.7" top="0.75" bottom="0.75" header="0.3" footer="0.3"/>
  <pageSetup scale="31" orientation="portrait" horizontalDpi="0" verticalDpi="0" r:id="rId1"/>
  <colBreaks count="1" manualBreakCount="1">
    <brk id="1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AAA16-CA53-415E-93DE-9071D223448A}">
  <sheetPr>
    <tabColor rgb="FFFF0000"/>
  </sheetPr>
  <dimension ref="A1:O24"/>
  <sheetViews>
    <sheetView showGridLines="0" tabSelected="1" topLeftCell="A7" workbookViewId="0">
      <selection activeCell="C16" sqref="C16"/>
    </sheetView>
  </sheetViews>
  <sheetFormatPr defaultRowHeight="15" x14ac:dyDescent="0.25"/>
  <cols>
    <col min="2" max="2" width="29.140625" customWidth="1"/>
    <col min="3" max="5" width="17.140625" customWidth="1"/>
    <col min="6" max="6" width="12.85546875" bestFit="1" customWidth="1"/>
    <col min="10" max="10" width="22" bestFit="1" customWidth="1"/>
    <col min="11" max="12" width="12.85546875" bestFit="1" customWidth="1"/>
    <col min="14" max="14" width="10.140625" bestFit="1" customWidth="1"/>
    <col min="15" max="15" width="13.28515625" bestFit="1" customWidth="1"/>
  </cols>
  <sheetData>
    <row r="1" spans="1:15" x14ac:dyDescent="0.25">
      <c r="B1" s="30" t="s">
        <v>170</v>
      </c>
      <c r="C1" s="30">
        <v>2024</v>
      </c>
      <c r="D1" s="30" t="s">
        <v>183</v>
      </c>
      <c r="E1" s="30" t="s">
        <v>184</v>
      </c>
      <c r="J1" s="47" t="s">
        <v>264</v>
      </c>
    </row>
    <row r="2" spans="1:15" ht="15" customHeight="1" x14ac:dyDescent="0.25">
      <c r="B2" s="31" t="s">
        <v>171</v>
      </c>
      <c r="C2" s="32">
        <f>KAS!K$5</f>
        <v>616081918</v>
      </c>
      <c r="D2" s="59">
        <f>KAS!I$5</f>
        <v>704944815</v>
      </c>
      <c r="E2" s="32">
        <f>KAS!I$5</f>
        <v>704944815</v>
      </c>
      <c r="F2" s="48"/>
      <c r="N2" s="109" t="s">
        <v>265</v>
      </c>
      <c r="O2" s="109" t="s">
        <v>266</v>
      </c>
    </row>
    <row r="3" spans="1:15" x14ac:dyDescent="0.25">
      <c r="B3" s="31" t="s">
        <v>172</v>
      </c>
      <c r="C3" s="32">
        <f>PIUTANG!K$5</f>
        <v>0</v>
      </c>
      <c r="D3" s="44">
        <f>PIUTANG!I$5</f>
        <v>0</v>
      </c>
      <c r="E3" s="32">
        <f>PIUTANG!I$5</f>
        <v>0</v>
      </c>
      <c r="J3" s="109">
        <v>2015</v>
      </c>
      <c r="K3" s="110">
        <v>479950</v>
      </c>
      <c r="L3" s="110">
        <f>K3*O3</f>
        <v>23997500</v>
      </c>
      <c r="N3" s="111">
        <f>K3*O3</f>
        <v>23997500</v>
      </c>
      <c r="O3" s="112">
        <v>50</v>
      </c>
    </row>
    <row r="4" spans="1:15" x14ac:dyDescent="0.25">
      <c r="B4" s="31" t="s">
        <v>173</v>
      </c>
      <c r="C4" s="32">
        <f>INVEST!L$5</f>
        <v>118039674</v>
      </c>
      <c r="D4" s="32">
        <f>INVEST!H$5</f>
        <v>145350343</v>
      </c>
      <c r="E4" s="32">
        <f>INVEST!J$5</f>
        <v>145350343</v>
      </c>
      <c r="J4" s="109">
        <v>2025</v>
      </c>
      <c r="K4" s="110">
        <f>K3+1100000</f>
        <v>1579950</v>
      </c>
      <c r="L4" s="110">
        <f>K4*O3</f>
        <v>78997500</v>
      </c>
      <c r="N4" s="111"/>
    </row>
    <row r="5" spans="1:15" x14ac:dyDescent="0.25">
      <c r="B5" s="31" t="s">
        <v>174</v>
      </c>
      <c r="C5" s="32">
        <f>'HARTA BERGERAK'!M$5</f>
        <v>15575000</v>
      </c>
      <c r="D5" s="32">
        <f>'HARTA BERGERAK'!J$5</f>
        <v>15575000</v>
      </c>
      <c r="E5" s="32">
        <f>'HARTA BERGERAK'!K$5</f>
        <v>4800000</v>
      </c>
      <c r="J5" s="113" t="s">
        <v>267</v>
      </c>
      <c r="K5" s="110">
        <f t="shared" ref="K5:L5" si="0">K4-K3</f>
        <v>1100000</v>
      </c>
      <c r="L5" s="114">
        <f t="shared" si="0"/>
        <v>55000000</v>
      </c>
    </row>
    <row r="6" spans="1:15" x14ac:dyDescent="0.25">
      <c r="B6" s="31" t="s">
        <v>175</v>
      </c>
      <c r="C6" s="32">
        <f>'HARTA TIDAK BERGERAK'!N$5</f>
        <v>78500000</v>
      </c>
      <c r="D6" s="32">
        <f>'HARTA TIDAK BERGERAK'!K$5</f>
        <v>78500000</v>
      </c>
      <c r="E6" s="32">
        <f>'HARTA TIDAK BERGERAK'!L$5</f>
        <v>342530000</v>
      </c>
      <c r="J6" s="109" t="s">
        <v>268</v>
      </c>
      <c r="K6" s="110">
        <v>479950000</v>
      </c>
      <c r="L6" s="115">
        <f>K6-L3</f>
        <v>455952500</v>
      </c>
    </row>
    <row r="7" spans="1:15" x14ac:dyDescent="0.25">
      <c r="B7" s="31" t="s">
        <v>176</v>
      </c>
      <c r="C7" s="32">
        <f>'HARTA LAINNYA'!J$5</f>
        <v>0</v>
      </c>
      <c r="D7" s="32">
        <f>'HARTA LAINNYA'!G$5</f>
        <v>27500000</v>
      </c>
      <c r="E7" s="32">
        <f>'HARTA LAINNYA'!H$5</f>
        <v>27500000</v>
      </c>
    </row>
    <row r="8" spans="1:15" x14ac:dyDescent="0.25">
      <c r="B8" s="33" t="s">
        <v>177</v>
      </c>
      <c r="C8" s="34">
        <f t="shared" ref="C8:D8" si="1">SUM(C2:C7)</f>
        <v>828196592</v>
      </c>
      <c r="D8" s="34">
        <f t="shared" si="1"/>
        <v>971870158</v>
      </c>
      <c r="E8" s="34">
        <f>SUM(E2:E7)</f>
        <v>1225125158</v>
      </c>
    </row>
    <row r="9" spans="1:15" x14ac:dyDescent="0.25">
      <c r="B9" s="60" t="s">
        <v>199</v>
      </c>
      <c r="C9" s="61">
        <f>HUTANG!J$5</f>
        <v>0</v>
      </c>
      <c r="D9" s="61">
        <f>HUTANG!H5</f>
        <v>0</v>
      </c>
      <c r="E9" s="61">
        <f>D9</f>
        <v>0</v>
      </c>
    </row>
    <row r="10" spans="1:15" x14ac:dyDescent="0.25">
      <c r="B10" s="62" t="s">
        <v>200</v>
      </c>
      <c r="C10" s="63">
        <f>C8-C9</f>
        <v>828196592</v>
      </c>
      <c r="D10" s="63">
        <f t="shared" ref="D10:E10" si="2">D8-D9</f>
        <v>971870158</v>
      </c>
      <c r="E10" s="63">
        <f t="shared" si="2"/>
        <v>1225125158</v>
      </c>
    </row>
    <row r="11" spans="1:15" x14ac:dyDescent="0.25">
      <c r="C11" s="48">
        <f>C8+C20</f>
        <v>976832692</v>
      </c>
      <c r="D11" s="48">
        <f>C11-D8</f>
        <v>4962534</v>
      </c>
    </row>
    <row r="12" spans="1:15" x14ac:dyDescent="0.25">
      <c r="C12" s="48"/>
      <c r="D12" s="48"/>
    </row>
    <row r="13" spans="1:15" x14ac:dyDescent="0.25">
      <c r="C13" s="48"/>
    </row>
    <row r="14" spans="1:15" x14ac:dyDescent="0.25">
      <c r="B14" s="50" t="s">
        <v>179</v>
      </c>
      <c r="C14" s="49">
        <f>OMSET!B23</f>
        <v>927580000</v>
      </c>
    </row>
    <row r="15" spans="1:15" x14ac:dyDescent="0.25">
      <c r="A15" t="str">
        <f>MID(B15,19,3)</f>
        <v>30%</v>
      </c>
      <c r="B15" s="51" t="s">
        <v>278</v>
      </c>
      <c r="C15" s="52">
        <f>A15*C14</f>
        <v>278274000</v>
      </c>
    </row>
    <row r="16" spans="1:15" x14ac:dyDescent="0.25">
      <c r="B16" s="51" t="s">
        <v>180</v>
      </c>
      <c r="C16" s="53">
        <f>OMSET!F23</f>
        <v>2137900</v>
      </c>
    </row>
    <row r="17" spans="2:4" x14ac:dyDescent="0.25">
      <c r="B17" s="51" t="s">
        <v>181</v>
      </c>
      <c r="C17" s="54">
        <f>BUNGA!J14</f>
        <v>0</v>
      </c>
    </row>
    <row r="18" spans="2:4" x14ac:dyDescent="0.25">
      <c r="B18" s="106" t="s">
        <v>297</v>
      </c>
      <c r="C18" s="54">
        <f>MID(B18,13,2)*12*1000000</f>
        <v>132000000</v>
      </c>
      <c r="D18">
        <f>(C15-C18)/C14</f>
        <v>0.15769421505422712</v>
      </c>
    </row>
    <row r="20" spans="2:4" x14ac:dyDescent="0.25">
      <c r="B20" s="47" t="s">
        <v>182</v>
      </c>
      <c r="C20" s="56">
        <f>C15-C16+C17-C18+C23</f>
        <v>148636100</v>
      </c>
    </row>
    <row r="21" spans="2:4" x14ac:dyDescent="0.25">
      <c r="B21" s="47" t="s">
        <v>237</v>
      </c>
      <c r="C21" s="55">
        <v>0</v>
      </c>
      <c r="D21" t="s">
        <v>240</v>
      </c>
    </row>
    <row r="22" spans="2:4" x14ac:dyDescent="0.25">
      <c r="B22" s="47" t="s">
        <v>238</v>
      </c>
      <c r="C22" s="70">
        <v>0</v>
      </c>
      <c r="D22" t="s">
        <v>239</v>
      </c>
    </row>
    <row r="23" spans="2:4" x14ac:dyDescent="0.25">
      <c r="B23" s="47" t="s">
        <v>279</v>
      </c>
      <c r="C23" s="55">
        <f>5000000*90%</f>
        <v>4500000</v>
      </c>
    </row>
    <row r="24" spans="2:4" x14ac:dyDescent="0.25">
      <c r="B24" s="47" t="s">
        <v>269</v>
      </c>
      <c r="C24" s="116"/>
    </row>
  </sheetData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DBC30-6E82-4C57-8721-CFE5E6D10BA6}">
  <sheetPr>
    <tabColor rgb="FFFFC000"/>
    <pageSetUpPr fitToPage="1"/>
  </sheetPr>
  <dimension ref="A1:W1000"/>
  <sheetViews>
    <sheetView showGridLines="0" view="pageBreakPreview" topLeftCell="A5" zoomScale="84" zoomScaleNormal="100" zoomScaleSheetLayoutView="84" workbookViewId="0">
      <selection activeCell="B23" sqref="B23"/>
    </sheetView>
  </sheetViews>
  <sheetFormatPr defaultColWidth="12.5703125" defaultRowHeight="15" customHeight="1" x14ac:dyDescent="0.25"/>
  <cols>
    <col min="1" max="1" width="12.7109375" style="103" customWidth="1"/>
    <col min="2" max="3" width="15.7109375" style="104" customWidth="1"/>
    <col min="4" max="4" width="16.7109375" style="104" customWidth="1"/>
    <col min="5" max="5" width="14.7109375" style="82" customWidth="1"/>
    <col min="6" max="6" width="14.7109375" style="104" customWidth="1"/>
    <col min="7" max="7" width="8.5703125" style="36" customWidth="1"/>
    <col min="8" max="8" width="21.85546875" style="36" customWidth="1"/>
    <col min="9" max="9" width="23.42578125" style="36" customWidth="1"/>
    <col min="10" max="23" width="8.5703125" style="36" customWidth="1"/>
    <col min="24" max="16384" width="12.5703125" style="36"/>
  </cols>
  <sheetData>
    <row r="1" spans="1:23" ht="18" x14ac:dyDescent="0.25">
      <c r="A1" s="137" t="s">
        <v>186</v>
      </c>
      <c r="B1" s="137"/>
      <c r="C1" s="137"/>
      <c r="D1" s="137"/>
      <c r="E1" s="137"/>
      <c r="F1" s="137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</row>
    <row r="2" spans="1:23" ht="18" x14ac:dyDescent="0.25">
      <c r="A2" s="138" t="s">
        <v>242</v>
      </c>
      <c r="B2" s="138"/>
      <c r="C2" s="138"/>
      <c r="D2" s="138"/>
      <c r="E2" s="138"/>
      <c r="F2" s="138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</row>
    <row r="3" spans="1:23" ht="18" x14ac:dyDescent="0.25">
      <c r="A3" s="80"/>
      <c r="B3" s="81"/>
      <c r="C3" s="81"/>
      <c r="D3" s="81"/>
      <c r="F3" s="81"/>
      <c r="G3" s="35"/>
      <c r="H3" s="37"/>
      <c r="I3" s="37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</row>
    <row r="4" spans="1:23" ht="18" x14ac:dyDescent="0.25">
      <c r="A4" s="80"/>
      <c r="B4" s="81"/>
      <c r="C4" s="81"/>
      <c r="D4" s="81"/>
      <c r="F4" s="81"/>
      <c r="G4" s="35"/>
      <c r="H4" s="37"/>
      <c r="I4" s="37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</row>
    <row r="5" spans="1:23" ht="18.75" x14ac:dyDescent="0.3">
      <c r="A5" s="117" t="s">
        <v>64</v>
      </c>
      <c r="B5" s="81" t="str">
        <f>KAS!D4</f>
        <v>SILVIA LISTIANI LIMANTO</v>
      </c>
      <c r="C5" s="118"/>
      <c r="D5" s="84"/>
      <c r="E5" s="85"/>
      <c r="F5" s="85"/>
      <c r="G5" s="35"/>
      <c r="H5" s="37"/>
      <c r="I5" s="37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</row>
    <row r="6" spans="1:23" ht="18.75" x14ac:dyDescent="0.3">
      <c r="A6" s="81" t="s">
        <v>63</v>
      </c>
      <c r="B6" s="81" t="str">
        <f>KAS!C4</f>
        <v>3173015410840005</v>
      </c>
      <c r="C6" s="119"/>
      <c r="D6" s="86"/>
      <c r="E6" s="87"/>
      <c r="F6" s="83"/>
      <c r="G6" s="35"/>
      <c r="H6" s="37"/>
      <c r="I6" s="37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</row>
    <row r="7" spans="1:23" ht="18.75" x14ac:dyDescent="0.3">
      <c r="A7" s="81" t="s">
        <v>243</v>
      </c>
      <c r="B7" s="81" t="s">
        <v>284</v>
      </c>
      <c r="C7" s="119"/>
      <c r="D7" s="86"/>
      <c r="E7" s="87"/>
      <c r="F7" s="83"/>
      <c r="G7" s="35"/>
      <c r="H7" s="37"/>
      <c r="I7" s="37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</row>
    <row r="8" spans="1:23" ht="18" x14ac:dyDescent="0.25">
      <c r="A8" s="88"/>
      <c r="B8" s="89"/>
      <c r="C8" s="90"/>
      <c r="D8" s="91"/>
      <c r="E8" s="91"/>
      <c r="F8" s="91"/>
      <c r="G8" s="35"/>
      <c r="H8" s="38"/>
      <c r="I8" s="37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</row>
    <row r="9" spans="1:23" ht="18" x14ac:dyDescent="0.25">
      <c r="A9" s="80"/>
      <c r="B9" s="81"/>
      <c r="C9" s="81"/>
      <c r="D9" s="81"/>
      <c r="F9" s="81"/>
      <c r="G9" s="35"/>
      <c r="H9" s="37"/>
      <c r="I9" s="37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</row>
    <row r="10" spans="1:23" ht="47.25" x14ac:dyDescent="0.2">
      <c r="A10" s="92" t="s">
        <v>244</v>
      </c>
      <c r="B10" s="92" t="s">
        <v>187</v>
      </c>
      <c r="C10" s="93" t="s">
        <v>245</v>
      </c>
      <c r="D10" s="92" t="s">
        <v>246</v>
      </c>
      <c r="E10" s="92" t="s">
        <v>247</v>
      </c>
      <c r="F10" s="92" t="s">
        <v>248</v>
      </c>
      <c r="G10" s="39"/>
      <c r="H10" s="76" t="s">
        <v>249</v>
      </c>
      <c r="I10" s="77" t="s">
        <v>188</v>
      </c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</row>
    <row r="11" spans="1:23" ht="18.75" customHeight="1" x14ac:dyDescent="0.2">
      <c r="A11" s="94" t="s">
        <v>250</v>
      </c>
      <c r="B11" s="95">
        <v>85780000</v>
      </c>
      <c r="C11" s="95">
        <f t="shared" ref="C11:C22" si="0">B11/200</f>
        <v>428900</v>
      </c>
      <c r="D11" s="96">
        <f>+B11</f>
        <v>85780000</v>
      </c>
      <c r="E11" s="96">
        <f t="shared" ref="E11:E16" si="1">+D11-500000000</f>
        <v>-414220000</v>
      </c>
      <c r="F11" s="97" t="str">
        <f>IF(D11&lt;500000000,"FREE",IF(#REF!="FREE",E11/200,C11))</f>
        <v>FREE</v>
      </c>
      <c r="G11" s="39"/>
      <c r="H11" s="125">
        <v>54060000</v>
      </c>
      <c r="I11" s="126">
        <v>0</v>
      </c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</row>
    <row r="12" spans="1:23" ht="18.75" customHeight="1" x14ac:dyDescent="0.2">
      <c r="A12" s="94" t="s">
        <v>251</v>
      </c>
      <c r="B12" s="95">
        <v>77220000</v>
      </c>
      <c r="C12" s="98">
        <f t="shared" si="0"/>
        <v>386100</v>
      </c>
      <c r="D12" s="99">
        <f t="shared" ref="D12:D16" si="2">+D11+B12</f>
        <v>163000000</v>
      </c>
      <c r="E12" s="99">
        <f t="shared" si="1"/>
        <v>-337000000</v>
      </c>
      <c r="F12" s="100" t="str">
        <f>IF(D12&lt;500000000,"FREE",IF(F11="FREE",E12/200,C12))</f>
        <v>FREE</v>
      </c>
      <c r="G12" s="39"/>
      <c r="H12" s="125">
        <v>59780000</v>
      </c>
      <c r="I12" s="126">
        <v>0</v>
      </c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</row>
    <row r="13" spans="1:23" ht="18.75" customHeight="1" x14ac:dyDescent="0.2">
      <c r="A13" s="94" t="s">
        <v>252</v>
      </c>
      <c r="B13" s="95">
        <v>82320000</v>
      </c>
      <c r="C13" s="98">
        <f t="shared" si="0"/>
        <v>411600</v>
      </c>
      <c r="D13" s="99">
        <f t="shared" si="2"/>
        <v>245320000</v>
      </c>
      <c r="E13" s="99">
        <f t="shared" si="1"/>
        <v>-254680000</v>
      </c>
      <c r="F13" s="100" t="str">
        <f t="shared" ref="F13:F22" si="3">IF(D13&lt;500000000,"FREE",IF(F12="FREE",E13/200,C13))</f>
        <v>FREE</v>
      </c>
      <c r="G13" s="39"/>
      <c r="H13" s="125">
        <v>79100000</v>
      </c>
      <c r="I13" s="126">
        <v>0</v>
      </c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</row>
    <row r="14" spans="1:23" ht="18.75" customHeight="1" x14ac:dyDescent="0.2">
      <c r="A14" s="94" t="s">
        <v>253</v>
      </c>
      <c r="B14" s="95">
        <v>74080000</v>
      </c>
      <c r="C14" s="98">
        <f t="shared" si="0"/>
        <v>370400</v>
      </c>
      <c r="D14" s="99">
        <f t="shared" si="2"/>
        <v>319400000</v>
      </c>
      <c r="E14" s="99">
        <f t="shared" si="1"/>
        <v>-180600000</v>
      </c>
      <c r="F14" s="100" t="str">
        <f t="shared" si="3"/>
        <v>FREE</v>
      </c>
      <c r="G14" s="39"/>
      <c r="H14" s="125">
        <v>65220000</v>
      </c>
      <c r="I14" s="126">
        <v>0</v>
      </c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</row>
    <row r="15" spans="1:23" ht="18.75" customHeight="1" x14ac:dyDescent="0.2">
      <c r="A15" s="94" t="s">
        <v>254</v>
      </c>
      <c r="B15" s="95">
        <v>81560000</v>
      </c>
      <c r="C15" s="98">
        <f t="shared" si="0"/>
        <v>407800</v>
      </c>
      <c r="D15" s="99">
        <f t="shared" si="2"/>
        <v>400960000</v>
      </c>
      <c r="E15" s="99">
        <f t="shared" si="1"/>
        <v>-99040000</v>
      </c>
      <c r="F15" s="100" t="str">
        <f t="shared" si="3"/>
        <v>FREE</v>
      </c>
      <c r="G15" s="39"/>
      <c r="H15" s="125">
        <v>71940000</v>
      </c>
      <c r="I15" s="126">
        <v>0</v>
      </c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</row>
    <row r="16" spans="1:23" ht="18.75" customHeight="1" x14ac:dyDescent="0.2">
      <c r="A16" s="94" t="s">
        <v>255</v>
      </c>
      <c r="B16" s="95">
        <v>97440000</v>
      </c>
      <c r="C16" s="98">
        <f t="shared" si="0"/>
        <v>487200</v>
      </c>
      <c r="D16" s="99">
        <f t="shared" si="2"/>
        <v>498400000</v>
      </c>
      <c r="E16" s="99">
        <f t="shared" si="1"/>
        <v>-1600000</v>
      </c>
      <c r="F16" s="100" t="str">
        <f t="shared" si="3"/>
        <v>FREE</v>
      </c>
      <c r="G16" s="39"/>
      <c r="H16" s="125">
        <v>68280000</v>
      </c>
      <c r="I16" s="126">
        <v>0</v>
      </c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</row>
    <row r="17" spans="1:23" ht="18.75" customHeight="1" x14ac:dyDescent="0.2">
      <c r="A17" s="94" t="s">
        <v>256</v>
      </c>
      <c r="B17" s="95">
        <v>92700000</v>
      </c>
      <c r="C17" s="98">
        <f t="shared" si="0"/>
        <v>463500</v>
      </c>
      <c r="D17" s="99">
        <f>+D16+B17</f>
        <v>591100000</v>
      </c>
      <c r="E17" s="99">
        <f>+D17-500000000</f>
        <v>91100000</v>
      </c>
      <c r="F17" s="100">
        <f t="shared" si="3"/>
        <v>455500</v>
      </c>
      <c r="G17" s="39"/>
      <c r="H17" s="125">
        <v>75360000</v>
      </c>
      <c r="I17" s="126">
        <v>0</v>
      </c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</row>
    <row r="18" spans="1:23" ht="18.75" customHeight="1" x14ac:dyDescent="0.2">
      <c r="A18" s="94" t="s">
        <v>257</v>
      </c>
      <c r="B18" s="95">
        <v>43460000</v>
      </c>
      <c r="C18" s="98">
        <f t="shared" si="0"/>
        <v>217300</v>
      </c>
      <c r="D18" s="99">
        <f t="shared" ref="D18:D22" si="4">+D17+B18</f>
        <v>634560000</v>
      </c>
      <c r="E18" s="99">
        <f t="shared" ref="E18:E22" si="5">+D18-500000000</f>
        <v>134560000</v>
      </c>
      <c r="F18" s="100">
        <f t="shared" si="3"/>
        <v>217300</v>
      </c>
      <c r="G18" s="39"/>
      <c r="H18" s="125">
        <v>70720000</v>
      </c>
      <c r="I18" s="126">
        <v>222300</v>
      </c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</row>
    <row r="19" spans="1:23" ht="18.75" customHeight="1" x14ac:dyDescent="0.2">
      <c r="A19" s="94" t="s">
        <v>258</v>
      </c>
      <c r="B19" s="95">
        <v>67940000</v>
      </c>
      <c r="C19" s="98">
        <f t="shared" si="0"/>
        <v>339700</v>
      </c>
      <c r="D19" s="99">
        <f t="shared" si="4"/>
        <v>702500000</v>
      </c>
      <c r="E19" s="99">
        <f t="shared" si="5"/>
        <v>202500000</v>
      </c>
      <c r="F19" s="100">
        <f t="shared" si="3"/>
        <v>339700</v>
      </c>
      <c r="G19" s="39"/>
      <c r="H19" s="125">
        <v>76440000</v>
      </c>
      <c r="I19" s="126">
        <v>382200</v>
      </c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</row>
    <row r="20" spans="1:23" ht="18.75" customHeight="1" x14ac:dyDescent="0.2">
      <c r="A20" s="94" t="s">
        <v>259</v>
      </c>
      <c r="B20" s="95">
        <v>61420000</v>
      </c>
      <c r="C20" s="98">
        <f t="shared" si="0"/>
        <v>307100</v>
      </c>
      <c r="D20" s="99">
        <f t="shared" si="4"/>
        <v>763920000</v>
      </c>
      <c r="E20" s="99">
        <f t="shared" si="5"/>
        <v>263920000</v>
      </c>
      <c r="F20" s="100">
        <f t="shared" si="3"/>
        <v>307100</v>
      </c>
      <c r="G20" s="39"/>
      <c r="H20" s="125">
        <v>74900000</v>
      </c>
      <c r="I20" s="126">
        <v>374500</v>
      </c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</row>
    <row r="21" spans="1:23" ht="18.75" customHeight="1" x14ac:dyDescent="0.2">
      <c r="A21" s="94" t="s">
        <v>260</v>
      </c>
      <c r="B21" s="95">
        <v>83780000</v>
      </c>
      <c r="C21" s="98">
        <f t="shared" si="0"/>
        <v>418900</v>
      </c>
      <c r="D21" s="99">
        <f t="shared" si="4"/>
        <v>847700000</v>
      </c>
      <c r="E21" s="99">
        <f t="shared" si="5"/>
        <v>347700000</v>
      </c>
      <c r="F21" s="100">
        <f t="shared" si="3"/>
        <v>418900</v>
      </c>
      <c r="G21" s="39"/>
      <c r="H21" s="125">
        <v>82420000</v>
      </c>
      <c r="I21" s="126">
        <v>412100</v>
      </c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</row>
    <row r="22" spans="1:23" ht="18.75" customHeight="1" x14ac:dyDescent="0.2">
      <c r="A22" s="94" t="s">
        <v>261</v>
      </c>
      <c r="B22" s="95">
        <v>79880000</v>
      </c>
      <c r="C22" s="98">
        <f t="shared" si="0"/>
        <v>399400</v>
      </c>
      <c r="D22" s="99">
        <f t="shared" si="4"/>
        <v>927580000</v>
      </c>
      <c r="E22" s="99">
        <f t="shared" si="5"/>
        <v>427580000</v>
      </c>
      <c r="F22" s="100">
        <f t="shared" si="3"/>
        <v>399400</v>
      </c>
      <c r="G22" s="39"/>
      <c r="H22" s="125">
        <v>78540000</v>
      </c>
      <c r="I22" s="126">
        <v>392700</v>
      </c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</row>
    <row r="23" spans="1:23" ht="18.75" customHeight="1" x14ac:dyDescent="0.2">
      <c r="A23" s="101" t="s">
        <v>241</v>
      </c>
      <c r="B23" s="102">
        <f>+SUM(B11:B22)</f>
        <v>927580000</v>
      </c>
      <c r="C23" s="102">
        <f>+SUM(C11:C22)</f>
        <v>4637900</v>
      </c>
      <c r="D23" s="101" t="str">
        <f>IF(D22=B23,"-","ERROR")</f>
        <v>-</v>
      </c>
      <c r="E23" s="101" t="s">
        <v>30</v>
      </c>
      <c r="F23" s="102">
        <f>SUM(F11:F22)</f>
        <v>2137900</v>
      </c>
      <c r="G23" s="39"/>
      <c r="H23" s="40">
        <f>SUM(H11:H22)</f>
        <v>856760000</v>
      </c>
      <c r="I23" s="40">
        <f>SUM(I11:I22)</f>
        <v>1783800</v>
      </c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</row>
    <row r="24" spans="1:23" x14ac:dyDescent="0.25">
      <c r="C24" s="82"/>
      <c r="E24" s="104"/>
      <c r="G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</row>
    <row r="25" spans="1:23" x14ac:dyDescent="0.25">
      <c r="B25" s="105"/>
      <c r="C25" s="82"/>
      <c r="E25" s="104"/>
      <c r="G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</row>
    <row r="26" spans="1:23" x14ac:dyDescent="0.25">
      <c r="B26" s="105"/>
      <c r="C26" s="82"/>
      <c r="E26" s="104"/>
      <c r="G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</row>
    <row r="27" spans="1:23" x14ac:dyDescent="0.25">
      <c r="C27" s="82"/>
      <c r="E27" s="104"/>
      <c r="G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</row>
    <row r="28" spans="1:23" x14ac:dyDescent="0.25">
      <c r="C28" s="82"/>
      <c r="E28" s="104"/>
      <c r="G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</row>
    <row r="29" spans="1:23" x14ac:dyDescent="0.25">
      <c r="C29" s="82"/>
      <c r="E29" s="104"/>
      <c r="G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</row>
    <row r="30" spans="1:23" x14ac:dyDescent="0.25">
      <c r="C30" s="82"/>
      <c r="E30" s="104"/>
      <c r="G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</row>
    <row r="31" spans="1:23" x14ac:dyDescent="0.25">
      <c r="C31" s="82"/>
      <c r="E31" s="104"/>
      <c r="G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</row>
    <row r="32" spans="1:23" x14ac:dyDescent="0.25">
      <c r="C32" s="82"/>
      <c r="E32" s="104"/>
      <c r="G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</row>
    <row r="33" spans="7:23" x14ac:dyDescent="0.25">
      <c r="G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</row>
    <row r="34" spans="7:23" x14ac:dyDescent="0.25">
      <c r="H34" s="42"/>
      <c r="I34" s="42"/>
    </row>
    <row r="35" spans="7:23" x14ac:dyDescent="0.25">
      <c r="H35" s="42"/>
      <c r="I35" s="42"/>
    </row>
    <row r="36" spans="7:23" x14ac:dyDescent="0.25">
      <c r="H36" s="42"/>
      <c r="I36" s="42"/>
    </row>
    <row r="37" spans="7:23" ht="18" x14ac:dyDescent="0.25">
      <c r="G37" s="35"/>
      <c r="H37" s="42"/>
      <c r="I37" s="42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</row>
    <row r="38" spans="7:23" ht="18" x14ac:dyDescent="0.25">
      <c r="G38" s="35"/>
      <c r="H38" s="42"/>
      <c r="I38" s="42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</row>
    <row r="39" spans="7:23" ht="18" x14ac:dyDescent="0.25">
      <c r="G39" s="35"/>
      <c r="H39" s="42"/>
      <c r="I39" s="42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</row>
    <row r="40" spans="7:23" ht="18" x14ac:dyDescent="0.25">
      <c r="G40" s="35"/>
      <c r="H40" s="42"/>
      <c r="I40" s="42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</row>
    <row r="41" spans="7:23" ht="18" x14ac:dyDescent="0.25">
      <c r="G41" s="35"/>
      <c r="H41" s="42"/>
      <c r="I41" s="42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</row>
    <row r="42" spans="7:23" ht="18" x14ac:dyDescent="0.25">
      <c r="G42" s="35"/>
      <c r="H42" s="42"/>
      <c r="I42" s="42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</row>
    <row r="43" spans="7:23" x14ac:dyDescent="0.25">
      <c r="H43" s="42"/>
      <c r="I43" s="42"/>
    </row>
    <row r="44" spans="7:23" ht="18.75" x14ac:dyDescent="0.3">
      <c r="G44" s="43"/>
      <c r="H44" s="42"/>
      <c r="I44" s="42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</row>
    <row r="45" spans="7:23" x14ac:dyDescent="0.25">
      <c r="H45" s="42"/>
      <c r="I45" s="42"/>
    </row>
    <row r="46" spans="7:23" x14ac:dyDescent="0.25">
      <c r="H46" s="42"/>
      <c r="I46" s="42"/>
    </row>
    <row r="47" spans="7:23" x14ac:dyDescent="0.25">
      <c r="H47" s="42"/>
      <c r="I47" s="42"/>
    </row>
    <row r="48" spans="7:23" x14ac:dyDescent="0.25">
      <c r="H48" s="42"/>
      <c r="I48" s="42"/>
    </row>
    <row r="49" spans="8:9" x14ac:dyDescent="0.25">
      <c r="H49" s="42"/>
      <c r="I49" s="42"/>
    </row>
    <row r="50" spans="8:9" x14ac:dyDescent="0.25">
      <c r="H50" s="42"/>
      <c r="I50" s="42"/>
    </row>
    <row r="51" spans="8:9" x14ac:dyDescent="0.25">
      <c r="H51" s="42"/>
      <c r="I51" s="42"/>
    </row>
    <row r="52" spans="8:9" x14ac:dyDescent="0.25">
      <c r="H52" s="42"/>
      <c r="I52" s="42"/>
    </row>
    <row r="53" spans="8:9" x14ac:dyDescent="0.25">
      <c r="H53" s="42"/>
      <c r="I53" s="42"/>
    </row>
    <row r="54" spans="8:9" x14ac:dyDescent="0.25">
      <c r="H54" s="42"/>
      <c r="I54" s="42"/>
    </row>
    <row r="55" spans="8:9" x14ac:dyDescent="0.25">
      <c r="H55" s="42"/>
      <c r="I55" s="42"/>
    </row>
    <row r="56" spans="8:9" x14ac:dyDescent="0.25">
      <c r="H56" s="42"/>
      <c r="I56" s="42"/>
    </row>
    <row r="57" spans="8:9" x14ac:dyDescent="0.25">
      <c r="H57" s="42"/>
      <c r="I57" s="42"/>
    </row>
    <row r="58" spans="8:9" x14ac:dyDescent="0.25">
      <c r="H58" s="42"/>
      <c r="I58" s="42"/>
    </row>
    <row r="59" spans="8:9" x14ac:dyDescent="0.25">
      <c r="H59" s="42"/>
      <c r="I59" s="42"/>
    </row>
    <row r="60" spans="8:9" x14ac:dyDescent="0.25">
      <c r="H60" s="42"/>
      <c r="I60" s="42"/>
    </row>
    <row r="61" spans="8:9" x14ac:dyDescent="0.25">
      <c r="H61" s="42"/>
      <c r="I61" s="42"/>
    </row>
    <row r="62" spans="8:9" x14ac:dyDescent="0.25">
      <c r="H62" s="42"/>
      <c r="I62" s="42"/>
    </row>
    <row r="63" spans="8:9" x14ac:dyDescent="0.25">
      <c r="H63" s="42"/>
      <c r="I63" s="42"/>
    </row>
    <row r="64" spans="8:9" x14ac:dyDescent="0.25">
      <c r="H64" s="42"/>
      <c r="I64" s="42"/>
    </row>
    <row r="65" spans="8:9" x14ac:dyDescent="0.25">
      <c r="H65" s="42"/>
      <c r="I65" s="42"/>
    </row>
    <row r="66" spans="8:9" x14ac:dyDescent="0.25">
      <c r="H66" s="42"/>
      <c r="I66" s="42"/>
    </row>
    <row r="67" spans="8:9" x14ac:dyDescent="0.25">
      <c r="H67" s="42"/>
      <c r="I67" s="42"/>
    </row>
    <row r="68" spans="8:9" x14ac:dyDescent="0.25">
      <c r="H68" s="42"/>
      <c r="I68" s="42"/>
    </row>
    <row r="69" spans="8:9" x14ac:dyDescent="0.25">
      <c r="H69" s="42"/>
      <c r="I69" s="42"/>
    </row>
    <row r="70" spans="8:9" x14ac:dyDescent="0.25">
      <c r="H70" s="42"/>
      <c r="I70" s="42"/>
    </row>
    <row r="71" spans="8:9" x14ac:dyDescent="0.25">
      <c r="H71" s="42"/>
      <c r="I71" s="42"/>
    </row>
    <row r="72" spans="8:9" x14ac:dyDescent="0.25">
      <c r="H72" s="42"/>
      <c r="I72" s="42"/>
    </row>
    <row r="73" spans="8:9" x14ac:dyDescent="0.25">
      <c r="H73" s="42"/>
      <c r="I73" s="42"/>
    </row>
    <row r="74" spans="8:9" x14ac:dyDescent="0.25">
      <c r="H74" s="42"/>
      <c r="I74" s="42"/>
    </row>
    <row r="75" spans="8:9" x14ac:dyDescent="0.25">
      <c r="H75" s="42"/>
      <c r="I75" s="42"/>
    </row>
    <row r="76" spans="8:9" x14ac:dyDescent="0.25">
      <c r="H76" s="42"/>
      <c r="I76" s="42"/>
    </row>
    <row r="77" spans="8:9" x14ac:dyDescent="0.25">
      <c r="H77" s="42"/>
      <c r="I77" s="42"/>
    </row>
    <row r="78" spans="8:9" x14ac:dyDescent="0.25">
      <c r="H78" s="42"/>
      <c r="I78" s="42"/>
    </row>
    <row r="79" spans="8:9" x14ac:dyDescent="0.25">
      <c r="H79" s="42"/>
      <c r="I79" s="42"/>
    </row>
    <row r="80" spans="8:9" x14ac:dyDescent="0.25">
      <c r="H80" s="42"/>
      <c r="I80" s="42"/>
    </row>
    <row r="81" spans="8:9" x14ac:dyDescent="0.25">
      <c r="H81" s="42"/>
      <c r="I81" s="42"/>
    </row>
    <row r="82" spans="8:9" x14ac:dyDescent="0.25">
      <c r="H82" s="42"/>
      <c r="I82" s="42"/>
    </row>
    <row r="83" spans="8:9" x14ac:dyDescent="0.25">
      <c r="H83" s="42"/>
      <c r="I83" s="42"/>
    </row>
    <row r="84" spans="8:9" x14ac:dyDescent="0.25">
      <c r="H84" s="42"/>
      <c r="I84" s="42"/>
    </row>
    <row r="85" spans="8:9" x14ac:dyDescent="0.25">
      <c r="H85" s="42"/>
      <c r="I85" s="42"/>
    </row>
    <row r="86" spans="8:9" x14ac:dyDescent="0.25">
      <c r="H86" s="42"/>
      <c r="I86" s="42"/>
    </row>
    <row r="87" spans="8:9" x14ac:dyDescent="0.25">
      <c r="H87" s="42"/>
      <c r="I87" s="42"/>
    </row>
    <row r="88" spans="8:9" x14ac:dyDescent="0.25">
      <c r="H88" s="42"/>
      <c r="I88" s="42"/>
    </row>
    <row r="89" spans="8:9" x14ac:dyDescent="0.25">
      <c r="H89" s="42"/>
      <c r="I89" s="42"/>
    </row>
    <row r="90" spans="8:9" x14ac:dyDescent="0.25">
      <c r="H90" s="42"/>
      <c r="I90" s="42"/>
    </row>
    <row r="91" spans="8:9" x14ac:dyDescent="0.25">
      <c r="H91" s="42"/>
      <c r="I91" s="42"/>
    </row>
    <row r="92" spans="8:9" x14ac:dyDescent="0.25">
      <c r="H92" s="42"/>
      <c r="I92" s="42"/>
    </row>
    <row r="93" spans="8:9" x14ac:dyDescent="0.25">
      <c r="H93" s="42"/>
      <c r="I93" s="42"/>
    </row>
    <row r="94" spans="8:9" x14ac:dyDescent="0.25">
      <c r="H94" s="42"/>
      <c r="I94" s="42"/>
    </row>
    <row r="95" spans="8:9" x14ac:dyDescent="0.25">
      <c r="H95" s="42"/>
      <c r="I95" s="42"/>
    </row>
    <row r="96" spans="8:9" x14ac:dyDescent="0.25">
      <c r="H96" s="42"/>
      <c r="I96" s="42"/>
    </row>
    <row r="97" spans="8:9" x14ac:dyDescent="0.25">
      <c r="H97" s="42"/>
      <c r="I97" s="42"/>
    </row>
    <row r="98" spans="8:9" x14ac:dyDescent="0.25">
      <c r="H98" s="42"/>
      <c r="I98" s="42"/>
    </row>
    <row r="99" spans="8:9" x14ac:dyDescent="0.25">
      <c r="H99" s="42"/>
      <c r="I99" s="42"/>
    </row>
    <row r="100" spans="8:9" x14ac:dyDescent="0.25">
      <c r="H100" s="42"/>
      <c r="I100" s="42"/>
    </row>
    <row r="101" spans="8:9" x14ac:dyDescent="0.25">
      <c r="H101" s="42"/>
      <c r="I101" s="42"/>
    </row>
    <row r="102" spans="8:9" x14ac:dyDescent="0.25">
      <c r="H102" s="42"/>
      <c r="I102" s="42"/>
    </row>
    <row r="103" spans="8:9" x14ac:dyDescent="0.25">
      <c r="H103" s="42"/>
      <c r="I103" s="42"/>
    </row>
    <row r="104" spans="8:9" x14ac:dyDescent="0.25">
      <c r="H104" s="42"/>
      <c r="I104" s="42"/>
    </row>
    <row r="105" spans="8:9" x14ac:dyDescent="0.25">
      <c r="H105" s="42"/>
      <c r="I105" s="42"/>
    </row>
    <row r="106" spans="8:9" x14ac:dyDescent="0.25">
      <c r="H106" s="42"/>
      <c r="I106" s="42"/>
    </row>
    <row r="107" spans="8:9" x14ac:dyDescent="0.25">
      <c r="H107" s="42"/>
      <c r="I107" s="42"/>
    </row>
    <row r="108" spans="8:9" x14ac:dyDescent="0.25">
      <c r="H108" s="42"/>
      <c r="I108" s="42"/>
    </row>
    <row r="109" spans="8:9" x14ac:dyDescent="0.25">
      <c r="H109" s="42"/>
      <c r="I109" s="42"/>
    </row>
    <row r="110" spans="8:9" x14ac:dyDescent="0.25">
      <c r="H110" s="42"/>
      <c r="I110" s="42"/>
    </row>
    <row r="111" spans="8:9" x14ac:dyDescent="0.25">
      <c r="H111" s="42"/>
      <c r="I111" s="42"/>
    </row>
    <row r="112" spans="8:9" x14ac:dyDescent="0.25">
      <c r="H112" s="42"/>
      <c r="I112" s="42"/>
    </row>
    <row r="113" spans="8:9" x14ac:dyDescent="0.25">
      <c r="H113" s="42"/>
      <c r="I113" s="42"/>
    </row>
    <row r="114" spans="8:9" x14ac:dyDescent="0.25">
      <c r="H114" s="42"/>
      <c r="I114" s="42"/>
    </row>
    <row r="115" spans="8:9" x14ac:dyDescent="0.25">
      <c r="H115" s="42"/>
      <c r="I115" s="42"/>
    </row>
    <row r="116" spans="8:9" x14ac:dyDescent="0.25">
      <c r="H116" s="42"/>
      <c r="I116" s="42"/>
    </row>
    <row r="117" spans="8:9" x14ac:dyDescent="0.25">
      <c r="H117" s="42"/>
      <c r="I117" s="42"/>
    </row>
    <row r="118" spans="8:9" x14ac:dyDescent="0.25">
      <c r="H118" s="42"/>
      <c r="I118" s="42"/>
    </row>
    <row r="119" spans="8:9" x14ac:dyDescent="0.25">
      <c r="H119" s="42"/>
      <c r="I119" s="42"/>
    </row>
    <row r="120" spans="8:9" x14ac:dyDescent="0.25">
      <c r="H120" s="42"/>
      <c r="I120" s="42"/>
    </row>
    <row r="121" spans="8:9" x14ac:dyDescent="0.25">
      <c r="H121" s="42"/>
      <c r="I121" s="42"/>
    </row>
    <row r="122" spans="8:9" x14ac:dyDescent="0.25">
      <c r="H122" s="42"/>
      <c r="I122" s="42"/>
    </row>
    <row r="123" spans="8:9" x14ac:dyDescent="0.25">
      <c r="H123" s="42"/>
      <c r="I123" s="42"/>
    </row>
    <row r="124" spans="8:9" x14ac:dyDescent="0.25">
      <c r="H124" s="42"/>
      <c r="I124" s="42"/>
    </row>
    <row r="125" spans="8:9" x14ac:dyDescent="0.25">
      <c r="H125" s="42"/>
      <c r="I125" s="42"/>
    </row>
    <row r="126" spans="8:9" x14ac:dyDescent="0.25">
      <c r="H126" s="42"/>
      <c r="I126" s="42"/>
    </row>
    <row r="127" spans="8:9" x14ac:dyDescent="0.25">
      <c r="H127" s="42"/>
      <c r="I127" s="42"/>
    </row>
    <row r="128" spans="8:9" x14ac:dyDescent="0.25">
      <c r="H128" s="42"/>
      <c r="I128" s="42"/>
    </row>
    <row r="129" spans="8:9" x14ac:dyDescent="0.25">
      <c r="H129" s="42"/>
      <c r="I129" s="42"/>
    </row>
    <row r="130" spans="8:9" x14ac:dyDescent="0.25">
      <c r="H130" s="42"/>
      <c r="I130" s="42"/>
    </row>
    <row r="131" spans="8:9" x14ac:dyDescent="0.25">
      <c r="H131" s="42"/>
      <c r="I131" s="42"/>
    </row>
    <row r="132" spans="8:9" x14ac:dyDescent="0.25">
      <c r="H132" s="42"/>
      <c r="I132" s="42"/>
    </row>
    <row r="133" spans="8:9" x14ac:dyDescent="0.25">
      <c r="H133" s="42"/>
      <c r="I133" s="42"/>
    </row>
    <row r="134" spans="8:9" x14ac:dyDescent="0.25">
      <c r="H134" s="42"/>
      <c r="I134" s="42"/>
    </row>
    <row r="135" spans="8:9" x14ac:dyDescent="0.25">
      <c r="H135" s="42"/>
      <c r="I135" s="42"/>
    </row>
    <row r="136" spans="8:9" x14ac:dyDescent="0.25">
      <c r="H136" s="42"/>
      <c r="I136" s="42"/>
    </row>
    <row r="137" spans="8:9" x14ac:dyDescent="0.25">
      <c r="H137" s="42"/>
      <c r="I137" s="42"/>
    </row>
    <row r="138" spans="8:9" x14ac:dyDescent="0.25">
      <c r="H138" s="42"/>
      <c r="I138" s="42"/>
    </row>
    <row r="139" spans="8:9" x14ac:dyDescent="0.25">
      <c r="H139" s="42"/>
      <c r="I139" s="42"/>
    </row>
    <row r="140" spans="8:9" x14ac:dyDescent="0.25">
      <c r="H140" s="42"/>
      <c r="I140" s="42"/>
    </row>
    <row r="141" spans="8:9" x14ac:dyDescent="0.25">
      <c r="H141" s="42"/>
      <c r="I141" s="42"/>
    </row>
    <row r="142" spans="8:9" x14ac:dyDescent="0.25">
      <c r="H142" s="42"/>
      <c r="I142" s="42"/>
    </row>
    <row r="143" spans="8:9" x14ac:dyDescent="0.25">
      <c r="H143" s="42"/>
      <c r="I143" s="42"/>
    </row>
    <row r="144" spans="8:9" x14ac:dyDescent="0.25">
      <c r="H144" s="42"/>
      <c r="I144" s="42"/>
    </row>
    <row r="145" spans="8:9" x14ac:dyDescent="0.25">
      <c r="H145" s="42"/>
      <c r="I145" s="42"/>
    </row>
    <row r="146" spans="8:9" x14ac:dyDescent="0.25">
      <c r="H146" s="42"/>
      <c r="I146" s="42"/>
    </row>
    <row r="147" spans="8:9" x14ac:dyDescent="0.25">
      <c r="H147" s="42"/>
      <c r="I147" s="42"/>
    </row>
    <row r="148" spans="8:9" x14ac:dyDescent="0.25">
      <c r="H148" s="42"/>
      <c r="I148" s="42"/>
    </row>
    <row r="149" spans="8:9" x14ac:dyDescent="0.25">
      <c r="H149" s="42"/>
      <c r="I149" s="42"/>
    </row>
    <row r="150" spans="8:9" x14ac:dyDescent="0.25">
      <c r="H150" s="42"/>
      <c r="I150" s="42"/>
    </row>
    <row r="151" spans="8:9" x14ac:dyDescent="0.25">
      <c r="H151" s="42"/>
      <c r="I151" s="42"/>
    </row>
    <row r="152" spans="8:9" x14ac:dyDescent="0.25">
      <c r="H152" s="42"/>
      <c r="I152" s="42"/>
    </row>
    <row r="153" spans="8:9" x14ac:dyDescent="0.25">
      <c r="H153" s="42"/>
      <c r="I153" s="42"/>
    </row>
    <row r="154" spans="8:9" x14ac:dyDescent="0.25">
      <c r="H154" s="42"/>
      <c r="I154" s="42"/>
    </row>
    <row r="155" spans="8:9" x14ac:dyDescent="0.25">
      <c r="H155" s="42"/>
      <c r="I155" s="42"/>
    </row>
    <row r="156" spans="8:9" x14ac:dyDescent="0.25">
      <c r="H156" s="42"/>
      <c r="I156" s="42"/>
    </row>
    <row r="157" spans="8:9" x14ac:dyDescent="0.25">
      <c r="H157" s="42"/>
      <c r="I157" s="42"/>
    </row>
    <row r="158" spans="8:9" x14ac:dyDescent="0.25">
      <c r="H158" s="42"/>
      <c r="I158" s="42"/>
    </row>
    <row r="159" spans="8:9" x14ac:dyDescent="0.25">
      <c r="H159" s="42"/>
      <c r="I159" s="42"/>
    </row>
    <row r="160" spans="8:9" x14ac:dyDescent="0.25">
      <c r="H160" s="42"/>
      <c r="I160" s="42"/>
    </row>
    <row r="161" spans="8:9" x14ac:dyDescent="0.25">
      <c r="H161" s="42"/>
      <c r="I161" s="42"/>
    </row>
    <row r="162" spans="8:9" x14ac:dyDescent="0.25">
      <c r="H162" s="42"/>
      <c r="I162" s="42"/>
    </row>
    <row r="163" spans="8:9" x14ac:dyDescent="0.25">
      <c r="H163" s="42"/>
      <c r="I163" s="42"/>
    </row>
    <row r="164" spans="8:9" x14ac:dyDescent="0.25">
      <c r="H164" s="42"/>
      <c r="I164" s="42"/>
    </row>
    <row r="165" spans="8:9" x14ac:dyDescent="0.25">
      <c r="H165" s="42"/>
      <c r="I165" s="42"/>
    </row>
    <row r="166" spans="8:9" x14ac:dyDescent="0.25">
      <c r="H166" s="42"/>
      <c r="I166" s="42"/>
    </row>
    <row r="167" spans="8:9" x14ac:dyDescent="0.25">
      <c r="H167" s="42"/>
      <c r="I167" s="42"/>
    </row>
    <row r="168" spans="8:9" x14ac:dyDescent="0.25">
      <c r="H168" s="42"/>
      <c r="I168" s="42"/>
    </row>
    <row r="169" spans="8:9" x14ac:dyDescent="0.25">
      <c r="H169" s="42"/>
      <c r="I169" s="42"/>
    </row>
    <row r="170" spans="8:9" x14ac:dyDescent="0.25">
      <c r="H170" s="42"/>
      <c r="I170" s="42"/>
    </row>
    <row r="171" spans="8:9" x14ac:dyDescent="0.25">
      <c r="H171" s="42"/>
      <c r="I171" s="42"/>
    </row>
    <row r="172" spans="8:9" x14ac:dyDescent="0.25">
      <c r="H172" s="42"/>
      <c r="I172" s="42"/>
    </row>
    <row r="173" spans="8:9" x14ac:dyDescent="0.25">
      <c r="H173" s="42"/>
      <c r="I173" s="42"/>
    </row>
    <row r="174" spans="8:9" x14ac:dyDescent="0.25">
      <c r="H174" s="42"/>
      <c r="I174" s="42"/>
    </row>
    <row r="175" spans="8:9" x14ac:dyDescent="0.25">
      <c r="H175" s="42"/>
      <c r="I175" s="42"/>
    </row>
    <row r="176" spans="8:9" x14ac:dyDescent="0.25">
      <c r="H176" s="42"/>
      <c r="I176" s="42"/>
    </row>
    <row r="177" spans="8:9" x14ac:dyDescent="0.25">
      <c r="H177" s="42"/>
      <c r="I177" s="42"/>
    </row>
    <row r="178" spans="8:9" x14ac:dyDescent="0.25">
      <c r="H178" s="42"/>
      <c r="I178" s="42"/>
    </row>
    <row r="179" spans="8:9" x14ac:dyDescent="0.25">
      <c r="H179" s="42"/>
      <c r="I179" s="42"/>
    </row>
    <row r="180" spans="8:9" x14ac:dyDescent="0.25">
      <c r="H180" s="42"/>
      <c r="I180" s="42"/>
    </row>
    <row r="181" spans="8:9" x14ac:dyDescent="0.25">
      <c r="H181" s="42"/>
      <c r="I181" s="42"/>
    </row>
    <row r="182" spans="8:9" x14ac:dyDescent="0.25">
      <c r="H182" s="42"/>
      <c r="I182" s="42"/>
    </row>
    <row r="183" spans="8:9" x14ac:dyDescent="0.25">
      <c r="H183" s="42"/>
      <c r="I183" s="42"/>
    </row>
    <row r="184" spans="8:9" x14ac:dyDescent="0.25">
      <c r="H184" s="42"/>
      <c r="I184" s="42"/>
    </row>
    <row r="185" spans="8:9" x14ac:dyDescent="0.25">
      <c r="H185" s="42"/>
      <c r="I185" s="42"/>
    </row>
    <row r="186" spans="8:9" x14ac:dyDescent="0.25">
      <c r="H186" s="42"/>
      <c r="I186" s="42"/>
    </row>
    <row r="187" spans="8:9" x14ac:dyDescent="0.25">
      <c r="H187" s="42"/>
      <c r="I187" s="42"/>
    </row>
    <row r="188" spans="8:9" x14ac:dyDescent="0.25">
      <c r="H188" s="42"/>
      <c r="I188" s="42"/>
    </row>
    <row r="189" spans="8:9" x14ac:dyDescent="0.25">
      <c r="H189" s="42"/>
      <c r="I189" s="42"/>
    </row>
    <row r="190" spans="8:9" x14ac:dyDescent="0.25">
      <c r="H190" s="42"/>
      <c r="I190" s="42"/>
    </row>
    <row r="191" spans="8:9" x14ac:dyDescent="0.25">
      <c r="H191" s="42"/>
      <c r="I191" s="42"/>
    </row>
    <row r="192" spans="8:9" x14ac:dyDescent="0.25">
      <c r="H192" s="42"/>
      <c r="I192" s="42"/>
    </row>
    <row r="193" spans="8:9" x14ac:dyDescent="0.25">
      <c r="H193" s="42"/>
      <c r="I193" s="42"/>
    </row>
    <row r="194" spans="8:9" x14ac:dyDescent="0.25">
      <c r="H194" s="42"/>
      <c r="I194" s="42"/>
    </row>
    <row r="195" spans="8:9" x14ac:dyDescent="0.25">
      <c r="H195" s="42"/>
      <c r="I195" s="42"/>
    </row>
    <row r="196" spans="8:9" x14ac:dyDescent="0.25">
      <c r="H196" s="42"/>
      <c r="I196" s="42"/>
    </row>
    <row r="197" spans="8:9" x14ac:dyDescent="0.25">
      <c r="H197" s="42"/>
      <c r="I197" s="42"/>
    </row>
    <row r="198" spans="8:9" x14ac:dyDescent="0.25">
      <c r="H198" s="42"/>
      <c r="I198" s="42"/>
    </row>
    <row r="199" spans="8:9" x14ac:dyDescent="0.25">
      <c r="H199" s="42"/>
      <c r="I199" s="42"/>
    </row>
    <row r="200" spans="8:9" x14ac:dyDescent="0.25">
      <c r="H200" s="42"/>
      <c r="I200" s="42"/>
    </row>
    <row r="201" spans="8:9" x14ac:dyDescent="0.25">
      <c r="H201" s="42"/>
      <c r="I201" s="42"/>
    </row>
    <row r="202" spans="8:9" x14ac:dyDescent="0.25">
      <c r="H202" s="42"/>
      <c r="I202" s="42"/>
    </row>
    <row r="203" spans="8:9" x14ac:dyDescent="0.25">
      <c r="H203" s="42"/>
      <c r="I203" s="42"/>
    </row>
    <row r="204" spans="8:9" x14ac:dyDescent="0.25">
      <c r="H204" s="42"/>
      <c r="I204" s="42"/>
    </row>
    <row r="205" spans="8:9" x14ac:dyDescent="0.25">
      <c r="H205" s="42"/>
      <c r="I205" s="42"/>
    </row>
    <row r="206" spans="8:9" x14ac:dyDescent="0.25">
      <c r="H206" s="42"/>
      <c r="I206" s="42"/>
    </row>
    <row r="207" spans="8:9" x14ac:dyDescent="0.25">
      <c r="H207" s="42"/>
      <c r="I207" s="42"/>
    </row>
    <row r="208" spans="8:9" x14ac:dyDescent="0.25">
      <c r="H208" s="42"/>
      <c r="I208" s="42"/>
    </row>
    <row r="209" spans="8:9" x14ac:dyDescent="0.25">
      <c r="H209" s="42"/>
      <c r="I209" s="42"/>
    </row>
    <row r="210" spans="8:9" x14ac:dyDescent="0.25">
      <c r="H210" s="42"/>
      <c r="I210" s="42"/>
    </row>
    <row r="211" spans="8:9" x14ac:dyDescent="0.25">
      <c r="H211" s="42"/>
      <c r="I211" s="42"/>
    </row>
    <row r="212" spans="8:9" x14ac:dyDescent="0.25">
      <c r="H212" s="42"/>
      <c r="I212" s="42"/>
    </row>
    <row r="213" spans="8:9" x14ac:dyDescent="0.25">
      <c r="H213" s="42"/>
      <c r="I213" s="42"/>
    </row>
    <row r="214" spans="8:9" x14ac:dyDescent="0.25">
      <c r="H214" s="42"/>
      <c r="I214" s="42"/>
    </row>
    <row r="215" spans="8:9" x14ac:dyDescent="0.25">
      <c r="H215" s="42"/>
      <c r="I215" s="42"/>
    </row>
    <row r="216" spans="8:9" x14ac:dyDescent="0.25">
      <c r="H216" s="42"/>
      <c r="I216" s="42"/>
    </row>
    <row r="217" spans="8:9" x14ac:dyDescent="0.25">
      <c r="H217" s="42"/>
      <c r="I217" s="42"/>
    </row>
    <row r="218" spans="8:9" x14ac:dyDescent="0.25">
      <c r="H218" s="42"/>
      <c r="I218" s="42"/>
    </row>
    <row r="219" spans="8:9" x14ac:dyDescent="0.25">
      <c r="H219" s="42"/>
      <c r="I219" s="42"/>
    </row>
    <row r="220" spans="8:9" x14ac:dyDescent="0.25">
      <c r="H220" s="42"/>
      <c r="I220" s="42"/>
    </row>
    <row r="221" spans="8:9" x14ac:dyDescent="0.25">
      <c r="H221" s="42"/>
      <c r="I221" s="42"/>
    </row>
    <row r="222" spans="8:9" x14ac:dyDescent="0.25">
      <c r="H222" s="42"/>
      <c r="I222" s="42"/>
    </row>
    <row r="223" spans="8:9" x14ac:dyDescent="0.25">
      <c r="H223" s="42"/>
      <c r="I223" s="42"/>
    </row>
    <row r="224" spans="8:9" x14ac:dyDescent="0.25">
      <c r="H224" s="42"/>
      <c r="I224" s="42"/>
    </row>
    <row r="225" spans="8:9" x14ac:dyDescent="0.25">
      <c r="H225" s="42"/>
      <c r="I225" s="42"/>
    </row>
    <row r="226" spans="8:9" x14ac:dyDescent="0.25">
      <c r="H226" s="42"/>
      <c r="I226" s="42"/>
    </row>
    <row r="227" spans="8:9" x14ac:dyDescent="0.25">
      <c r="H227" s="42"/>
      <c r="I227" s="42"/>
    </row>
    <row r="228" spans="8:9" x14ac:dyDescent="0.25">
      <c r="H228" s="42"/>
      <c r="I228" s="42"/>
    </row>
    <row r="229" spans="8:9" x14ac:dyDescent="0.25">
      <c r="H229" s="42"/>
      <c r="I229" s="42"/>
    </row>
    <row r="230" spans="8:9" x14ac:dyDescent="0.25">
      <c r="H230" s="42"/>
      <c r="I230" s="42"/>
    </row>
    <row r="231" spans="8:9" x14ac:dyDescent="0.25">
      <c r="H231" s="42"/>
      <c r="I231" s="42"/>
    </row>
    <row r="232" spans="8:9" x14ac:dyDescent="0.25">
      <c r="H232" s="42"/>
      <c r="I232" s="42"/>
    </row>
    <row r="233" spans="8:9" x14ac:dyDescent="0.25">
      <c r="H233" s="42"/>
      <c r="I233" s="42"/>
    </row>
    <row r="234" spans="8:9" x14ac:dyDescent="0.25">
      <c r="H234" s="42"/>
      <c r="I234" s="42"/>
    </row>
    <row r="235" spans="8:9" x14ac:dyDescent="0.25">
      <c r="H235" s="42"/>
      <c r="I235" s="42"/>
    </row>
    <row r="236" spans="8:9" x14ac:dyDescent="0.25">
      <c r="H236" s="42"/>
      <c r="I236" s="42"/>
    </row>
    <row r="237" spans="8:9" x14ac:dyDescent="0.25">
      <c r="H237" s="42"/>
      <c r="I237" s="42"/>
    </row>
    <row r="238" spans="8:9" x14ac:dyDescent="0.25">
      <c r="H238" s="42"/>
      <c r="I238" s="42"/>
    </row>
    <row r="239" spans="8:9" x14ac:dyDescent="0.25">
      <c r="H239" s="42"/>
      <c r="I239" s="42"/>
    </row>
    <row r="240" spans="8:9" x14ac:dyDescent="0.25">
      <c r="H240" s="42"/>
      <c r="I240" s="42"/>
    </row>
    <row r="241" spans="8:9" x14ac:dyDescent="0.25">
      <c r="H241" s="42"/>
      <c r="I241" s="42"/>
    </row>
    <row r="242" spans="8:9" x14ac:dyDescent="0.25">
      <c r="H242" s="42"/>
      <c r="I242" s="42"/>
    </row>
    <row r="243" spans="8:9" x14ac:dyDescent="0.25">
      <c r="H243" s="42"/>
      <c r="I243" s="42"/>
    </row>
    <row r="244" spans="8:9" x14ac:dyDescent="0.25">
      <c r="H244" s="42"/>
      <c r="I244" s="42"/>
    </row>
    <row r="245" spans="8:9" x14ac:dyDescent="0.25">
      <c r="H245" s="42"/>
      <c r="I245" s="42"/>
    </row>
    <row r="246" spans="8:9" x14ac:dyDescent="0.25">
      <c r="H246" s="42"/>
      <c r="I246" s="42"/>
    </row>
    <row r="247" spans="8:9" x14ac:dyDescent="0.25">
      <c r="H247" s="42"/>
      <c r="I247" s="42"/>
    </row>
    <row r="248" spans="8:9" x14ac:dyDescent="0.25">
      <c r="H248" s="42"/>
      <c r="I248" s="42"/>
    </row>
    <row r="249" spans="8:9" x14ac:dyDescent="0.25">
      <c r="H249" s="42"/>
      <c r="I249" s="42"/>
    </row>
    <row r="250" spans="8:9" x14ac:dyDescent="0.25">
      <c r="H250" s="42"/>
      <c r="I250" s="42"/>
    </row>
    <row r="251" spans="8:9" x14ac:dyDescent="0.25">
      <c r="H251" s="42"/>
      <c r="I251" s="42"/>
    </row>
    <row r="252" spans="8:9" x14ac:dyDescent="0.25">
      <c r="H252" s="42"/>
      <c r="I252" s="42"/>
    </row>
    <row r="253" spans="8:9" x14ac:dyDescent="0.25">
      <c r="H253" s="42"/>
      <c r="I253" s="42"/>
    </row>
    <row r="254" spans="8:9" x14ac:dyDescent="0.25">
      <c r="H254" s="42"/>
      <c r="I254" s="42"/>
    </row>
    <row r="255" spans="8:9" x14ac:dyDescent="0.25">
      <c r="H255" s="42"/>
      <c r="I255" s="42"/>
    </row>
    <row r="256" spans="8:9" x14ac:dyDescent="0.25">
      <c r="H256" s="42"/>
      <c r="I256" s="42"/>
    </row>
    <row r="257" spans="8:9" x14ac:dyDescent="0.25">
      <c r="H257" s="42"/>
      <c r="I257" s="42"/>
    </row>
    <row r="258" spans="8:9" x14ac:dyDescent="0.25">
      <c r="H258" s="42"/>
      <c r="I258" s="42"/>
    </row>
    <row r="259" spans="8:9" x14ac:dyDescent="0.25">
      <c r="H259" s="42"/>
      <c r="I259" s="42"/>
    </row>
    <row r="260" spans="8:9" x14ac:dyDescent="0.25">
      <c r="H260" s="42"/>
      <c r="I260" s="42"/>
    </row>
    <row r="261" spans="8:9" x14ac:dyDescent="0.25">
      <c r="H261" s="42"/>
      <c r="I261" s="42"/>
    </row>
    <row r="262" spans="8:9" x14ac:dyDescent="0.25">
      <c r="H262" s="42"/>
      <c r="I262" s="42"/>
    </row>
    <row r="263" spans="8:9" x14ac:dyDescent="0.25">
      <c r="H263" s="42"/>
      <c r="I263" s="42"/>
    </row>
    <row r="264" spans="8:9" x14ac:dyDescent="0.25">
      <c r="H264" s="42"/>
      <c r="I264" s="42"/>
    </row>
    <row r="265" spans="8:9" x14ac:dyDescent="0.25">
      <c r="H265" s="42"/>
      <c r="I265" s="42"/>
    </row>
    <row r="266" spans="8:9" x14ac:dyDescent="0.25">
      <c r="H266" s="42"/>
      <c r="I266" s="42"/>
    </row>
    <row r="267" spans="8:9" x14ac:dyDescent="0.25">
      <c r="H267" s="42"/>
      <c r="I267" s="42"/>
    </row>
    <row r="268" spans="8:9" x14ac:dyDescent="0.25">
      <c r="H268" s="42"/>
      <c r="I268" s="42"/>
    </row>
    <row r="269" spans="8:9" x14ac:dyDescent="0.25">
      <c r="H269" s="42"/>
      <c r="I269" s="42"/>
    </row>
    <row r="270" spans="8:9" x14ac:dyDescent="0.25">
      <c r="H270" s="42"/>
      <c r="I270" s="42"/>
    </row>
    <row r="271" spans="8:9" x14ac:dyDescent="0.25">
      <c r="H271" s="42"/>
      <c r="I271" s="42"/>
    </row>
    <row r="272" spans="8:9" x14ac:dyDescent="0.25">
      <c r="H272" s="42"/>
      <c r="I272" s="42"/>
    </row>
    <row r="273" spans="8:9" x14ac:dyDescent="0.25">
      <c r="H273" s="42"/>
      <c r="I273" s="42"/>
    </row>
    <row r="274" spans="8:9" x14ac:dyDescent="0.25">
      <c r="H274" s="42"/>
      <c r="I274" s="42"/>
    </row>
    <row r="275" spans="8:9" x14ac:dyDescent="0.25">
      <c r="H275" s="42"/>
      <c r="I275" s="42"/>
    </row>
    <row r="276" spans="8:9" x14ac:dyDescent="0.25">
      <c r="H276" s="42"/>
      <c r="I276" s="42"/>
    </row>
    <row r="277" spans="8:9" x14ac:dyDescent="0.25">
      <c r="H277" s="42"/>
      <c r="I277" s="42"/>
    </row>
    <row r="278" spans="8:9" x14ac:dyDescent="0.25">
      <c r="H278" s="42"/>
      <c r="I278" s="42"/>
    </row>
    <row r="279" spans="8:9" x14ac:dyDescent="0.25">
      <c r="H279" s="42"/>
      <c r="I279" s="42"/>
    </row>
    <row r="280" spans="8:9" x14ac:dyDescent="0.25">
      <c r="H280" s="42"/>
      <c r="I280" s="42"/>
    </row>
    <row r="281" spans="8:9" x14ac:dyDescent="0.25">
      <c r="H281" s="42"/>
      <c r="I281" s="42"/>
    </row>
    <row r="282" spans="8:9" x14ac:dyDescent="0.25">
      <c r="H282" s="42"/>
      <c r="I282" s="42"/>
    </row>
    <row r="283" spans="8:9" x14ac:dyDescent="0.25">
      <c r="H283" s="42"/>
      <c r="I283" s="42"/>
    </row>
    <row r="284" spans="8:9" x14ac:dyDescent="0.25">
      <c r="H284" s="42"/>
      <c r="I284" s="42"/>
    </row>
    <row r="285" spans="8:9" x14ac:dyDescent="0.25">
      <c r="H285" s="42"/>
      <c r="I285" s="42"/>
    </row>
    <row r="286" spans="8:9" x14ac:dyDescent="0.25">
      <c r="H286" s="42"/>
      <c r="I286" s="42"/>
    </row>
    <row r="287" spans="8:9" x14ac:dyDescent="0.25">
      <c r="H287" s="42"/>
      <c r="I287" s="42"/>
    </row>
    <row r="288" spans="8:9" x14ac:dyDescent="0.25">
      <c r="H288" s="42"/>
      <c r="I288" s="42"/>
    </row>
    <row r="289" spans="8:9" x14ac:dyDescent="0.25">
      <c r="H289" s="42"/>
      <c r="I289" s="42"/>
    </row>
    <row r="290" spans="8:9" x14ac:dyDescent="0.25">
      <c r="H290" s="42"/>
      <c r="I290" s="42"/>
    </row>
    <row r="291" spans="8:9" x14ac:dyDescent="0.25">
      <c r="H291" s="42"/>
      <c r="I291" s="42"/>
    </row>
    <row r="292" spans="8:9" x14ac:dyDescent="0.25">
      <c r="H292" s="42"/>
      <c r="I292" s="42"/>
    </row>
    <row r="293" spans="8:9" x14ac:dyDescent="0.25">
      <c r="H293" s="42"/>
      <c r="I293" s="42"/>
    </row>
    <row r="294" spans="8:9" x14ac:dyDescent="0.25">
      <c r="H294" s="42"/>
      <c r="I294" s="42"/>
    </row>
    <row r="295" spans="8:9" x14ac:dyDescent="0.25">
      <c r="H295" s="42"/>
      <c r="I295" s="42"/>
    </row>
    <row r="296" spans="8:9" x14ac:dyDescent="0.25">
      <c r="H296" s="42"/>
      <c r="I296" s="42"/>
    </row>
    <row r="297" spans="8:9" x14ac:dyDescent="0.25">
      <c r="H297" s="42"/>
      <c r="I297" s="42"/>
    </row>
    <row r="298" spans="8:9" x14ac:dyDescent="0.25">
      <c r="H298" s="42"/>
      <c r="I298" s="42"/>
    </row>
    <row r="299" spans="8:9" x14ac:dyDescent="0.25">
      <c r="H299" s="42"/>
      <c r="I299" s="42"/>
    </row>
    <row r="300" spans="8:9" x14ac:dyDescent="0.25">
      <c r="H300" s="42"/>
      <c r="I300" s="42"/>
    </row>
    <row r="301" spans="8:9" x14ac:dyDescent="0.25">
      <c r="H301" s="42"/>
      <c r="I301" s="42"/>
    </row>
    <row r="302" spans="8:9" x14ac:dyDescent="0.25">
      <c r="H302" s="42"/>
      <c r="I302" s="42"/>
    </row>
    <row r="303" spans="8:9" x14ac:dyDescent="0.25">
      <c r="H303" s="42"/>
      <c r="I303" s="42"/>
    </row>
    <row r="304" spans="8:9" x14ac:dyDescent="0.25">
      <c r="H304" s="42"/>
      <c r="I304" s="42"/>
    </row>
    <row r="305" spans="8:9" x14ac:dyDescent="0.25">
      <c r="H305" s="42"/>
      <c r="I305" s="42"/>
    </row>
    <row r="306" spans="8:9" x14ac:dyDescent="0.25">
      <c r="H306" s="42"/>
      <c r="I306" s="42"/>
    </row>
    <row r="307" spans="8:9" x14ac:dyDescent="0.25">
      <c r="H307" s="42"/>
      <c r="I307" s="42"/>
    </row>
    <row r="308" spans="8:9" x14ac:dyDescent="0.25">
      <c r="H308" s="42"/>
      <c r="I308" s="42"/>
    </row>
    <row r="309" spans="8:9" x14ac:dyDescent="0.25">
      <c r="H309" s="42"/>
      <c r="I309" s="42"/>
    </row>
    <row r="310" spans="8:9" x14ac:dyDescent="0.25">
      <c r="H310" s="42"/>
      <c r="I310" s="42"/>
    </row>
    <row r="311" spans="8:9" x14ac:dyDescent="0.25">
      <c r="H311" s="42"/>
      <c r="I311" s="42"/>
    </row>
    <row r="312" spans="8:9" x14ac:dyDescent="0.25">
      <c r="H312" s="42"/>
      <c r="I312" s="42"/>
    </row>
    <row r="313" spans="8:9" x14ac:dyDescent="0.25">
      <c r="H313" s="42"/>
      <c r="I313" s="42"/>
    </row>
    <row r="314" spans="8:9" x14ac:dyDescent="0.25">
      <c r="H314" s="42"/>
      <c r="I314" s="42"/>
    </row>
    <row r="315" spans="8:9" x14ac:dyDescent="0.25">
      <c r="H315" s="42"/>
      <c r="I315" s="42"/>
    </row>
    <row r="316" spans="8:9" x14ac:dyDescent="0.25">
      <c r="H316" s="42"/>
      <c r="I316" s="42"/>
    </row>
    <row r="317" spans="8:9" x14ac:dyDescent="0.25">
      <c r="H317" s="42"/>
      <c r="I317" s="42"/>
    </row>
    <row r="318" spans="8:9" x14ac:dyDescent="0.25">
      <c r="H318" s="42"/>
      <c r="I318" s="42"/>
    </row>
    <row r="319" spans="8:9" x14ac:dyDescent="0.25">
      <c r="H319" s="42"/>
      <c r="I319" s="42"/>
    </row>
    <row r="320" spans="8:9" x14ac:dyDescent="0.25">
      <c r="H320" s="42"/>
      <c r="I320" s="42"/>
    </row>
    <row r="321" spans="8:9" x14ac:dyDescent="0.25">
      <c r="H321" s="42"/>
      <c r="I321" s="42"/>
    </row>
    <row r="322" spans="8:9" x14ac:dyDescent="0.25">
      <c r="H322" s="42"/>
      <c r="I322" s="42"/>
    </row>
    <row r="323" spans="8:9" x14ac:dyDescent="0.25">
      <c r="H323" s="42"/>
      <c r="I323" s="42"/>
    </row>
    <row r="324" spans="8:9" x14ac:dyDescent="0.25">
      <c r="H324" s="42"/>
      <c r="I324" s="42"/>
    </row>
    <row r="325" spans="8:9" x14ac:dyDescent="0.25">
      <c r="H325" s="42"/>
      <c r="I325" s="42"/>
    </row>
    <row r="326" spans="8:9" x14ac:dyDescent="0.25">
      <c r="H326" s="42"/>
      <c r="I326" s="42"/>
    </row>
    <row r="327" spans="8:9" x14ac:dyDescent="0.25">
      <c r="H327" s="42"/>
      <c r="I327" s="42"/>
    </row>
    <row r="328" spans="8:9" x14ac:dyDescent="0.25">
      <c r="H328" s="42"/>
      <c r="I328" s="42"/>
    </row>
    <row r="329" spans="8:9" x14ac:dyDescent="0.25">
      <c r="H329" s="42"/>
      <c r="I329" s="42"/>
    </row>
    <row r="330" spans="8:9" x14ac:dyDescent="0.25">
      <c r="H330" s="42"/>
      <c r="I330" s="42"/>
    </row>
    <row r="331" spans="8:9" x14ac:dyDescent="0.25">
      <c r="H331" s="42"/>
      <c r="I331" s="42"/>
    </row>
    <row r="332" spans="8:9" x14ac:dyDescent="0.25">
      <c r="H332" s="42"/>
      <c r="I332" s="42"/>
    </row>
    <row r="333" spans="8:9" x14ac:dyDescent="0.25">
      <c r="H333" s="42"/>
      <c r="I333" s="42"/>
    </row>
    <row r="334" spans="8:9" x14ac:dyDescent="0.25">
      <c r="H334" s="42"/>
      <c r="I334" s="42"/>
    </row>
    <row r="335" spans="8:9" x14ac:dyDescent="0.25">
      <c r="H335" s="42"/>
      <c r="I335" s="42"/>
    </row>
    <row r="336" spans="8:9" x14ac:dyDescent="0.25">
      <c r="H336" s="42"/>
      <c r="I336" s="42"/>
    </row>
    <row r="337" spans="8:9" x14ac:dyDescent="0.25">
      <c r="H337" s="42"/>
      <c r="I337" s="42"/>
    </row>
    <row r="338" spans="8:9" x14ac:dyDescent="0.25">
      <c r="H338" s="42"/>
      <c r="I338" s="42"/>
    </row>
    <row r="339" spans="8:9" x14ac:dyDescent="0.25">
      <c r="H339" s="42"/>
      <c r="I339" s="42"/>
    </row>
    <row r="340" spans="8:9" x14ac:dyDescent="0.25">
      <c r="H340" s="42"/>
      <c r="I340" s="42"/>
    </row>
    <row r="341" spans="8:9" x14ac:dyDescent="0.25">
      <c r="H341" s="42"/>
      <c r="I341" s="42"/>
    </row>
    <row r="342" spans="8:9" x14ac:dyDescent="0.25">
      <c r="H342" s="42"/>
      <c r="I342" s="42"/>
    </row>
    <row r="343" spans="8:9" x14ac:dyDescent="0.25">
      <c r="H343" s="42"/>
      <c r="I343" s="42"/>
    </row>
    <row r="344" spans="8:9" x14ac:dyDescent="0.25">
      <c r="H344" s="42"/>
      <c r="I344" s="42"/>
    </row>
    <row r="345" spans="8:9" x14ac:dyDescent="0.25">
      <c r="H345" s="42"/>
      <c r="I345" s="42"/>
    </row>
    <row r="346" spans="8:9" x14ac:dyDescent="0.25">
      <c r="H346" s="42"/>
      <c r="I346" s="42"/>
    </row>
    <row r="347" spans="8:9" x14ac:dyDescent="0.25">
      <c r="H347" s="42"/>
      <c r="I347" s="42"/>
    </row>
    <row r="348" spans="8:9" x14ac:dyDescent="0.25">
      <c r="H348" s="42"/>
      <c r="I348" s="42"/>
    </row>
    <row r="349" spans="8:9" x14ac:dyDescent="0.25">
      <c r="H349" s="42"/>
      <c r="I349" s="42"/>
    </row>
    <row r="350" spans="8:9" x14ac:dyDescent="0.25">
      <c r="H350" s="42"/>
      <c r="I350" s="42"/>
    </row>
    <row r="351" spans="8:9" x14ac:dyDescent="0.25">
      <c r="H351" s="42"/>
      <c r="I351" s="42"/>
    </row>
    <row r="352" spans="8:9" x14ac:dyDescent="0.25">
      <c r="H352" s="42"/>
      <c r="I352" s="42"/>
    </row>
    <row r="353" spans="8:9" x14ac:dyDescent="0.25">
      <c r="H353" s="42"/>
      <c r="I353" s="42"/>
    </row>
    <row r="354" spans="8:9" x14ac:dyDescent="0.25">
      <c r="H354" s="42"/>
      <c r="I354" s="42"/>
    </row>
    <row r="355" spans="8:9" x14ac:dyDescent="0.25">
      <c r="H355" s="42"/>
      <c r="I355" s="42"/>
    </row>
    <row r="356" spans="8:9" x14ac:dyDescent="0.25">
      <c r="H356" s="42"/>
      <c r="I356" s="42"/>
    </row>
    <row r="357" spans="8:9" x14ac:dyDescent="0.25">
      <c r="H357" s="42"/>
      <c r="I357" s="42"/>
    </row>
    <row r="358" spans="8:9" x14ac:dyDescent="0.25">
      <c r="H358" s="42"/>
      <c r="I358" s="42"/>
    </row>
    <row r="359" spans="8:9" x14ac:dyDescent="0.25">
      <c r="H359" s="42"/>
      <c r="I359" s="42"/>
    </row>
    <row r="360" spans="8:9" x14ac:dyDescent="0.25">
      <c r="H360" s="42"/>
      <c r="I360" s="42"/>
    </row>
    <row r="361" spans="8:9" x14ac:dyDescent="0.25">
      <c r="H361" s="42"/>
      <c r="I361" s="42"/>
    </row>
    <row r="362" spans="8:9" x14ac:dyDescent="0.25">
      <c r="H362" s="42"/>
      <c r="I362" s="42"/>
    </row>
    <row r="363" spans="8:9" x14ac:dyDescent="0.25">
      <c r="H363" s="42"/>
      <c r="I363" s="42"/>
    </row>
    <row r="364" spans="8:9" x14ac:dyDescent="0.25">
      <c r="H364" s="42"/>
      <c r="I364" s="42"/>
    </row>
    <row r="365" spans="8:9" x14ac:dyDescent="0.25">
      <c r="H365" s="42"/>
      <c r="I365" s="42"/>
    </row>
    <row r="366" spans="8:9" x14ac:dyDescent="0.25">
      <c r="H366" s="42"/>
      <c r="I366" s="42"/>
    </row>
    <row r="367" spans="8:9" x14ac:dyDescent="0.25">
      <c r="H367" s="42"/>
      <c r="I367" s="42"/>
    </row>
    <row r="368" spans="8:9" x14ac:dyDescent="0.25">
      <c r="H368" s="42"/>
      <c r="I368" s="42"/>
    </row>
    <row r="369" spans="8:9" x14ac:dyDescent="0.25">
      <c r="H369" s="42"/>
      <c r="I369" s="42"/>
    </row>
    <row r="370" spans="8:9" x14ac:dyDescent="0.25">
      <c r="H370" s="42"/>
      <c r="I370" s="42"/>
    </row>
    <row r="371" spans="8:9" x14ac:dyDescent="0.25">
      <c r="H371" s="42"/>
      <c r="I371" s="42"/>
    </row>
    <row r="372" spans="8:9" x14ac:dyDescent="0.25">
      <c r="H372" s="42"/>
      <c r="I372" s="42"/>
    </row>
    <row r="373" spans="8:9" x14ac:dyDescent="0.25">
      <c r="H373" s="42"/>
      <c r="I373" s="42"/>
    </row>
    <row r="374" spans="8:9" x14ac:dyDescent="0.25">
      <c r="H374" s="42"/>
      <c r="I374" s="42"/>
    </row>
    <row r="375" spans="8:9" x14ac:dyDescent="0.25">
      <c r="H375" s="42"/>
      <c r="I375" s="42"/>
    </row>
    <row r="376" spans="8:9" x14ac:dyDescent="0.25">
      <c r="H376" s="42"/>
      <c r="I376" s="42"/>
    </row>
    <row r="377" spans="8:9" x14ac:dyDescent="0.25">
      <c r="H377" s="42"/>
      <c r="I377" s="42"/>
    </row>
    <row r="378" spans="8:9" x14ac:dyDescent="0.25">
      <c r="H378" s="42"/>
      <c r="I378" s="42"/>
    </row>
    <row r="379" spans="8:9" x14ac:dyDescent="0.25">
      <c r="H379" s="42"/>
      <c r="I379" s="42"/>
    </row>
    <row r="380" spans="8:9" x14ac:dyDescent="0.25">
      <c r="H380" s="42"/>
      <c r="I380" s="42"/>
    </row>
    <row r="381" spans="8:9" x14ac:dyDescent="0.25">
      <c r="H381" s="42"/>
      <c r="I381" s="42"/>
    </row>
    <row r="382" spans="8:9" x14ac:dyDescent="0.25">
      <c r="H382" s="42"/>
      <c r="I382" s="42"/>
    </row>
    <row r="383" spans="8:9" x14ac:dyDescent="0.25">
      <c r="H383" s="42"/>
      <c r="I383" s="42"/>
    </row>
    <row r="384" spans="8:9" x14ac:dyDescent="0.25">
      <c r="H384" s="42"/>
      <c r="I384" s="42"/>
    </row>
    <row r="385" spans="8:9" x14ac:dyDescent="0.25">
      <c r="H385" s="42"/>
      <c r="I385" s="42"/>
    </row>
    <row r="386" spans="8:9" x14ac:dyDescent="0.25">
      <c r="H386" s="42"/>
      <c r="I386" s="42"/>
    </row>
    <row r="387" spans="8:9" x14ac:dyDescent="0.25">
      <c r="H387" s="42"/>
      <c r="I387" s="42"/>
    </row>
    <row r="388" spans="8:9" x14ac:dyDescent="0.25">
      <c r="H388" s="42"/>
      <c r="I388" s="42"/>
    </row>
    <row r="389" spans="8:9" x14ac:dyDescent="0.25">
      <c r="H389" s="42"/>
      <c r="I389" s="42"/>
    </row>
    <row r="390" spans="8:9" x14ac:dyDescent="0.25">
      <c r="H390" s="42"/>
      <c r="I390" s="42"/>
    </row>
    <row r="391" spans="8:9" x14ac:dyDescent="0.25">
      <c r="H391" s="42"/>
      <c r="I391" s="42"/>
    </row>
    <row r="392" spans="8:9" x14ac:dyDescent="0.25">
      <c r="H392" s="42"/>
      <c r="I392" s="42"/>
    </row>
    <row r="393" spans="8:9" x14ac:dyDescent="0.25">
      <c r="H393" s="42"/>
      <c r="I393" s="42"/>
    </row>
    <row r="394" spans="8:9" x14ac:dyDescent="0.25">
      <c r="H394" s="42"/>
      <c r="I394" s="42"/>
    </row>
    <row r="395" spans="8:9" x14ac:dyDescent="0.25">
      <c r="H395" s="42"/>
      <c r="I395" s="42"/>
    </row>
    <row r="396" spans="8:9" x14ac:dyDescent="0.25">
      <c r="H396" s="42"/>
      <c r="I396" s="42"/>
    </row>
    <row r="397" spans="8:9" x14ac:dyDescent="0.25">
      <c r="H397" s="42"/>
      <c r="I397" s="42"/>
    </row>
    <row r="398" spans="8:9" x14ac:dyDescent="0.25">
      <c r="H398" s="42"/>
      <c r="I398" s="42"/>
    </row>
    <row r="399" spans="8:9" x14ac:dyDescent="0.25">
      <c r="H399" s="42"/>
      <c r="I399" s="42"/>
    </row>
    <row r="400" spans="8:9" x14ac:dyDescent="0.25">
      <c r="H400" s="42"/>
      <c r="I400" s="42"/>
    </row>
    <row r="401" spans="8:9" x14ac:dyDescent="0.25">
      <c r="H401" s="42"/>
      <c r="I401" s="42"/>
    </row>
    <row r="402" spans="8:9" x14ac:dyDescent="0.25">
      <c r="H402" s="42"/>
      <c r="I402" s="42"/>
    </row>
    <row r="403" spans="8:9" x14ac:dyDescent="0.25">
      <c r="H403" s="42"/>
      <c r="I403" s="42"/>
    </row>
    <row r="404" spans="8:9" x14ac:dyDescent="0.25">
      <c r="H404" s="42"/>
      <c r="I404" s="42"/>
    </row>
    <row r="405" spans="8:9" x14ac:dyDescent="0.25">
      <c r="H405" s="42"/>
      <c r="I405" s="42"/>
    </row>
    <row r="406" spans="8:9" x14ac:dyDescent="0.25">
      <c r="H406" s="42"/>
      <c r="I406" s="42"/>
    </row>
    <row r="407" spans="8:9" x14ac:dyDescent="0.25">
      <c r="H407" s="42"/>
      <c r="I407" s="42"/>
    </row>
    <row r="408" spans="8:9" x14ac:dyDescent="0.25">
      <c r="H408" s="42"/>
      <c r="I408" s="42"/>
    </row>
    <row r="409" spans="8:9" x14ac:dyDescent="0.25">
      <c r="H409" s="42"/>
      <c r="I409" s="42"/>
    </row>
    <row r="410" spans="8:9" x14ac:dyDescent="0.25">
      <c r="H410" s="42"/>
      <c r="I410" s="42"/>
    </row>
    <row r="411" spans="8:9" x14ac:dyDescent="0.25">
      <c r="H411" s="42"/>
      <c r="I411" s="42"/>
    </row>
    <row r="412" spans="8:9" x14ac:dyDescent="0.25">
      <c r="H412" s="42"/>
      <c r="I412" s="42"/>
    </row>
    <row r="413" spans="8:9" x14ac:dyDescent="0.25">
      <c r="H413" s="42"/>
      <c r="I413" s="42"/>
    </row>
    <row r="414" spans="8:9" x14ac:dyDescent="0.25">
      <c r="H414" s="42"/>
      <c r="I414" s="42"/>
    </row>
    <row r="415" spans="8:9" x14ac:dyDescent="0.25">
      <c r="H415" s="42"/>
      <c r="I415" s="42"/>
    </row>
    <row r="416" spans="8:9" x14ac:dyDescent="0.25">
      <c r="H416" s="42"/>
      <c r="I416" s="42"/>
    </row>
    <row r="417" spans="8:9" x14ac:dyDescent="0.25">
      <c r="H417" s="42"/>
      <c r="I417" s="42"/>
    </row>
    <row r="418" spans="8:9" x14ac:dyDescent="0.25">
      <c r="H418" s="42"/>
      <c r="I418" s="42"/>
    </row>
    <row r="419" spans="8:9" x14ac:dyDescent="0.25">
      <c r="H419" s="42"/>
      <c r="I419" s="42"/>
    </row>
    <row r="420" spans="8:9" x14ac:dyDescent="0.25">
      <c r="H420" s="42"/>
      <c r="I420" s="42"/>
    </row>
    <row r="421" spans="8:9" x14ac:dyDescent="0.25">
      <c r="H421" s="42"/>
      <c r="I421" s="42"/>
    </row>
    <row r="422" spans="8:9" x14ac:dyDescent="0.25">
      <c r="H422" s="42"/>
      <c r="I422" s="42"/>
    </row>
    <row r="423" spans="8:9" x14ac:dyDescent="0.25">
      <c r="H423" s="42"/>
      <c r="I423" s="42"/>
    </row>
    <row r="424" spans="8:9" x14ac:dyDescent="0.25">
      <c r="H424" s="42"/>
      <c r="I424" s="42"/>
    </row>
    <row r="425" spans="8:9" x14ac:dyDescent="0.25">
      <c r="H425" s="42"/>
      <c r="I425" s="42"/>
    </row>
    <row r="426" spans="8:9" x14ac:dyDescent="0.25">
      <c r="H426" s="42"/>
      <c r="I426" s="42"/>
    </row>
    <row r="427" spans="8:9" x14ac:dyDescent="0.25">
      <c r="H427" s="42"/>
      <c r="I427" s="42"/>
    </row>
    <row r="428" spans="8:9" x14ac:dyDescent="0.25">
      <c r="H428" s="42"/>
      <c r="I428" s="42"/>
    </row>
    <row r="429" spans="8:9" x14ac:dyDescent="0.25">
      <c r="H429" s="42"/>
      <c r="I429" s="42"/>
    </row>
    <row r="430" spans="8:9" x14ac:dyDescent="0.25">
      <c r="H430" s="42"/>
      <c r="I430" s="42"/>
    </row>
    <row r="431" spans="8:9" x14ac:dyDescent="0.25">
      <c r="H431" s="42"/>
      <c r="I431" s="42"/>
    </row>
    <row r="432" spans="8:9" x14ac:dyDescent="0.25">
      <c r="H432" s="42"/>
      <c r="I432" s="42"/>
    </row>
    <row r="433" spans="8:9" x14ac:dyDescent="0.25">
      <c r="H433" s="42"/>
      <c r="I433" s="42"/>
    </row>
    <row r="434" spans="8:9" x14ac:dyDescent="0.25">
      <c r="H434" s="42"/>
      <c r="I434" s="42"/>
    </row>
    <row r="435" spans="8:9" x14ac:dyDescent="0.25">
      <c r="H435" s="42"/>
      <c r="I435" s="42"/>
    </row>
    <row r="436" spans="8:9" x14ac:dyDescent="0.25">
      <c r="H436" s="42"/>
      <c r="I436" s="42"/>
    </row>
    <row r="437" spans="8:9" x14ac:dyDescent="0.25">
      <c r="H437" s="42"/>
      <c r="I437" s="42"/>
    </row>
    <row r="438" spans="8:9" x14ac:dyDescent="0.25">
      <c r="H438" s="42"/>
      <c r="I438" s="42"/>
    </row>
    <row r="439" spans="8:9" x14ac:dyDescent="0.25">
      <c r="H439" s="42"/>
      <c r="I439" s="42"/>
    </row>
    <row r="440" spans="8:9" x14ac:dyDescent="0.25">
      <c r="H440" s="42"/>
      <c r="I440" s="42"/>
    </row>
    <row r="441" spans="8:9" x14ac:dyDescent="0.25">
      <c r="H441" s="42"/>
      <c r="I441" s="42"/>
    </row>
    <row r="442" spans="8:9" x14ac:dyDescent="0.25">
      <c r="H442" s="42"/>
      <c r="I442" s="42"/>
    </row>
    <row r="443" spans="8:9" x14ac:dyDescent="0.25">
      <c r="H443" s="42"/>
      <c r="I443" s="42"/>
    </row>
    <row r="444" spans="8:9" x14ac:dyDescent="0.25">
      <c r="H444" s="42"/>
      <c r="I444" s="42"/>
    </row>
    <row r="445" spans="8:9" x14ac:dyDescent="0.25">
      <c r="H445" s="42"/>
      <c r="I445" s="42"/>
    </row>
    <row r="446" spans="8:9" x14ac:dyDescent="0.25">
      <c r="H446" s="42"/>
      <c r="I446" s="42"/>
    </row>
    <row r="447" spans="8:9" x14ac:dyDescent="0.25">
      <c r="H447" s="42"/>
      <c r="I447" s="42"/>
    </row>
    <row r="448" spans="8:9" x14ac:dyDescent="0.25">
      <c r="H448" s="42"/>
      <c r="I448" s="42"/>
    </row>
    <row r="449" spans="8:9" x14ac:dyDescent="0.25">
      <c r="H449" s="42"/>
      <c r="I449" s="42"/>
    </row>
    <row r="450" spans="8:9" x14ac:dyDescent="0.25">
      <c r="H450" s="42"/>
      <c r="I450" s="42"/>
    </row>
    <row r="451" spans="8:9" x14ac:dyDescent="0.25">
      <c r="H451" s="42"/>
      <c r="I451" s="42"/>
    </row>
    <row r="452" spans="8:9" x14ac:dyDescent="0.25">
      <c r="H452" s="42"/>
      <c r="I452" s="42"/>
    </row>
    <row r="453" spans="8:9" x14ac:dyDescent="0.25">
      <c r="H453" s="42"/>
      <c r="I453" s="42"/>
    </row>
    <row r="454" spans="8:9" x14ac:dyDescent="0.25">
      <c r="H454" s="42"/>
      <c r="I454" s="42"/>
    </row>
    <row r="455" spans="8:9" x14ac:dyDescent="0.25">
      <c r="H455" s="42"/>
      <c r="I455" s="42"/>
    </row>
    <row r="456" spans="8:9" x14ac:dyDescent="0.25">
      <c r="H456" s="42"/>
      <c r="I456" s="42"/>
    </row>
    <row r="457" spans="8:9" x14ac:dyDescent="0.25">
      <c r="H457" s="42"/>
      <c r="I457" s="42"/>
    </row>
    <row r="458" spans="8:9" x14ac:dyDescent="0.25">
      <c r="H458" s="42"/>
      <c r="I458" s="42"/>
    </row>
    <row r="459" spans="8:9" x14ac:dyDescent="0.25">
      <c r="H459" s="42"/>
      <c r="I459" s="42"/>
    </row>
    <row r="460" spans="8:9" x14ac:dyDescent="0.25">
      <c r="H460" s="42"/>
      <c r="I460" s="42"/>
    </row>
    <row r="461" spans="8:9" x14ac:dyDescent="0.25">
      <c r="H461" s="42"/>
      <c r="I461" s="42"/>
    </row>
    <row r="462" spans="8:9" x14ac:dyDescent="0.25">
      <c r="H462" s="42"/>
      <c r="I462" s="42"/>
    </row>
    <row r="463" spans="8:9" x14ac:dyDescent="0.25">
      <c r="H463" s="42"/>
      <c r="I463" s="42"/>
    </row>
    <row r="464" spans="8:9" x14ac:dyDescent="0.25">
      <c r="H464" s="42"/>
      <c r="I464" s="42"/>
    </row>
    <row r="465" spans="8:9" x14ac:dyDescent="0.25">
      <c r="H465" s="42"/>
      <c r="I465" s="42"/>
    </row>
    <row r="466" spans="8:9" x14ac:dyDescent="0.25">
      <c r="H466" s="42"/>
      <c r="I466" s="42"/>
    </row>
    <row r="467" spans="8:9" x14ac:dyDescent="0.25">
      <c r="H467" s="42"/>
      <c r="I467" s="42"/>
    </row>
    <row r="468" spans="8:9" x14ac:dyDescent="0.25">
      <c r="H468" s="42"/>
      <c r="I468" s="42"/>
    </row>
    <row r="469" spans="8:9" x14ac:dyDescent="0.25">
      <c r="H469" s="42"/>
      <c r="I469" s="42"/>
    </row>
    <row r="470" spans="8:9" x14ac:dyDescent="0.25">
      <c r="H470" s="42"/>
      <c r="I470" s="42"/>
    </row>
    <row r="471" spans="8:9" x14ac:dyDescent="0.25">
      <c r="H471" s="42"/>
      <c r="I471" s="42"/>
    </row>
    <row r="472" spans="8:9" x14ac:dyDescent="0.25">
      <c r="H472" s="42"/>
      <c r="I472" s="42"/>
    </row>
    <row r="473" spans="8:9" x14ac:dyDescent="0.25">
      <c r="H473" s="42"/>
      <c r="I473" s="42"/>
    </row>
    <row r="474" spans="8:9" x14ac:dyDescent="0.25">
      <c r="H474" s="42"/>
      <c r="I474" s="42"/>
    </row>
    <row r="475" spans="8:9" x14ac:dyDescent="0.25">
      <c r="H475" s="42"/>
      <c r="I475" s="42"/>
    </row>
    <row r="476" spans="8:9" x14ac:dyDescent="0.25">
      <c r="H476" s="42"/>
      <c r="I476" s="42"/>
    </row>
    <row r="477" spans="8:9" x14ac:dyDescent="0.25">
      <c r="H477" s="42"/>
      <c r="I477" s="42"/>
    </row>
    <row r="478" spans="8:9" x14ac:dyDescent="0.25">
      <c r="H478" s="42"/>
      <c r="I478" s="42"/>
    </row>
    <row r="479" spans="8:9" x14ac:dyDescent="0.25">
      <c r="H479" s="42"/>
      <c r="I479" s="42"/>
    </row>
    <row r="480" spans="8:9" x14ac:dyDescent="0.25">
      <c r="H480" s="42"/>
      <c r="I480" s="42"/>
    </row>
    <row r="481" spans="8:9" x14ac:dyDescent="0.25">
      <c r="H481" s="42"/>
      <c r="I481" s="42"/>
    </row>
    <row r="482" spans="8:9" x14ac:dyDescent="0.25">
      <c r="H482" s="42"/>
      <c r="I482" s="42"/>
    </row>
    <row r="483" spans="8:9" x14ac:dyDescent="0.25">
      <c r="H483" s="42"/>
      <c r="I483" s="42"/>
    </row>
    <row r="484" spans="8:9" x14ac:dyDescent="0.25">
      <c r="H484" s="42"/>
      <c r="I484" s="42"/>
    </row>
    <row r="485" spans="8:9" x14ac:dyDescent="0.25">
      <c r="H485" s="42"/>
      <c r="I485" s="42"/>
    </row>
    <row r="486" spans="8:9" x14ac:dyDescent="0.25">
      <c r="H486" s="42"/>
      <c r="I486" s="42"/>
    </row>
    <row r="487" spans="8:9" x14ac:dyDescent="0.25">
      <c r="H487" s="42"/>
      <c r="I487" s="42"/>
    </row>
    <row r="488" spans="8:9" x14ac:dyDescent="0.25">
      <c r="H488" s="42"/>
      <c r="I488" s="42"/>
    </row>
    <row r="489" spans="8:9" x14ac:dyDescent="0.25">
      <c r="H489" s="42"/>
      <c r="I489" s="42"/>
    </row>
    <row r="490" spans="8:9" x14ac:dyDescent="0.25">
      <c r="H490" s="42"/>
      <c r="I490" s="42"/>
    </row>
    <row r="491" spans="8:9" x14ac:dyDescent="0.25">
      <c r="H491" s="42"/>
      <c r="I491" s="42"/>
    </row>
    <row r="492" spans="8:9" x14ac:dyDescent="0.25">
      <c r="H492" s="42"/>
      <c r="I492" s="42"/>
    </row>
    <row r="493" spans="8:9" x14ac:dyDescent="0.25">
      <c r="H493" s="42"/>
      <c r="I493" s="42"/>
    </row>
    <row r="494" spans="8:9" x14ac:dyDescent="0.25">
      <c r="H494" s="42"/>
      <c r="I494" s="42"/>
    </row>
    <row r="495" spans="8:9" x14ac:dyDescent="0.25">
      <c r="H495" s="42"/>
      <c r="I495" s="42"/>
    </row>
    <row r="496" spans="8:9" x14ac:dyDescent="0.25">
      <c r="H496" s="42"/>
      <c r="I496" s="42"/>
    </row>
    <row r="497" spans="8:9" x14ac:dyDescent="0.25">
      <c r="H497" s="42"/>
      <c r="I497" s="42"/>
    </row>
    <row r="498" spans="8:9" x14ac:dyDescent="0.25">
      <c r="H498" s="42"/>
      <c r="I498" s="42"/>
    </row>
    <row r="499" spans="8:9" x14ac:dyDescent="0.25">
      <c r="H499" s="42"/>
      <c r="I499" s="42"/>
    </row>
    <row r="500" spans="8:9" x14ac:dyDescent="0.25">
      <c r="H500" s="42"/>
      <c r="I500" s="42"/>
    </row>
    <row r="501" spans="8:9" x14ac:dyDescent="0.25">
      <c r="H501" s="42"/>
      <c r="I501" s="42"/>
    </row>
    <row r="502" spans="8:9" x14ac:dyDescent="0.25">
      <c r="H502" s="42"/>
      <c r="I502" s="42"/>
    </row>
    <row r="503" spans="8:9" x14ac:dyDescent="0.25">
      <c r="H503" s="42"/>
      <c r="I503" s="42"/>
    </row>
    <row r="504" spans="8:9" x14ac:dyDescent="0.25">
      <c r="H504" s="42"/>
      <c r="I504" s="42"/>
    </row>
    <row r="505" spans="8:9" x14ac:dyDescent="0.25">
      <c r="H505" s="42"/>
      <c r="I505" s="42"/>
    </row>
    <row r="506" spans="8:9" x14ac:dyDescent="0.25">
      <c r="H506" s="42"/>
      <c r="I506" s="42"/>
    </row>
    <row r="507" spans="8:9" x14ac:dyDescent="0.25">
      <c r="H507" s="42"/>
      <c r="I507" s="42"/>
    </row>
    <row r="508" spans="8:9" x14ac:dyDescent="0.25">
      <c r="H508" s="42"/>
      <c r="I508" s="42"/>
    </row>
    <row r="509" spans="8:9" x14ac:dyDescent="0.25">
      <c r="H509" s="42"/>
      <c r="I509" s="42"/>
    </row>
    <row r="510" spans="8:9" x14ac:dyDescent="0.25">
      <c r="H510" s="42"/>
      <c r="I510" s="42"/>
    </row>
    <row r="511" spans="8:9" x14ac:dyDescent="0.25">
      <c r="H511" s="42"/>
      <c r="I511" s="42"/>
    </row>
    <row r="512" spans="8:9" x14ac:dyDescent="0.25">
      <c r="H512" s="42"/>
      <c r="I512" s="42"/>
    </row>
    <row r="513" spans="8:9" x14ac:dyDescent="0.25">
      <c r="H513" s="42"/>
      <c r="I513" s="42"/>
    </row>
    <row r="514" spans="8:9" x14ac:dyDescent="0.25">
      <c r="H514" s="42"/>
      <c r="I514" s="42"/>
    </row>
    <row r="515" spans="8:9" x14ac:dyDescent="0.25">
      <c r="H515" s="42"/>
      <c r="I515" s="42"/>
    </row>
    <row r="516" spans="8:9" x14ac:dyDescent="0.25">
      <c r="H516" s="42"/>
      <c r="I516" s="42"/>
    </row>
    <row r="517" spans="8:9" x14ac:dyDescent="0.25">
      <c r="H517" s="42"/>
      <c r="I517" s="42"/>
    </row>
    <row r="518" spans="8:9" x14ac:dyDescent="0.25">
      <c r="H518" s="42"/>
      <c r="I518" s="42"/>
    </row>
    <row r="519" spans="8:9" x14ac:dyDescent="0.25">
      <c r="H519" s="42"/>
      <c r="I519" s="42"/>
    </row>
    <row r="520" spans="8:9" x14ac:dyDescent="0.25">
      <c r="H520" s="42"/>
      <c r="I520" s="42"/>
    </row>
    <row r="521" spans="8:9" x14ac:dyDescent="0.25">
      <c r="H521" s="42"/>
      <c r="I521" s="42"/>
    </row>
    <row r="522" spans="8:9" x14ac:dyDescent="0.25">
      <c r="H522" s="42"/>
      <c r="I522" s="42"/>
    </row>
    <row r="523" spans="8:9" x14ac:dyDescent="0.25">
      <c r="H523" s="42"/>
      <c r="I523" s="42"/>
    </row>
    <row r="524" spans="8:9" x14ac:dyDescent="0.25">
      <c r="H524" s="42"/>
      <c r="I524" s="42"/>
    </row>
    <row r="525" spans="8:9" x14ac:dyDescent="0.25">
      <c r="H525" s="42"/>
      <c r="I525" s="42"/>
    </row>
    <row r="526" spans="8:9" x14ac:dyDescent="0.25">
      <c r="H526" s="42"/>
      <c r="I526" s="42"/>
    </row>
    <row r="527" spans="8:9" x14ac:dyDescent="0.25">
      <c r="H527" s="42"/>
      <c r="I527" s="42"/>
    </row>
    <row r="528" spans="8:9" x14ac:dyDescent="0.25">
      <c r="H528" s="42"/>
      <c r="I528" s="42"/>
    </row>
    <row r="529" spans="8:9" x14ac:dyDescent="0.25">
      <c r="H529" s="42"/>
      <c r="I529" s="42"/>
    </row>
    <row r="530" spans="8:9" x14ac:dyDescent="0.25">
      <c r="H530" s="42"/>
      <c r="I530" s="42"/>
    </row>
    <row r="531" spans="8:9" x14ac:dyDescent="0.25">
      <c r="H531" s="42"/>
      <c r="I531" s="42"/>
    </row>
    <row r="532" spans="8:9" x14ac:dyDescent="0.25">
      <c r="H532" s="42"/>
      <c r="I532" s="42"/>
    </row>
    <row r="533" spans="8:9" x14ac:dyDescent="0.25">
      <c r="H533" s="42"/>
      <c r="I533" s="42"/>
    </row>
    <row r="534" spans="8:9" x14ac:dyDescent="0.25">
      <c r="H534" s="42"/>
      <c r="I534" s="42"/>
    </row>
    <row r="535" spans="8:9" x14ac:dyDescent="0.25">
      <c r="H535" s="42"/>
      <c r="I535" s="42"/>
    </row>
    <row r="536" spans="8:9" x14ac:dyDescent="0.25">
      <c r="H536" s="42"/>
      <c r="I536" s="42"/>
    </row>
    <row r="537" spans="8:9" x14ac:dyDescent="0.25">
      <c r="H537" s="42"/>
      <c r="I537" s="42"/>
    </row>
    <row r="538" spans="8:9" x14ac:dyDescent="0.25">
      <c r="H538" s="42"/>
      <c r="I538" s="42"/>
    </row>
    <row r="539" spans="8:9" x14ac:dyDescent="0.25">
      <c r="H539" s="42"/>
      <c r="I539" s="42"/>
    </row>
    <row r="540" spans="8:9" x14ac:dyDescent="0.25">
      <c r="H540" s="42"/>
      <c r="I540" s="42"/>
    </row>
    <row r="541" spans="8:9" x14ac:dyDescent="0.25">
      <c r="H541" s="42"/>
      <c r="I541" s="42"/>
    </row>
    <row r="542" spans="8:9" x14ac:dyDescent="0.25">
      <c r="H542" s="42"/>
      <c r="I542" s="42"/>
    </row>
    <row r="543" spans="8:9" x14ac:dyDescent="0.25">
      <c r="H543" s="42"/>
      <c r="I543" s="42"/>
    </row>
    <row r="544" spans="8:9" x14ac:dyDescent="0.25">
      <c r="H544" s="42"/>
      <c r="I544" s="42"/>
    </row>
    <row r="545" spans="8:9" x14ac:dyDescent="0.25">
      <c r="H545" s="42"/>
      <c r="I545" s="42"/>
    </row>
    <row r="546" spans="8:9" x14ac:dyDescent="0.25">
      <c r="H546" s="42"/>
      <c r="I546" s="42"/>
    </row>
    <row r="547" spans="8:9" x14ac:dyDescent="0.25">
      <c r="H547" s="42"/>
      <c r="I547" s="42"/>
    </row>
    <row r="548" spans="8:9" x14ac:dyDescent="0.25">
      <c r="H548" s="42"/>
      <c r="I548" s="42"/>
    </row>
    <row r="549" spans="8:9" x14ac:dyDescent="0.25">
      <c r="H549" s="42"/>
      <c r="I549" s="42"/>
    </row>
    <row r="550" spans="8:9" x14ac:dyDescent="0.25">
      <c r="H550" s="42"/>
      <c r="I550" s="42"/>
    </row>
    <row r="551" spans="8:9" x14ac:dyDescent="0.25">
      <c r="H551" s="42"/>
      <c r="I551" s="42"/>
    </row>
    <row r="552" spans="8:9" x14ac:dyDescent="0.25">
      <c r="H552" s="42"/>
      <c r="I552" s="42"/>
    </row>
    <row r="553" spans="8:9" x14ac:dyDescent="0.25">
      <c r="H553" s="42"/>
      <c r="I553" s="42"/>
    </row>
    <row r="554" spans="8:9" x14ac:dyDescent="0.25">
      <c r="H554" s="42"/>
      <c r="I554" s="42"/>
    </row>
    <row r="555" spans="8:9" x14ac:dyDescent="0.25">
      <c r="H555" s="42"/>
      <c r="I555" s="42"/>
    </row>
    <row r="556" spans="8:9" x14ac:dyDescent="0.25">
      <c r="H556" s="42"/>
      <c r="I556" s="42"/>
    </row>
    <row r="557" spans="8:9" x14ac:dyDescent="0.25">
      <c r="H557" s="42"/>
      <c r="I557" s="42"/>
    </row>
    <row r="558" spans="8:9" x14ac:dyDescent="0.25">
      <c r="H558" s="42"/>
      <c r="I558" s="42"/>
    </row>
    <row r="559" spans="8:9" x14ac:dyDescent="0.25">
      <c r="H559" s="42"/>
      <c r="I559" s="42"/>
    </row>
    <row r="560" spans="8:9" x14ac:dyDescent="0.25">
      <c r="H560" s="42"/>
      <c r="I560" s="42"/>
    </row>
    <row r="561" spans="8:9" x14ac:dyDescent="0.25">
      <c r="H561" s="42"/>
      <c r="I561" s="42"/>
    </row>
    <row r="562" spans="8:9" x14ac:dyDescent="0.25">
      <c r="H562" s="42"/>
      <c r="I562" s="42"/>
    </row>
    <row r="563" spans="8:9" x14ac:dyDescent="0.25">
      <c r="H563" s="42"/>
      <c r="I563" s="42"/>
    </row>
    <row r="564" spans="8:9" x14ac:dyDescent="0.25">
      <c r="H564" s="42"/>
      <c r="I564" s="42"/>
    </row>
    <row r="565" spans="8:9" x14ac:dyDescent="0.25">
      <c r="H565" s="42"/>
      <c r="I565" s="42"/>
    </row>
    <row r="566" spans="8:9" x14ac:dyDescent="0.25">
      <c r="H566" s="42"/>
      <c r="I566" s="42"/>
    </row>
    <row r="567" spans="8:9" x14ac:dyDescent="0.25">
      <c r="H567" s="42"/>
      <c r="I567" s="42"/>
    </row>
    <row r="568" spans="8:9" x14ac:dyDescent="0.25">
      <c r="H568" s="42"/>
      <c r="I568" s="42"/>
    </row>
    <row r="569" spans="8:9" x14ac:dyDescent="0.25">
      <c r="H569" s="42"/>
      <c r="I569" s="42"/>
    </row>
    <row r="570" spans="8:9" x14ac:dyDescent="0.25">
      <c r="H570" s="42"/>
      <c r="I570" s="42"/>
    </row>
    <row r="571" spans="8:9" x14ac:dyDescent="0.25">
      <c r="H571" s="42"/>
      <c r="I571" s="42"/>
    </row>
    <row r="572" spans="8:9" x14ac:dyDescent="0.25">
      <c r="H572" s="42"/>
      <c r="I572" s="42"/>
    </row>
    <row r="573" spans="8:9" x14ac:dyDescent="0.25">
      <c r="H573" s="42"/>
      <c r="I573" s="42"/>
    </row>
    <row r="574" spans="8:9" x14ac:dyDescent="0.25">
      <c r="H574" s="42"/>
      <c r="I574" s="42"/>
    </row>
    <row r="575" spans="8:9" x14ac:dyDescent="0.25">
      <c r="H575" s="42"/>
      <c r="I575" s="42"/>
    </row>
    <row r="576" spans="8:9" x14ac:dyDescent="0.25">
      <c r="H576" s="42"/>
      <c r="I576" s="42"/>
    </row>
    <row r="577" spans="8:9" x14ac:dyDescent="0.25">
      <c r="H577" s="42"/>
      <c r="I577" s="42"/>
    </row>
    <row r="578" spans="8:9" x14ac:dyDescent="0.25">
      <c r="H578" s="42"/>
      <c r="I578" s="42"/>
    </row>
    <row r="579" spans="8:9" x14ac:dyDescent="0.25">
      <c r="H579" s="42"/>
      <c r="I579" s="42"/>
    </row>
    <row r="580" spans="8:9" x14ac:dyDescent="0.25">
      <c r="H580" s="42"/>
      <c r="I580" s="42"/>
    </row>
    <row r="581" spans="8:9" x14ac:dyDescent="0.25">
      <c r="H581" s="42"/>
      <c r="I581" s="42"/>
    </row>
    <row r="582" spans="8:9" x14ac:dyDescent="0.25">
      <c r="H582" s="42"/>
      <c r="I582" s="42"/>
    </row>
    <row r="583" spans="8:9" x14ac:dyDescent="0.25">
      <c r="H583" s="42"/>
      <c r="I583" s="42"/>
    </row>
    <row r="584" spans="8:9" x14ac:dyDescent="0.25">
      <c r="H584" s="42"/>
      <c r="I584" s="42"/>
    </row>
    <row r="585" spans="8:9" x14ac:dyDescent="0.25">
      <c r="H585" s="42"/>
      <c r="I585" s="42"/>
    </row>
    <row r="586" spans="8:9" x14ac:dyDescent="0.25">
      <c r="H586" s="42"/>
      <c r="I586" s="42"/>
    </row>
    <row r="587" spans="8:9" x14ac:dyDescent="0.25">
      <c r="H587" s="42"/>
      <c r="I587" s="42"/>
    </row>
    <row r="588" spans="8:9" x14ac:dyDescent="0.25">
      <c r="H588" s="42"/>
      <c r="I588" s="42"/>
    </row>
    <row r="589" spans="8:9" x14ac:dyDescent="0.25">
      <c r="H589" s="42"/>
      <c r="I589" s="42"/>
    </row>
    <row r="590" spans="8:9" x14ac:dyDescent="0.25">
      <c r="H590" s="42"/>
      <c r="I590" s="42"/>
    </row>
    <row r="591" spans="8:9" x14ac:dyDescent="0.25">
      <c r="H591" s="42"/>
      <c r="I591" s="42"/>
    </row>
    <row r="592" spans="8:9" x14ac:dyDescent="0.25">
      <c r="H592" s="42"/>
      <c r="I592" s="42"/>
    </row>
    <row r="593" spans="8:9" x14ac:dyDescent="0.25">
      <c r="H593" s="42"/>
      <c r="I593" s="42"/>
    </row>
    <row r="594" spans="8:9" x14ac:dyDescent="0.25">
      <c r="H594" s="42"/>
      <c r="I594" s="42"/>
    </row>
    <row r="595" spans="8:9" x14ac:dyDescent="0.25">
      <c r="H595" s="42"/>
      <c r="I595" s="42"/>
    </row>
    <row r="596" spans="8:9" x14ac:dyDescent="0.25">
      <c r="H596" s="42"/>
      <c r="I596" s="42"/>
    </row>
    <row r="597" spans="8:9" x14ac:dyDescent="0.25">
      <c r="H597" s="42"/>
      <c r="I597" s="42"/>
    </row>
    <row r="598" spans="8:9" x14ac:dyDescent="0.25">
      <c r="H598" s="42"/>
      <c r="I598" s="42"/>
    </row>
    <row r="599" spans="8:9" x14ac:dyDescent="0.25">
      <c r="H599" s="42"/>
      <c r="I599" s="42"/>
    </row>
    <row r="600" spans="8:9" x14ac:dyDescent="0.25">
      <c r="H600" s="42"/>
      <c r="I600" s="42"/>
    </row>
    <row r="601" spans="8:9" x14ac:dyDescent="0.25">
      <c r="H601" s="42"/>
      <c r="I601" s="42"/>
    </row>
    <row r="602" spans="8:9" x14ac:dyDescent="0.25">
      <c r="H602" s="42"/>
      <c r="I602" s="42"/>
    </row>
    <row r="603" spans="8:9" x14ac:dyDescent="0.25">
      <c r="H603" s="42"/>
      <c r="I603" s="42"/>
    </row>
    <row r="604" spans="8:9" x14ac:dyDescent="0.25">
      <c r="H604" s="42"/>
      <c r="I604" s="42"/>
    </row>
    <row r="605" spans="8:9" x14ac:dyDescent="0.25">
      <c r="H605" s="42"/>
      <c r="I605" s="42"/>
    </row>
    <row r="606" spans="8:9" x14ac:dyDescent="0.25">
      <c r="H606" s="42"/>
      <c r="I606" s="42"/>
    </row>
    <row r="607" spans="8:9" x14ac:dyDescent="0.25">
      <c r="H607" s="42"/>
      <c r="I607" s="42"/>
    </row>
    <row r="608" spans="8:9" x14ac:dyDescent="0.25">
      <c r="H608" s="42"/>
      <c r="I608" s="42"/>
    </row>
    <row r="609" spans="8:9" x14ac:dyDescent="0.25">
      <c r="H609" s="42"/>
      <c r="I609" s="42"/>
    </row>
    <row r="610" spans="8:9" x14ac:dyDescent="0.25">
      <c r="H610" s="42"/>
      <c r="I610" s="42"/>
    </row>
    <row r="611" spans="8:9" x14ac:dyDescent="0.25">
      <c r="H611" s="42"/>
      <c r="I611" s="42"/>
    </row>
    <row r="612" spans="8:9" x14ac:dyDescent="0.25">
      <c r="H612" s="42"/>
      <c r="I612" s="42"/>
    </row>
    <row r="613" spans="8:9" x14ac:dyDescent="0.25">
      <c r="H613" s="42"/>
      <c r="I613" s="42"/>
    </row>
    <row r="614" spans="8:9" x14ac:dyDescent="0.25">
      <c r="H614" s="42"/>
      <c r="I614" s="42"/>
    </row>
    <row r="615" spans="8:9" x14ac:dyDescent="0.25">
      <c r="H615" s="42"/>
      <c r="I615" s="42"/>
    </row>
    <row r="616" spans="8:9" x14ac:dyDescent="0.25">
      <c r="H616" s="42"/>
      <c r="I616" s="42"/>
    </row>
    <row r="617" spans="8:9" x14ac:dyDescent="0.25">
      <c r="H617" s="42"/>
      <c r="I617" s="42"/>
    </row>
    <row r="618" spans="8:9" x14ac:dyDescent="0.25">
      <c r="H618" s="42"/>
      <c r="I618" s="42"/>
    </row>
    <row r="619" spans="8:9" x14ac:dyDescent="0.25">
      <c r="H619" s="42"/>
      <c r="I619" s="42"/>
    </row>
    <row r="620" spans="8:9" x14ac:dyDescent="0.25">
      <c r="H620" s="42"/>
      <c r="I620" s="42"/>
    </row>
    <row r="621" spans="8:9" x14ac:dyDescent="0.25">
      <c r="H621" s="42"/>
      <c r="I621" s="42"/>
    </row>
    <row r="622" spans="8:9" x14ac:dyDescent="0.25">
      <c r="H622" s="42"/>
      <c r="I622" s="42"/>
    </row>
    <row r="623" spans="8:9" x14ac:dyDescent="0.25">
      <c r="H623" s="42"/>
      <c r="I623" s="42"/>
    </row>
    <row r="624" spans="8:9" x14ac:dyDescent="0.25">
      <c r="H624" s="42"/>
      <c r="I624" s="42"/>
    </row>
    <row r="625" spans="8:9" x14ac:dyDescent="0.25">
      <c r="H625" s="42"/>
      <c r="I625" s="42"/>
    </row>
    <row r="626" spans="8:9" x14ac:dyDescent="0.25">
      <c r="H626" s="42"/>
      <c r="I626" s="42"/>
    </row>
    <row r="627" spans="8:9" x14ac:dyDescent="0.25">
      <c r="H627" s="42"/>
      <c r="I627" s="42"/>
    </row>
    <row r="628" spans="8:9" x14ac:dyDescent="0.25">
      <c r="H628" s="42"/>
      <c r="I628" s="42"/>
    </row>
    <row r="629" spans="8:9" x14ac:dyDescent="0.25">
      <c r="H629" s="42"/>
      <c r="I629" s="42"/>
    </row>
    <row r="630" spans="8:9" x14ac:dyDescent="0.25">
      <c r="H630" s="42"/>
      <c r="I630" s="42"/>
    </row>
    <row r="631" spans="8:9" x14ac:dyDescent="0.25">
      <c r="H631" s="42"/>
      <c r="I631" s="42"/>
    </row>
    <row r="632" spans="8:9" x14ac:dyDescent="0.25">
      <c r="H632" s="42"/>
      <c r="I632" s="42"/>
    </row>
    <row r="633" spans="8:9" x14ac:dyDescent="0.25">
      <c r="H633" s="42"/>
      <c r="I633" s="42"/>
    </row>
    <row r="634" spans="8:9" x14ac:dyDescent="0.25">
      <c r="H634" s="42"/>
      <c r="I634" s="42"/>
    </row>
    <row r="635" spans="8:9" x14ac:dyDescent="0.25">
      <c r="H635" s="42"/>
      <c r="I635" s="42"/>
    </row>
    <row r="636" spans="8:9" x14ac:dyDescent="0.25">
      <c r="H636" s="42"/>
      <c r="I636" s="42"/>
    </row>
    <row r="637" spans="8:9" x14ac:dyDescent="0.25">
      <c r="H637" s="42"/>
      <c r="I637" s="42"/>
    </row>
    <row r="638" spans="8:9" x14ac:dyDescent="0.25">
      <c r="H638" s="42"/>
      <c r="I638" s="42"/>
    </row>
    <row r="639" spans="8:9" x14ac:dyDescent="0.25">
      <c r="H639" s="42"/>
      <c r="I639" s="42"/>
    </row>
    <row r="640" spans="8:9" x14ac:dyDescent="0.25">
      <c r="H640" s="42"/>
      <c r="I640" s="42"/>
    </row>
    <row r="641" spans="8:9" x14ac:dyDescent="0.25">
      <c r="H641" s="42"/>
      <c r="I641" s="42"/>
    </row>
    <row r="642" spans="8:9" x14ac:dyDescent="0.25">
      <c r="H642" s="42"/>
      <c r="I642" s="42"/>
    </row>
    <row r="643" spans="8:9" x14ac:dyDescent="0.25">
      <c r="H643" s="42"/>
      <c r="I643" s="42"/>
    </row>
    <row r="644" spans="8:9" x14ac:dyDescent="0.25">
      <c r="H644" s="42"/>
      <c r="I644" s="42"/>
    </row>
    <row r="645" spans="8:9" x14ac:dyDescent="0.25">
      <c r="H645" s="42"/>
      <c r="I645" s="42"/>
    </row>
    <row r="646" spans="8:9" x14ac:dyDescent="0.25">
      <c r="H646" s="42"/>
      <c r="I646" s="42"/>
    </row>
    <row r="647" spans="8:9" x14ac:dyDescent="0.25">
      <c r="H647" s="42"/>
      <c r="I647" s="42"/>
    </row>
    <row r="648" spans="8:9" x14ac:dyDescent="0.25">
      <c r="H648" s="42"/>
      <c r="I648" s="42"/>
    </row>
    <row r="649" spans="8:9" x14ac:dyDescent="0.25">
      <c r="H649" s="42"/>
      <c r="I649" s="42"/>
    </row>
    <row r="650" spans="8:9" x14ac:dyDescent="0.25">
      <c r="H650" s="42"/>
      <c r="I650" s="42"/>
    </row>
    <row r="651" spans="8:9" x14ac:dyDescent="0.25">
      <c r="H651" s="42"/>
      <c r="I651" s="42"/>
    </row>
    <row r="652" spans="8:9" x14ac:dyDescent="0.25">
      <c r="H652" s="42"/>
      <c r="I652" s="42"/>
    </row>
    <row r="653" spans="8:9" x14ac:dyDescent="0.25">
      <c r="H653" s="42"/>
      <c r="I653" s="42"/>
    </row>
    <row r="654" spans="8:9" x14ac:dyDescent="0.25">
      <c r="H654" s="42"/>
      <c r="I654" s="42"/>
    </row>
    <row r="655" spans="8:9" x14ac:dyDescent="0.25">
      <c r="H655" s="42"/>
      <c r="I655" s="42"/>
    </row>
    <row r="656" spans="8:9" x14ac:dyDescent="0.25">
      <c r="H656" s="42"/>
      <c r="I656" s="42"/>
    </row>
    <row r="657" spans="8:9" x14ac:dyDescent="0.25">
      <c r="H657" s="42"/>
      <c r="I657" s="42"/>
    </row>
    <row r="658" spans="8:9" x14ac:dyDescent="0.25">
      <c r="H658" s="42"/>
      <c r="I658" s="42"/>
    </row>
    <row r="659" spans="8:9" x14ac:dyDescent="0.25">
      <c r="H659" s="42"/>
      <c r="I659" s="42"/>
    </row>
    <row r="660" spans="8:9" x14ac:dyDescent="0.25">
      <c r="H660" s="42"/>
      <c r="I660" s="42"/>
    </row>
    <row r="661" spans="8:9" x14ac:dyDescent="0.25">
      <c r="H661" s="42"/>
      <c r="I661" s="42"/>
    </row>
    <row r="662" spans="8:9" x14ac:dyDescent="0.25">
      <c r="H662" s="42"/>
      <c r="I662" s="42"/>
    </row>
    <row r="663" spans="8:9" x14ac:dyDescent="0.25">
      <c r="H663" s="42"/>
      <c r="I663" s="42"/>
    </row>
    <row r="664" spans="8:9" x14ac:dyDescent="0.25">
      <c r="H664" s="42"/>
      <c r="I664" s="42"/>
    </row>
    <row r="665" spans="8:9" x14ac:dyDescent="0.25">
      <c r="H665" s="42"/>
      <c r="I665" s="42"/>
    </row>
    <row r="666" spans="8:9" x14ac:dyDescent="0.25">
      <c r="H666" s="42"/>
      <c r="I666" s="42"/>
    </row>
    <row r="667" spans="8:9" x14ac:dyDescent="0.25">
      <c r="H667" s="42"/>
      <c r="I667" s="42"/>
    </row>
    <row r="668" spans="8:9" x14ac:dyDescent="0.25">
      <c r="H668" s="42"/>
      <c r="I668" s="42"/>
    </row>
    <row r="669" spans="8:9" x14ac:dyDescent="0.25">
      <c r="H669" s="42"/>
      <c r="I669" s="42"/>
    </row>
    <row r="670" spans="8:9" x14ac:dyDescent="0.25">
      <c r="H670" s="42"/>
      <c r="I670" s="42"/>
    </row>
    <row r="671" spans="8:9" x14ac:dyDescent="0.25">
      <c r="H671" s="42"/>
      <c r="I671" s="42"/>
    </row>
    <row r="672" spans="8:9" x14ac:dyDescent="0.25">
      <c r="H672" s="42"/>
      <c r="I672" s="42"/>
    </row>
    <row r="673" spans="8:9" x14ac:dyDescent="0.25">
      <c r="H673" s="42"/>
      <c r="I673" s="42"/>
    </row>
    <row r="674" spans="8:9" x14ac:dyDescent="0.25">
      <c r="H674" s="42"/>
      <c r="I674" s="42"/>
    </row>
    <row r="675" spans="8:9" x14ac:dyDescent="0.25">
      <c r="H675" s="42"/>
      <c r="I675" s="42"/>
    </row>
    <row r="676" spans="8:9" x14ac:dyDescent="0.25">
      <c r="H676" s="42"/>
      <c r="I676" s="42"/>
    </row>
    <row r="677" spans="8:9" x14ac:dyDescent="0.25">
      <c r="H677" s="42"/>
      <c r="I677" s="42"/>
    </row>
    <row r="678" spans="8:9" x14ac:dyDescent="0.25">
      <c r="H678" s="42"/>
      <c r="I678" s="42"/>
    </row>
    <row r="679" spans="8:9" x14ac:dyDescent="0.25">
      <c r="H679" s="42"/>
      <c r="I679" s="42"/>
    </row>
    <row r="680" spans="8:9" x14ac:dyDescent="0.25">
      <c r="H680" s="42"/>
      <c r="I680" s="42"/>
    </row>
    <row r="681" spans="8:9" x14ac:dyDescent="0.25">
      <c r="H681" s="42"/>
      <c r="I681" s="42"/>
    </row>
    <row r="682" spans="8:9" x14ac:dyDescent="0.25">
      <c r="H682" s="42"/>
      <c r="I682" s="42"/>
    </row>
    <row r="683" spans="8:9" x14ac:dyDescent="0.25">
      <c r="H683" s="42"/>
      <c r="I683" s="42"/>
    </row>
    <row r="684" spans="8:9" x14ac:dyDescent="0.25">
      <c r="H684" s="42"/>
      <c r="I684" s="42"/>
    </row>
    <row r="685" spans="8:9" x14ac:dyDescent="0.25">
      <c r="H685" s="42"/>
      <c r="I685" s="42"/>
    </row>
    <row r="686" spans="8:9" x14ac:dyDescent="0.25">
      <c r="H686" s="42"/>
      <c r="I686" s="42"/>
    </row>
    <row r="687" spans="8:9" x14ac:dyDescent="0.25">
      <c r="H687" s="42"/>
      <c r="I687" s="42"/>
    </row>
    <row r="688" spans="8:9" x14ac:dyDescent="0.25">
      <c r="H688" s="42"/>
      <c r="I688" s="42"/>
    </row>
    <row r="689" spans="8:9" x14ac:dyDescent="0.25">
      <c r="H689" s="42"/>
      <c r="I689" s="42"/>
    </row>
    <row r="690" spans="8:9" x14ac:dyDescent="0.25">
      <c r="H690" s="42"/>
      <c r="I690" s="42"/>
    </row>
    <row r="691" spans="8:9" x14ac:dyDescent="0.25">
      <c r="H691" s="42"/>
      <c r="I691" s="42"/>
    </row>
    <row r="692" spans="8:9" x14ac:dyDescent="0.25">
      <c r="H692" s="42"/>
      <c r="I692" s="42"/>
    </row>
    <row r="693" spans="8:9" x14ac:dyDescent="0.25">
      <c r="H693" s="42"/>
      <c r="I693" s="42"/>
    </row>
    <row r="694" spans="8:9" x14ac:dyDescent="0.25">
      <c r="H694" s="42"/>
      <c r="I694" s="42"/>
    </row>
    <row r="695" spans="8:9" x14ac:dyDescent="0.25">
      <c r="H695" s="42"/>
      <c r="I695" s="42"/>
    </row>
    <row r="696" spans="8:9" x14ac:dyDescent="0.25">
      <c r="H696" s="42"/>
      <c r="I696" s="42"/>
    </row>
    <row r="697" spans="8:9" x14ac:dyDescent="0.25">
      <c r="H697" s="42"/>
      <c r="I697" s="42"/>
    </row>
    <row r="698" spans="8:9" x14ac:dyDescent="0.25">
      <c r="H698" s="42"/>
      <c r="I698" s="42"/>
    </row>
    <row r="699" spans="8:9" x14ac:dyDescent="0.25">
      <c r="H699" s="42"/>
      <c r="I699" s="42"/>
    </row>
    <row r="700" spans="8:9" x14ac:dyDescent="0.25">
      <c r="H700" s="42"/>
      <c r="I700" s="42"/>
    </row>
    <row r="701" spans="8:9" x14ac:dyDescent="0.25">
      <c r="H701" s="42"/>
      <c r="I701" s="42"/>
    </row>
    <row r="702" spans="8:9" x14ac:dyDescent="0.25">
      <c r="H702" s="42"/>
      <c r="I702" s="42"/>
    </row>
    <row r="703" spans="8:9" x14ac:dyDescent="0.25">
      <c r="H703" s="42"/>
      <c r="I703" s="42"/>
    </row>
    <row r="704" spans="8:9" x14ac:dyDescent="0.25">
      <c r="H704" s="42"/>
      <c r="I704" s="42"/>
    </row>
    <row r="705" spans="8:9" x14ac:dyDescent="0.25">
      <c r="H705" s="42"/>
      <c r="I705" s="42"/>
    </row>
    <row r="706" spans="8:9" x14ac:dyDescent="0.25">
      <c r="H706" s="42"/>
      <c r="I706" s="42"/>
    </row>
    <row r="707" spans="8:9" x14ac:dyDescent="0.25">
      <c r="H707" s="42"/>
      <c r="I707" s="42"/>
    </row>
    <row r="708" spans="8:9" x14ac:dyDescent="0.25">
      <c r="H708" s="42"/>
      <c r="I708" s="42"/>
    </row>
    <row r="709" spans="8:9" x14ac:dyDescent="0.25">
      <c r="H709" s="42"/>
      <c r="I709" s="42"/>
    </row>
    <row r="710" spans="8:9" x14ac:dyDescent="0.25">
      <c r="H710" s="42"/>
      <c r="I710" s="42"/>
    </row>
    <row r="711" spans="8:9" x14ac:dyDescent="0.25">
      <c r="H711" s="42"/>
      <c r="I711" s="42"/>
    </row>
    <row r="712" spans="8:9" x14ac:dyDescent="0.25">
      <c r="H712" s="42"/>
      <c r="I712" s="42"/>
    </row>
    <row r="713" spans="8:9" x14ac:dyDescent="0.25">
      <c r="H713" s="42"/>
      <c r="I713" s="42"/>
    </row>
    <row r="714" spans="8:9" x14ac:dyDescent="0.25">
      <c r="H714" s="42"/>
      <c r="I714" s="42"/>
    </row>
    <row r="715" spans="8:9" x14ac:dyDescent="0.25">
      <c r="H715" s="42"/>
      <c r="I715" s="42"/>
    </row>
    <row r="716" spans="8:9" x14ac:dyDescent="0.25">
      <c r="H716" s="42"/>
      <c r="I716" s="42"/>
    </row>
    <row r="717" spans="8:9" x14ac:dyDescent="0.25">
      <c r="H717" s="42"/>
      <c r="I717" s="42"/>
    </row>
    <row r="718" spans="8:9" x14ac:dyDescent="0.25">
      <c r="H718" s="42"/>
      <c r="I718" s="42"/>
    </row>
    <row r="719" spans="8:9" x14ac:dyDescent="0.25">
      <c r="H719" s="42"/>
      <c r="I719" s="42"/>
    </row>
    <row r="720" spans="8:9" x14ac:dyDescent="0.25">
      <c r="H720" s="42"/>
      <c r="I720" s="42"/>
    </row>
    <row r="721" spans="8:9" x14ac:dyDescent="0.25">
      <c r="H721" s="42"/>
      <c r="I721" s="42"/>
    </row>
    <row r="722" spans="8:9" x14ac:dyDescent="0.25">
      <c r="H722" s="42"/>
      <c r="I722" s="42"/>
    </row>
    <row r="723" spans="8:9" x14ac:dyDescent="0.25">
      <c r="H723" s="42"/>
      <c r="I723" s="42"/>
    </row>
    <row r="724" spans="8:9" x14ac:dyDescent="0.25">
      <c r="H724" s="42"/>
      <c r="I724" s="42"/>
    </row>
    <row r="725" spans="8:9" x14ac:dyDescent="0.25">
      <c r="H725" s="42"/>
      <c r="I725" s="42"/>
    </row>
    <row r="726" spans="8:9" x14ac:dyDescent="0.25">
      <c r="H726" s="42"/>
      <c r="I726" s="42"/>
    </row>
    <row r="727" spans="8:9" x14ac:dyDescent="0.25">
      <c r="H727" s="42"/>
      <c r="I727" s="42"/>
    </row>
    <row r="728" spans="8:9" x14ac:dyDescent="0.25">
      <c r="H728" s="42"/>
      <c r="I728" s="42"/>
    </row>
    <row r="729" spans="8:9" x14ac:dyDescent="0.25">
      <c r="H729" s="42"/>
      <c r="I729" s="42"/>
    </row>
    <row r="730" spans="8:9" x14ac:dyDescent="0.25">
      <c r="H730" s="42"/>
      <c r="I730" s="42"/>
    </row>
    <row r="731" spans="8:9" x14ac:dyDescent="0.25">
      <c r="H731" s="42"/>
      <c r="I731" s="42"/>
    </row>
    <row r="732" spans="8:9" x14ac:dyDescent="0.25">
      <c r="H732" s="42"/>
      <c r="I732" s="42"/>
    </row>
    <row r="733" spans="8:9" x14ac:dyDescent="0.25">
      <c r="H733" s="42"/>
      <c r="I733" s="42"/>
    </row>
    <row r="734" spans="8:9" x14ac:dyDescent="0.25">
      <c r="H734" s="42"/>
      <c r="I734" s="42"/>
    </row>
    <row r="735" spans="8:9" x14ac:dyDescent="0.25">
      <c r="H735" s="42"/>
      <c r="I735" s="42"/>
    </row>
    <row r="736" spans="8:9" x14ac:dyDescent="0.25">
      <c r="H736" s="42"/>
      <c r="I736" s="42"/>
    </row>
    <row r="737" spans="8:9" x14ac:dyDescent="0.25">
      <c r="H737" s="42"/>
      <c r="I737" s="42"/>
    </row>
    <row r="738" spans="8:9" x14ac:dyDescent="0.25">
      <c r="H738" s="42"/>
      <c r="I738" s="42"/>
    </row>
    <row r="739" spans="8:9" x14ac:dyDescent="0.25">
      <c r="H739" s="42"/>
      <c r="I739" s="42"/>
    </row>
    <row r="740" spans="8:9" x14ac:dyDescent="0.25">
      <c r="H740" s="42"/>
      <c r="I740" s="42"/>
    </row>
    <row r="741" spans="8:9" x14ac:dyDescent="0.25">
      <c r="H741" s="42"/>
      <c r="I741" s="42"/>
    </row>
    <row r="742" spans="8:9" x14ac:dyDescent="0.25">
      <c r="H742" s="42"/>
      <c r="I742" s="42"/>
    </row>
    <row r="743" spans="8:9" x14ac:dyDescent="0.25">
      <c r="H743" s="42"/>
      <c r="I743" s="42"/>
    </row>
    <row r="744" spans="8:9" x14ac:dyDescent="0.25">
      <c r="H744" s="42"/>
      <c r="I744" s="42"/>
    </row>
    <row r="745" spans="8:9" x14ac:dyDescent="0.25">
      <c r="H745" s="42"/>
      <c r="I745" s="42"/>
    </row>
    <row r="746" spans="8:9" x14ac:dyDescent="0.25">
      <c r="H746" s="42"/>
      <c r="I746" s="42"/>
    </row>
    <row r="747" spans="8:9" x14ac:dyDescent="0.25">
      <c r="H747" s="42"/>
      <c r="I747" s="42"/>
    </row>
    <row r="748" spans="8:9" x14ac:dyDescent="0.25">
      <c r="H748" s="42"/>
      <c r="I748" s="42"/>
    </row>
    <row r="749" spans="8:9" x14ac:dyDescent="0.25">
      <c r="H749" s="42"/>
      <c r="I749" s="42"/>
    </row>
    <row r="750" spans="8:9" x14ac:dyDescent="0.25">
      <c r="H750" s="42"/>
      <c r="I750" s="42"/>
    </row>
    <row r="751" spans="8:9" x14ac:dyDescent="0.25">
      <c r="H751" s="42"/>
      <c r="I751" s="42"/>
    </row>
    <row r="752" spans="8:9" x14ac:dyDescent="0.25">
      <c r="H752" s="42"/>
      <c r="I752" s="42"/>
    </row>
    <row r="753" spans="8:9" x14ac:dyDescent="0.25">
      <c r="H753" s="42"/>
      <c r="I753" s="42"/>
    </row>
    <row r="754" spans="8:9" x14ac:dyDescent="0.25">
      <c r="H754" s="42"/>
      <c r="I754" s="42"/>
    </row>
    <row r="755" spans="8:9" x14ac:dyDescent="0.25">
      <c r="H755" s="42"/>
      <c r="I755" s="42"/>
    </row>
    <row r="756" spans="8:9" x14ac:dyDescent="0.25">
      <c r="H756" s="42"/>
      <c r="I756" s="42"/>
    </row>
    <row r="757" spans="8:9" x14ac:dyDescent="0.25">
      <c r="H757" s="42"/>
      <c r="I757" s="42"/>
    </row>
    <row r="758" spans="8:9" x14ac:dyDescent="0.25">
      <c r="H758" s="42"/>
      <c r="I758" s="42"/>
    </row>
    <row r="759" spans="8:9" x14ac:dyDescent="0.25">
      <c r="H759" s="42"/>
      <c r="I759" s="42"/>
    </row>
    <row r="760" spans="8:9" x14ac:dyDescent="0.25">
      <c r="H760" s="42"/>
      <c r="I760" s="42"/>
    </row>
    <row r="761" spans="8:9" x14ac:dyDescent="0.25">
      <c r="H761" s="42"/>
      <c r="I761" s="42"/>
    </row>
    <row r="762" spans="8:9" x14ac:dyDescent="0.25">
      <c r="H762" s="42"/>
      <c r="I762" s="42"/>
    </row>
    <row r="763" spans="8:9" x14ac:dyDescent="0.25">
      <c r="H763" s="42"/>
      <c r="I763" s="42"/>
    </row>
    <row r="764" spans="8:9" x14ac:dyDescent="0.25">
      <c r="H764" s="42"/>
      <c r="I764" s="42"/>
    </row>
    <row r="765" spans="8:9" x14ac:dyDescent="0.25">
      <c r="H765" s="42"/>
      <c r="I765" s="42"/>
    </row>
    <row r="766" spans="8:9" x14ac:dyDescent="0.25">
      <c r="H766" s="42"/>
      <c r="I766" s="42"/>
    </row>
    <row r="767" spans="8:9" x14ac:dyDescent="0.25">
      <c r="H767" s="42"/>
      <c r="I767" s="42"/>
    </row>
    <row r="768" spans="8:9" x14ac:dyDescent="0.25">
      <c r="H768" s="42"/>
      <c r="I768" s="42"/>
    </row>
    <row r="769" spans="8:9" x14ac:dyDescent="0.25">
      <c r="H769" s="42"/>
      <c r="I769" s="42"/>
    </row>
    <row r="770" spans="8:9" x14ac:dyDescent="0.25">
      <c r="H770" s="42"/>
      <c r="I770" s="42"/>
    </row>
    <row r="771" spans="8:9" x14ac:dyDescent="0.25">
      <c r="H771" s="42"/>
      <c r="I771" s="42"/>
    </row>
    <row r="772" spans="8:9" x14ac:dyDescent="0.25">
      <c r="H772" s="42"/>
      <c r="I772" s="42"/>
    </row>
    <row r="773" spans="8:9" x14ac:dyDescent="0.25">
      <c r="H773" s="42"/>
      <c r="I773" s="42"/>
    </row>
    <row r="774" spans="8:9" x14ac:dyDescent="0.25">
      <c r="H774" s="42"/>
      <c r="I774" s="42"/>
    </row>
    <row r="775" spans="8:9" x14ac:dyDescent="0.25">
      <c r="H775" s="42"/>
      <c r="I775" s="42"/>
    </row>
    <row r="776" spans="8:9" x14ac:dyDescent="0.25">
      <c r="H776" s="42"/>
      <c r="I776" s="42"/>
    </row>
    <row r="777" spans="8:9" x14ac:dyDescent="0.25">
      <c r="H777" s="42"/>
      <c r="I777" s="42"/>
    </row>
    <row r="778" spans="8:9" x14ac:dyDescent="0.25">
      <c r="H778" s="42"/>
      <c r="I778" s="42"/>
    </row>
    <row r="779" spans="8:9" x14ac:dyDescent="0.25">
      <c r="H779" s="42"/>
      <c r="I779" s="42"/>
    </row>
    <row r="780" spans="8:9" x14ac:dyDescent="0.25">
      <c r="H780" s="42"/>
      <c r="I780" s="42"/>
    </row>
    <row r="781" spans="8:9" x14ac:dyDescent="0.25">
      <c r="H781" s="42"/>
      <c r="I781" s="42"/>
    </row>
    <row r="782" spans="8:9" x14ac:dyDescent="0.25">
      <c r="H782" s="42"/>
      <c r="I782" s="42"/>
    </row>
    <row r="783" spans="8:9" x14ac:dyDescent="0.25">
      <c r="H783" s="42"/>
      <c r="I783" s="42"/>
    </row>
    <row r="784" spans="8:9" x14ac:dyDescent="0.25">
      <c r="H784" s="42"/>
      <c r="I784" s="42"/>
    </row>
    <row r="785" spans="8:9" x14ac:dyDescent="0.25">
      <c r="H785" s="42"/>
      <c r="I785" s="42"/>
    </row>
    <row r="786" spans="8:9" x14ac:dyDescent="0.25">
      <c r="H786" s="42"/>
      <c r="I786" s="42"/>
    </row>
    <row r="787" spans="8:9" x14ac:dyDescent="0.25">
      <c r="H787" s="42"/>
      <c r="I787" s="42"/>
    </row>
    <row r="788" spans="8:9" x14ac:dyDescent="0.25">
      <c r="H788" s="42"/>
      <c r="I788" s="42"/>
    </row>
    <row r="789" spans="8:9" x14ac:dyDescent="0.25">
      <c r="H789" s="42"/>
      <c r="I789" s="42"/>
    </row>
    <row r="790" spans="8:9" x14ac:dyDescent="0.25">
      <c r="H790" s="42"/>
      <c r="I790" s="42"/>
    </row>
    <row r="791" spans="8:9" x14ac:dyDescent="0.25">
      <c r="H791" s="42"/>
      <c r="I791" s="42"/>
    </row>
    <row r="792" spans="8:9" x14ac:dyDescent="0.25">
      <c r="H792" s="42"/>
      <c r="I792" s="42"/>
    </row>
    <row r="793" spans="8:9" x14ac:dyDescent="0.25">
      <c r="H793" s="42"/>
      <c r="I793" s="42"/>
    </row>
    <row r="794" spans="8:9" x14ac:dyDescent="0.25">
      <c r="H794" s="42"/>
      <c r="I794" s="42"/>
    </row>
    <row r="795" spans="8:9" x14ac:dyDescent="0.25">
      <c r="H795" s="42"/>
      <c r="I795" s="42"/>
    </row>
    <row r="796" spans="8:9" x14ac:dyDescent="0.25">
      <c r="H796" s="42"/>
      <c r="I796" s="42"/>
    </row>
    <row r="797" spans="8:9" x14ac:dyDescent="0.25">
      <c r="H797" s="42"/>
      <c r="I797" s="42"/>
    </row>
    <row r="798" spans="8:9" x14ac:dyDescent="0.25">
      <c r="H798" s="42"/>
      <c r="I798" s="42"/>
    </row>
    <row r="799" spans="8:9" x14ac:dyDescent="0.25">
      <c r="H799" s="42"/>
      <c r="I799" s="42"/>
    </row>
    <row r="800" spans="8:9" x14ac:dyDescent="0.25">
      <c r="H800" s="42"/>
      <c r="I800" s="42"/>
    </row>
    <row r="801" spans="8:9" x14ac:dyDescent="0.25">
      <c r="H801" s="42"/>
      <c r="I801" s="42"/>
    </row>
    <row r="802" spans="8:9" x14ac:dyDescent="0.25">
      <c r="H802" s="42"/>
      <c r="I802" s="42"/>
    </row>
    <row r="803" spans="8:9" x14ac:dyDescent="0.25">
      <c r="H803" s="42"/>
      <c r="I803" s="42"/>
    </row>
    <row r="804" spans="8:9" x14ac:dyDescent="0.25">
      <c r="H804" s="42"/>
      <c r="I804" s="42"/>
    </row>
    <row r="805" spans="8:9" x14ac:dyDescent="0.25">
      <c r="H805" s="42"/>
      <c r="I805" s="42"/>
    </row>
    <row r="806" spans="8:9" x14ac:dyDescent="0.25">
      <c r="H806" s="42"/>
      <c r="I806" s="42"/>
    </row>
    <row r="807" spans="8:9" x14ac:dyDescent="0.25">
      <c r="H807" s="42"/>
      <c r="I807" s="42"/>
    </row>
    <row r="808" spans="8:9" x14ac:dyDescent="0.25">
      <c r="H808" s="42"/>
      <c r="I808" s="42"/>
    </row>
    <row r="809" spans="8:9" x14ac:dyDescent="0.25">
      <c r="H809" s="42"/>
      <c r="I809" s="42"/>
    </row>
    <row r="810" spans="8:9" x14ac:dyDescent="0.25">
      <c r="H810" s="42"/>
      <c r="I810" s="42"/>
    </row>
    <row r="811" spans="8:9" x14ac:dyDescent="0.25">
      <c r="H811" s="42"/>
      <c r="I811" s="42"/>
    </row>
    <row r="812" spans="8:9" x14ac:dyDescent="0.25">
      <c r="H812" s="42"/>
      <c r="I812" s="42"/>
    </row>
    <row r="813" spans="8:9" x14ac:dyDescent="0.25">
      <c r="H813" s="42"/>
      <c r="I813" s="42"/>
    </row>
    <row r="814" spans="8:9" x14ac:dyDescent="0.25">
      <c r="H814" s="42"/>
      <c r="I814" s="42"/>
    </row>
    <row r="815" spans="8:9" x14ac:dyDescent="0.25">
      <c r="H815" s="42"/>
      <c r="I815" s="42"/>
    </row>
    <row r="816" spans="8:9" x14ac:dyDescent="0.25">
      <c r="H816" s="42"/>
      <c r="I816" s="42"/>
    </row>
    <row r="817" spans="8:9" x14ac:dyDescent="0.25">
      <c r="H817" s="42"/>
      <c r="I817" s="42"/>
    </row>
    <row r="818" spans="8:9" x14ac:dyDescent="0.25">
      <c r="H818" s="42"/>
      <c r="I818" s="42"/>
    </row>
    <row r="819" spans="8:9" x14ac:dyDescent="0.25">
      <c r="H819" s="42"/>
      <c r="I819" s="42"/>
    </row>
    <row r="820" spans="8:9" x14ac:dyDescent="0.25">
      <c r="H820" s="42"/>
      <c r="I820" s="42"/>
    </row>
    <row r="821" spans="8:9" x14ac:dyDescent="0.25">
      <c r="H821" s="42"/>
      <c r="I821" s="42"/>
    </row>
    <row r="822" spans="8:9" x14ac:dyDescent="0.25">
      <c r="H822" s="42"/>
      <c r="I822" s="42"/>
    </row>
    <row r="823" spans="8:9" x14ac:dyDescent="0.25">
      <c r="H823" s="42"/>
      <c r="I823" s="42"/>
    </row>
    <row r="824" spans="8:9" x14ac:dyDescent="0.25">
      <c r="H824" s="42"/>
      <c r="I824" s="42"/>
    </row>
    <row r="825" spans="8:9" x14ac:dyDescent="0.25">
      <c r="H825" s="42"/>
      <c r="I825" s="42"/>
    </row>
    <row r="826" spans="8:9" x14ac:dyDescent="0.25">
      <c r="H826" s="42"/>
      <c r="I826" s="42"/>
    </row>
    <row r="827" spans="8:9" x14ac:dyDescent="0.25">
      <c r="H827" s="42"/>
      <c r="I827" s="42"/>
    </row>
    <row r="828" spans="8:9" x14ac:dyDescent="0.25">
      <c r="H828" s="42"/>
      <c r="I828" s="42"/>
    </row>
    <row r="829" spans="8:9" x14ac:dyDescent="0.25">
      <c r="H829" s="42"/>
      <c r="I829" s="42"/>
    </row>
    <row r="830" spans="8:9" x14ac:dyDescent="0.25">
      <c r="H830" s="42"/>
      <c r="I830" s="42"/>
    </row>
    <row r="831" spans="8:9" x14ac:dyDescent="0.25">
      <c r="H831" s="42"/>
      <c r="I831" s="42"/>
    </row>
    <row r="832" spans="8:9" x14ac:dyDescent="0.25">
      <c r="H832" s="42"/>
      <c r="I832" s="42"/>
    </row>
    <row r="833" spans="8:9" x14ac:dyDescent="0.25">
      <c r="H833" s="42"/>
      <c r="I833" s="42"/>
    </row>
    <row r="834" spans="8:9" x14ac:dyDescent="0.25">
      <c r="H834" s="42"/>
      <c r="I834" s="42"/>
    </row>
    <row r="835" spans="8:9" x14ac:dyDescent="0.25">
      <c r="H835" s="42"/>
      <c r="I835" s="42"/>
    </row>
    <row r="836" spans="8:9" x14ac:dyDescent="0.25">
      <c r="H836" s="42"/>
      <c r="I836" s="42"/>
    </row>
    <row r="837" spans="8:9" x14ac:dyDescent="0.25">
      <c r="H837" s="42"/>
      <c r="I837" s="42"/>
    </row>
    <row r="838" spans="8:9" x14ac:dyDescent="0.25">
      <c r="H838" s="42"/>
      <c r="I838" s="42"/>
    </row>
    <row r="839" spans="8:9" x14ac:dyDescent="0.25">
      <c r="H839" s="42"/>
      <c r="I839" s="42"/>
    </row>
    <row r="840" spans="8:9" x14ac:dyDescent="0.25">
      <c r="H840" s="42"/>
      <c r="I840" s="42"/>
    </row>
    <row r="841" spans="8:9" x14ac:dyDescent="0.25">
      <c r="H841" s="42"/>
      <c r="I841" s="42"/>
    </row>
    <row r="842" spans="8:9" x14ac:dyDescent="0.25">
      <c r="H842" s="42"/>
      <c r="I842" s="42"/>
    </row>
    <row r="843" spans="8:9" x14ac:dyDescent="0.25">
      <c r="H843" s="42"/>
      <c r="I843" s="42"/>
    </row>
    <row r="844" spans="8:9" x14ac:dyDescent="0.25">
      <c r="H844" s="42"/>
      <c r="I844" s="42"/>
    </row>
    <row r="845" spans="8:9" x14ac:dyDescent="0.25">
      <c r="H845" s="42"/>
      <c r="I845" s="42"/>
    </row>
    <row r="846" spans="8:9" x14ac:dyDescent="0.25">
      <c r="H846" s="42"/>
      <c r="I846" s="42"/>
    </row>
    <row r="847" spans="8:9" x14ac:dyDescent="0.25">
      <c r="H847" s="42"/>
      <c r="I847" s="42"/>
    </row>
    <row r="848" spans="8:9" x14ac:dyDescent="0.25">
      <c r="H848" s="42"/>
      <c r="I848" s="42"/>
    </row>
    <row r="849" spans="8:9" x14ac:dyDescent="0.25">
      <c r="H849" s="42"/>
      <c r="I849" s="42"/>
    </row>
    <row r="850" spans="8:9" x14ac:dyDescent="0.25">
      <c r="H850" s="42"/>
      <c r="I850" s="42"/>
    </row>
    <row r="851" spans="8:9" x14ac:dyDescent="0.25">
      <c r="H851" s="42"/>
      <c r="I851" s="42"/>
    </row>
    <row r="852" spans="8:9" x14ac:dyDescent="0.25">
      <c r="H852" s="42"/>
      <c r="I852" s="42"/>
    </row>
    <row r="853" spans="8:9" x14ac:dyDescent="0.25">
      <c r="H853" s="42"/>
      <c r="I853" s="42"/>
    </row>
    <row r="854" spans="8:9" x14ac:dyDescent="0.25">
      <c r="H854" s="42"/>
      <c r="I854" s="42"/>
    </row>
    <row r="855" spans="8:9" x14ac:dyDescent="0.25">
      <c r="H855" s="42"/>
      <c r="I855" s="42"/>
    </row>
    <row r="856" spans="8:9" x14ac:dyDescent="0.25">
      <c r="H856" s="42"/>
      <c r="I856" s="42"/>
    </row>
    <row r="857" spans="8:9" x14ac:dyDescent="0.25">
      <c r="H857" s="42"/>
      <c r="I857" s="42"/>
    </row>
    <row r="858" spans="8:9" x14ac:dyDescent="0.25">
      <c r="H858" s="42"/>
      <c r="I858" s="42"/>
    </row>
    <row r="859" spans="8:9" x14ac:dyDescent="0.25">
      <c r="H859" s="42"/>
      <c r="I859" s="42"/>
    </row>
    <row r="860" spans="8:9" x14ac:dyDescent="0.25">
      <c r="H860" s="42"/>
      <c r="I860" s="42"/>
    </row>
    <row r="861" spans="8:9" x14ac:dyDescent="0.25">
      <c r="H861" s="42"/>
      <c r="I861" s="42"/>
    </row>
    <row r="862" spans="8:9" x14ac:dyDescent="0.25">
      <c r="H862" s="42"/>
      <c r="I862" s="42"/>
    </row>
    <row r="863" spans="8:9" x14ac:dyDescent="0.25">
      <c r="H863" s="42"/>
      <c r="I863" s="42"/>
    </row>
    <row r="864" spans="8:9" x14ac:dyDescent="0.25">
      <c r="H864" s="42"/>
      <c r="I864" s="42"/>
    </row>
    <row r="865" spans="8:9" x14ac:dyDescent="0.25">
      <c r="H865" s="42"/>
      <c r="I865" s="42"/>
    </row>
    <row r="866" spans="8:9" x14ac:dyDescent="0.25">
      <c r="H866" s="42"/>
      <c r="I866" s="42"/>
    </row>
    <row r="867" spans="8:9" x14ac:dyDescent="0.25">
      <c r="H867" s="42"/>
      <c r="I867" s="42"/>
    </row>
    <row r="868" spans="8:9" x14ac:dyDescent="0.25">
      <c r="H868" s="42"/>
      <c r="I868" s="42"/>
    </row>
    <row r="869" spans="8:9" x14ac:dyDescent="0.25">
      <c r="H869" s="42"/>
      <c r="I869" s="42"/>
    </row>
    <row r="870" spans="8:9" x14ac:dyDescent="0.25">
      <c r="H870" s="42"/>
      <c r="I870" s="42"/>
    </row>
    <row r="871" spans="8:9" x14ac:dyDescent="0.25">
      <c r="H871" s="42"/>
      <c r="I871" s="42"/>
    </row>
    <row r="872" spans="8:9" x14ac:dyDescent="0.25">
      <c r="H872" s="42"/>
      <c r="I872" s="42"/>
    </row>
    <row r="873" spans="8:9" x14ac:dyDescent="0.25">
      <c r="H873" s="42"/>
      <c r="I873" s="42"/>
    </row>
    <row r="874" spans="8:9" x14ac:dyDescent="0.25">
      <c r="H874" s="42"/>
      <c r="I874" s="42"/>
    </row>
    <row r="875" spans="8:9" x14ac:dyDescent="0.25">
      <c r="H875" s="42"/>
      <c r="I875" s="42"/>
    </row>
    <row r="876" spans="8:9" x14ac:dyDescent="0.25">
      <c r="H876" s="42"/>
      <c r="I876" s="42"/>
    </row>
    <row r="877" spans="8:9" x14ac:dyDescent="0.25">
      <c r="H877" s="42"/>
      <c r="I877" s="42"/>
    </row>
    <row r="878" spans="8:9" x14ac:dyDescent="0.25">
      <c r="H878" s="42"/>
      <c r="I878" s="42"/>
    </row>
    <row r="879" spans="8:9" x14ac:dyDescent="0.25">
      <c r="H879" s="42"/>
      <c r="I879" s="42"/>
    </row>
    <row r="880" spans="8:9" x14ac:dyDescent="0.25">
      <c r="H880" s="42"/>
      <c r="I880" s="42"/>
    </row>
    <row r="881" spans="8:9" x14ac:dyDescent="0.25">
      <c r="H881" s="42"/>
      <c r="I881" s="42"/>
    </row>
    <row r="882" spans="8:9" x14ac:dyDescent="0.25">
      <c r="H882" s="42"/>
      <c r="I882" s="42"/>
    </row>
    <row r="883" spans="8:9" x14ac:dyDescent="0.25">
      <c r="H883" s="42"/>
      <c r="I883" s="42"/>
    </row>
    <row r="884" spans="8:9" x14ac:dyDescent="0.25">
      <c r="H884" s="42"/>
      <c r="I884" s="42"/>
    </row>
    <row r="885" spans="8:9" x14ac:dyDescent="0.25">
      <c r="H885" s="42"/>
      <c r="I885" s="42"/>
    </row>
    <row r="886" spans="8:9" x14ac:dyDescent="0.25">
      <c r="H886" s="42"/>
      <c r="I886" s="42"/>
    </row>
    <row r="887" spans="8:9" x14ac:dyDescent="0.25">
      <c r="H887" s="42"/>
      <c r="I887" s="42"/>
    </row>
    <row r="888" spans="8:9" x14ac:dyDescent="0.25">
      <c r="H888" s="42"/>
      <c r="I888" s="42"/>
    </row>
    <row r="889" spans="8:9" x14ac:dyDescent="0.25">
      <c r="H889" s="42"/>
      <c r="I889" s="42"/>
    </row>
    <row r="890" spans="8:9" x14ac:dyDescent="0.25">
      <c r="H890" s="42"/>
      <c r="I890" s="42"/>
    </row>
    <row r="891" spans="8:9" x14ac:dyDescent="0.25">
      <c r="H891" s="42"/>
      <c r="I891" s="42"/>
    </row>
    <row r="892" spans="8:9" x14ac:dyDescent="0.25">
      <c r="H892" s="42"/>
      <c r="I892" s="42"/>
    </row>
    <row r="893" spans="8:9" x14ac:dyDescent="0.25">
      <c r="H893" s="42"/>
      <c r="I893" s="42"/>
    </row>
    <row r="894" spans="8:9" x14ac:dyDescent="0.25">
      <c r="H894" s="42"/>
      <c r="I894" s="42"/>
    </row>
    <row r="895" spans="8:9" x14ac:dyDescent="0.25">
      <c r="H895" s="42"/>
      <c r="I895" s="42"/>
    </row>
    <row r="896" spans="8:9" x14ac:dyDescent="0.25">
      <c r="H896" s="42"/>
      <c r="I896" s="42"/>
    </row>
    <row r="897" spans="8:9" x14ac:dyDescent="0.25">
      <c r="H897" s="42"/>
      <c r="I897" s="42"/>
    </row>
    <row r="898" spans="8:9" x14ac:dyDescent="0.25">
      <c r="H898" s="42"/>
      <c r="I898" s="42"/>
    </row>
    <row r="899" spans="8:9" x14ac:dyDescent="0.25">
      <c r="H899" s="42"/>
      <c r="I899" s="42"/>
    </row>
    <row r="900" spans="8:9" x14ac:dyDescent="0.25">
      <c r="H900" s="42"/>
      <c r="I900" s="42"/>
    </row>
    <row r="901" spans="8:9" x14ac:dyDescent="0.25">
      <c r="H901" s="42"/>
      <c r="I901" s="42"/>
    </row>
    <row r="902" spans="8:9" x14ac:dyDescent="0.25">
      <c r="H902" s="42"/>
      <c r="I902" s="42"/>
    </row>
    <row r="903" spans="8:9" x14ac:dyDescent="0.25">
      <c r="H903" s="42"/>
      <c r="I903" s="42"/>
    </row>
    <row r="904" spans="8:9" x14ac:dyDescent="0.25">
      <c r="H904" s="42"/>
      <c r="I904" s="42"/>
    </row>
    <row r="905" spans="8:9" x14ac:dyDescent="0.25">
      <c r="H905" s="42"/>
      <c r="I905" s="42"/>
    </row>
    <row r="906" spans="8:9" x14ac:dyDescent="0.25">
      <c r="H906" s="42"/>
      <c r="I906" s="42"/>
    </row>
    <row r="907" spans="8:9" x14ac:dyDescent="0.25">
      <c r="H907" s="42"/>
      <c r="I907" s="42"/>
    </row>
    <row r="908" spans="8:9" x14ac:dyDescent="0.25">
      <c r="H908" s="42"/>
      <c r="I908" s="42"/>
    </row>
    <row r="909" spans="8:9" x14ac:dyDescent="0.25">
      <c r="H909" s="42"/>
      <c r="I909" s="42"/>
    </row>
    <row r="910" spans="8:9" x14ac:dyDescent="0.25">
      <c r="H910" s="42"/>
      <c r="I910" s="42"/>
    </row>
    <row r="911" spans="8:9" x14ac:dyDescent="0.25">
      <c r="H911" s="42"/>
      <c r="I911" s="42"/>
    </row>
    <row r="912" spans="8:9" x14ac:dyDescent="0.25">
      <c r="H912" s="42"/>
      <c r="I912" s="42"/>
    </row>
    <row r="913" spans="8:9" x14ac:dyDescent="0.25">
      <c r="H913" s="42"/>
      <c r="I913" s="42"/>
    </row>
    <row r="914" spans="8:9" x14ac:dyDescent="0.25">
      <c r="H914" s="42"/>
      <c r="I914" s="42"/>
    </row>
    <row r="915" spans="8:9" x14ac:dyDescent="0.25">
      <c r="H915" s="42"/>
      <c r="I915" s="42"/>
    </row>
    <row r="916" spans="8:9" x14ac:dyDescent="0.25">
      <c r="H916" s="42"/>
      <c r="I916" s="42"/>
    </row>
    <row r="917" spans="8:9" x14ac:dyDescent="0.25">
      <c r="H917" s="42"/>
      <c r="I917" s="42"/>
    </row>
    <row r="918" spans="8:9" x14ac:dyDescent="0.25">
      <c r="H918" s="42"/>
      <c r="I918" s="42"/>
    </row>
    <row r="919" spans="8:9" x14ac:dyDescent="0.25">
      <c r="H919" s="42"/>
      <c r="I919" s="42"/>
    </row>
    <row r="920" spans="8:9" x14ac:dyDescent="0.25">
      <c r="H920" s="42"/>
      <c r="I920" s="42"/>
    </row>
    <row r="921" spans="8:9" x14ac:dyDescent="0.25">
      <c r="H921" s="42"/>
      <c r="I921" s="42"/>
    </row>
    <row r="922" spans="8:9" x14ac:dyDescent="0.25">
      <c r="H922" s="42"/>
      <c r="I922" s="42"/>
    </row>
    <row r="923" spans="8:9" x14ac:dyDescent="0.25">
      <c r="H923" s="42"/>
      <c r="I923" s="42"/>
    </row>
    <row r="924" spans="8:9" x14ac:dyDescent="0.25">
      <c r="H924" s="42"/>
      <c r="I924" s="42"/>
    </row>
    <row r="925" spans="8:9" x14ac:dyDescent="0.25">
      <c r="H925" s="42"/>
      <c r="I925" s="42"/>
    </row>
    <row r="926" spans="8:9" x14ac:dyDescent="0.25">
      <c r="H926" s="42"/>
      <c r="I926" s="42"/>
    </row>
    <row r="927" spans="8:9" x14ac:dyDescent="0.25">
      <c r="H927" s="42"/>
      <c r="I927" s="42"/>
    </row>
    <row r="928" spans="8:9" x14ac:dyDescent="0.25">
      <c r="H928" s="42"/>
      <c r="I928" s="42"/>
    </row>
    <row r="929" spans="8:9" x14ac:dyDescent="0.25">
      <c r="H929" s="42"/>
      <c r="I929" s="42"/>
    </row>
    <row r="930" spans="8:9" x14ac:dyDescent="0.25">
      <c r="H930" s="42"/>
      <c r="I930" s="42"/>
    </row>
    <row r="931" spans="8:9" x14ac:dyDescent="0.25">
      <c r="H931" s="42"/>
      <c r="I931" s="42"/>
    </row>
    <row r="932" spans="8:9" x14ac:dyDescent="0.25">
      <c r="H932" s="42"/>
      <c r="I932" s="42"/>
    </row>
    <row r="933" spans="8:9" x14ac:dyDescent="0.25">
      <c r="H933" s="42"/>
      <c r="I933" s="42"/>
    </row>
    <row r="934" spans="8:9" x14ac:dyDescent="0.25">
      <c r="H934" s="42"/>
      <c r="I934" s="42"/>
    </row>
    <row r="935" spans="8:9" x14ac:dyDescent="0.25">
      <c r="H935" s="42"/>
      <c r="I935" s="42"/>
    </row>
    <row r="936" spans="8:9" x14ac:dyDescent="0.25">
      <c r="H936" s="42"/>
      <c r="I936" s="42"/>
    </row>
    <row r="937" spans="8:9" x14ac:dyDescent="0.25">
      <c r="H937" s="42"/>
      <c r="I937" s="42"/>
    </row>
    <row r="938" spans="8:9" x14ac:dyDescent="0.25">
      <c r="H938" s="42"/>
      <c r="I938" s="42"/>
    </row>
    <row r="939" spans="8:9" x14ac:dyDescent="0.25">
      <c r="H939" s="42"/>
      <c r="I939" s="42"/>
    </row>
    <row r="940" spans="8:9" x14ac:dyDescent="0.25">
      <c r="H940" s="42"/>
      <c r="I940" s="42"/>
    </row>
    <row r="941" spans="8:9" x14ac:dyDescent="0.25">
      <c r="H941" s="42"/>
      <c r="I941" s="42"/>
    </row>
    <row r="942" spans="8:9" x14ac:dyDescent="0.25">
      <c r="H942" s="42"/>
      <c r="I942" s="42"/>
    </row>
    <row r="943" spans="8:9" x14ac:dyDescent="0.25">
      <c r="H943" s="42"/>
      <c r="I943" s="42"/>
    </row>
    <row r="944" spans="8:9" x14ac:dyDescent="0.25">
      <c r="H944" s="42"/>
      <c r="I944" s="42"/>
    </row>
    <row r="945" spans="8:9" x14ac:dyDescent="0.25">
      <c r="H945" s="42"/>
      <c r="I945" s="42"/>
    </row>
    <row r="946" spans="8:9" x14ac:dyDescent="0.25">
      <c r="H946" s="42"/>
      <c r="I946" s="42"/>
    </row>
    <row r="947" spans="8:9" x14ac:dyDescent="0.25">
      <c r="H947" s="42"/>
      <c r="I947" s="42"/>
    </row>
    <row r="948" spans="8:9" x14ac:dyDescent="0.25">
      <c r="H948" s="42"/>
      <c r="I948" s="42"/>
    </row>
    <row r="949" spans="8:9" x14ac:dyDescent="0.25">
      <c r="H949" s="42"/>
      <c r="I949" s="42"/>
    </row>
    <row r="950" spans="8:9" x14ac:dyDescent="0.25">
      <c r="H950" s="42"/>
      <c r="I950" s="42"/>
    </row>
    <row r="951" spans="8:9" x14ac:dyDescent="0.25">
      <c r="H951" s="42"/>
      <c r="I951" s="42"/>
    </row>
    <row r="952" spans="8:9" x14ac:dyDescent="0.25">
      <c r="H952" s="42"/>
      <c r="I952" s="42"/>
    </row>
    <row r="953" spans="8:9" x14ac:dyDescent="0.25">
      <c r="H953" s="42"/>
      <c r="I953" s="42"/>
    </row>
    <row r="954" spans="8:9" x14ac:dyDescent="0.25">
      <c r="H954" s="42"/>
      <c r="I954" s="42"/>
    </row>
    <row r="955" spans="8:9" x14ac:dyDescent="0.25">
      <c r="H955" s="42"/>
      <c r="I955" s="42"/>
    </row>
    <row r="956" spans="8:9" x14ac:dyDescent="0.25">
      <c r="H956" s="42"/>
      <c r="I956" s="42"/>
    </row>
    <row r="957" spans="8:9" x14ac:dyDescent="0.25">
      <c r="H957" s="42"/>
      <c r="I957" s="42"/>
    </row>
    <row r="958" spans="8:9" x14ac:dyDescent="0.25">
      <c r="H958" s="42"/>
      <c r="I958" s="42"/>
    </row>
    <row r="959" spans="8:9" x14ac:dyDescent="0.25">
      <c r="H959" s="42"/>
      <c r="I959" s="42"/>
    </row>
    <row r="960" spans="8:9" x14ac:dyDescent="0.25">
      <c r="H960" s="42"/>
      <c r="I960" s="42"/>
    </row>
    <row r="961" spans="8:9" x14ac:dyDescent="0.25">
      <c r="H961" s="42"/>
      <c r="I961" s="42"/>
    </row>
    <row r="962" spans="8:9" x14ac:dyDescent="0.25">
      <c r="H962" s="42"/>
      <c r="I962" s="42"/>
    </row>
    <row r="963" spans="8:9" x14ac:dyDescent="0.25">
      <c r="H963" s="42"/>
      <c r="I963" s="42"/>
    </row>
    <row r="964" spans="8:9" x14ac:dyDescent="0.25">
      <c r="H964" s="42"/>
      <c r="I964" s="42"/>
    </row>
    <row r="965" spans="8:9" x14ac:dyDescent="0.25">
      <c r="H965" s="42"/>
      <c r="I965" s="42"/>
    </row>
    <row r="966" spans="8:9" x14ac:dyDescent="0.25">
      <c r="H966" s="42"/>
      <c r="I966" s="42"/>
    </row>
    <row r="967" spans="8:9" x14ac:dyDescent="0.25">
      <c r="H967" s="42"/>
      <c r="I967" s="42"/>
    </row>
    <row r="968" spans="8:9" x14ac:dyDescent="0.25">
      <c r="H968" s="42"/>
      <c r="I968" s="42"/>
    </row>
    <row r="969" spans="8:9" x14ac:dyDescent="0.25">
      <c r="H969" s="42"/>
      <c r="I969" s="42"/>
    </row>
    <row r="970" spans="8:9" x14ac:dyDescent="0.25">
      <c r="H970" s="42"/>
      <c r="I970" s="42"/>
    </row>
    <row r="971" spans="8:9" x14ac:dyDescent="0.25">
      <c r="H971" s="42"/>
      <c r="I971" s="42"/>
    </row>
    <row r="972" spans="8:9" x14ac:dyDescent="0.25">
      <c r="H972" s="42"/>
      <c r="I972" s="42"/>
    </row>
    <row r="973" spans="8:9" x14ac:dyDescent="0.25">
      <c r="H973" s="42"/>
      <c r="I973" s="42"/>
    </row>
    <row r="974" spans="8:9" x14ac:dyDescent="0.25">
      <c r="H974" s="42"/>
      <c r="I974" s="42"/>
    </row>
    <row r="975" spans="8:9" x14ac:dyDescent="0.25">
      <c r="H975" s="42"/>
      <c r="I975" s="42"/>
    </row>
    <row r="976" spans="8:9" x14ac:dyDescent="0.25">
      <c r="H976" s="42"/>
      <c r="I976" s="42"/>
    </row>
    <row r="977" spans="8:9" x14ac:dyDescent="0.25">
      <c r="H977" s="42"/>
      <c r="I977" s="42"/>
    </row>
    <row r="978" spans="8:9" x14ac:dyDescent="0.25">
      <c r="H978" s="42"/>
      <c r="I978" s="42"/>
    </row>
    <row r="979" spans="8:9" x14ac:dyDescent="0.25">
      <c r="H979" s="42"/>
      <c r="I979" s="42"/>
    </row>
    <row r="980" spans="8:9" x14ac:dyDescent="0.25">
      <c r="H980" s="42"/>
      <c r="I980" s="42"/>
    </row>
    <row r="981" spans="8:9" x14ac:dyDescent="0.25">
      <c r="H981" s="42"/>
      <c r="I981" s="42"/>
    </row>
    <row r="982" spans="8:9" x14ac:dyDescent="0.25">
      <c r="H982" s="42"/>
      <c r="I982" s="42"/>
    </row>
    <row r="983" spans="8:9" x14ac:dyDescent="0.25">
      <c r="H983" s="42"/>
      <c r="I983" s="42"/>
    </row>
    <row r="984" spans="8:9" x14ac:dyDescent="0.25">
      <c r="H984" s="42"/>
      <c r="I984" s="42"/>
    </row>
    <row r="985" spans="8:9" x14ac:dyDescent="0.25">
      <c r="H985" s="42"/>
      <c r="I985" s="42"/>
    </row>
    <row r="986" spans="8:9" x14ac:dyDescent="0.25">
      <c r="H986" s="42"/>
      <c r="I986" s="42"/>
    </row>
    <row r="987" spans="8:9" x14ac:dyDescent="0.25">
      <c r="H987" s="42"/>
      <c r="I987" s="42"/>
    </row>
    <row r="988" spans="8:9" x14ac:dyDescent="0.25">
      <c r="H988" s="42"/>
      <c r="I988" s="42"/>
    </row>
    <row r="989" spans="8:9" x14ac:dyDescent="0.25">
      <c r="H989" s="42"/>
      <c r="I989" s="42"/>
    </row>
    <row r="990" spans="8:9" x14ac:dyDescent="0.25">
      <c r="H990" s="42"/>
      <c r="I990" s="42"/>
    </row>
    <row r="991" spans="8:9" x14ac:dyDescent="0.25">
      <c r="H991" s="42"/>
      <c r="I991" s="42"/>
    </row>
    <row r="992" spans="8:9" x14ac:dyDescent="0.25">
      <c r="H992" s="42"/>
      <c r="I992" s="42"/>
    </row>
    <row r="993" spans="8:9" x14ac:dyDescent="0.25">
      <c r="H993" s="42"/>
      <c r="I993" s="42"/>
    </row>
    <row r="994" spans="8:9" x14ac:dyDescent="0.25">
      <c r="H994" s="42"/>
      <c r="I994" s="42"/>
    </row>
    <row r="995" spans="8:9" x14ac:dyDescent="0.25">
      <c r="H995" s="42"/>
      <c r="I995" s="42"/>
    </row>
    <row r="996" spans="8:9" x14ac:dyDescent="0.25">
      <c r="H996" s="42"/>
      <c r="I996" s="42"/>
    </row>
    <row r="997" spans="8:9" x14ac:dyDescent="0.25">
      <c r="H997" s="42"/>
      <c r="I997" s="42"/>
    </row>
    <row r="998" spans="8:9" x14ac:dyDescent="0.25">
      <c r="H998" s="42"/>
      <c r="I998" s="42"/>
    </row>
    <row r="999" spans="8:9" x14ac:dyDescent="0.25">
      <c r="H999" s="42"/>
      <c r="I999" s="42"/>
    </row>
    <row r="1000" spans="8:9" x14ac:dyDescent="0.25">
      <c r="H1000" s="42"/>
      <c r="I1000" s="42"/>
    </row>
  </sheetData>
  <mergeCells count="2">
    <mergeCell ref="A1:F1"/>
    <mergeCell ref="A2:F2"/>
  </mergeCells>
  <conditionalFormatting sqref="D11:D18 D20:D22">
    <cfRule type="cellIs" dxfId="4" priority="4" operator="between">
      <formula>3000000000</formula>
      <formula>4000000000</formula>
    </cfRule>
    <cfRule type="cellIs" dxfId="3" priority="5" operator="greaterThan">
      <formula>4000000000</formula>
    </cfRule>
  </conditionalFormatting>
  <conditionalFormatting sqref="C11:C22">
    <cfRule type="cellIs" dxfId="2" priority="3" operator="greaterThan">
      <formula>1999999</formula>
    </cfRule>
  </conditionalFormatting>
  <conditionalFormatting sqref="D19">
    <cfRule type="cellIs" dxfId="1" priority="1" operator="between">
      <formula>3000000000</formula>
      <formula>4000000000</formula>
    </cfRule>
    <cfRule type="cellIs" dxfId="0" priority="2" operator="greaterThan">
      <formula>4000000000</formula>
    </cfRule>
  </conditionalFormatting>
  <printOptions horizontalCentered="1" verticalCentered="1"/>
  <pageMargins left="0.1" right="0.1" top="0.75" bottom="0.75" header="0" footer="0"/>
  <pageSetup paperSize="5" scale="73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FE983-E110-4A5F-807C-C4C4BFBE170E}">
  <sheetPr>
    <tabColor rgb="FFFFC000"/>
  </sheetPr>
  <dimension ref="A2:K24"/>
  <sheetViews>
    <sheetView zoomScale="80" zoomScaleNormal="80" workbookViewId="0">
      <selection activeCell="I4" sqref="A4:I6"/>
    </sheetView>
  </sheetViews>
  <sheetFormatPr defaultRowHeight="14.25" x14ac:dyDescent="0.2"/>
  <cols>
    <col min="1" max="1" width="9.140625" style="7"/>
    <col min="2" max="2" width="31.42578125" style="7" customWidth="1"/>
    <col min="3" max="3" width="20.28515625" style="7" bestFit="1" customWidth="1"/>
    <col min="4" max="4" width="34.140625" style="7" bestFit="1" customWidth="1"/>
    <col min="5" max="5" width="25.140625" style="7" bestFit="1" customWidth="1"/>
    <col min="6" max="6" width="17" style="7" bestFit="1" customWidth="1"/>
    <col min="7" max="8" width="21.28515625" style="7" customWidth="1"/>
    <col min="9" max="9" width="12.42578125" style="7" customWidth="1"/>
    <col min="10" max="10" width="18.28515625" style="7" customWidth="1"/>
    <col min="11" max="16384" width="9.140625" style="7"/>
  </cols>
  <sheetData>
    <row r="2" spans="1:11" ht="15" customHeight="1" x14ac:dyDescent="0.2">
      <c r="B2" s="141" t="s">
        <v>58</v>
      </c>
      <c r="C2" s="141" t="s">
        <v>62</v>
      </c>
      <c r="D2" s="141" t="s">
        <v>92</v>
      </c>
      <c r="E2" s="141" t="s">
        <v>91</v>
      </c>
      <c r="F2" s="139" t="s">
        <v>60</v>
      </c>
      <c r="G2" s="139" t="s">
        <v>201</v>
      </c>
      <c r="H2" s="139" t="s">
        <v>202</v>
      </c>
      <c r="I2" s="139" t="s">
        <v>203</v>
      </c>
      <c r="J2" s="139" t="s">
        <v>204</v>
      </c>
    </row>
    <row r="3" spans="1:11" x14ac:dyDescent="0.2">
      <c r="B3" s="142"/>
      <c r="C3" s="142"/>
      <c r="D3" s="142"/>
      <c r="E3" s="142"/>
      <c r="F3" s="140"/>
      <c r="G3" s="140"/>
      <c r="H3" s="140"/>
      <c r="I3" s="140"/>
      <c r="J3" s="140"/>
    </row>
    <row r="4" spans="1:11" x14ac:dyDescent="0.2">
      <c r="A4" s="75"/>
      <c r="B4" s="71"/>
      <c r="C4" s="72"/>
      <c r="D4" s="71"/>
      <c r="E4" s="4"/>
      <c r="F4" s="73"/>
      <c r="G4" s="74"/>
      <c r="H4" s="64"/>
      <c r="I4" s="74"/>
      <c r="J4" s="74">
        <f>H4-I4</f>
        <v>0</v>
      </c>
    </row>
    <row r="5" spans="1:11" x14ac:dyDescent="0.2">
      <c r="A5" s="75"/>
      <c r="B5" s="4"/>
      <c r="C5" s="5"/>
      <c r="D5" s="4"/>
      <c r="E5" s="4"/>
      <c r="F5" s="45"/>
      <c r="G5" s="64"/>
      <c r="H5" s="64"/>
      <c r="I5" s="74"/>
      <c r="J5" s="74">
        <f t="shared" ref="J5:J7" si="0">H5-I5</f>
        <v>0</v>
      </c>
    </row>
    <row r="6" spans="1:11" x14ac:dyDescent="0.2">
      <c r="A6" s="75"/>
      <c r="B6" s="4"/>
      <c r="C6" s="5"/>
      <c r="D6" s="4"/>
      <c r="E6" s="4"/>
      <c r="F6" s="45"/>
      <c r="G6" s="64"/>
      <c r="H6" s="64"/>
      <c r="I6" s="74"/>
      <c r="J6" s="74">
        <f>H6-I6</f>
        <v>0</v>
      </c>
    </row>
    <row r="7" spans="1:11" x14ac:dyDescent="0.2">
      <c r="A7" s="75"/>
      <c r="B7" s="4"/>
      <c r="C7" s="5"/>
      <c r="D7" s="4"/>
      <c r="E7" s="4"/>
      <c r="F7" s="45"/>
      <c r="G7" s="64"/>
      <c r="H7" s="64"/>
      <c r="I7" s="64"/>
      <c r="J7" s="74">
        <f t="shared" si="0"/>
        <v>0</v>
      </c>
    </row>
    <row r="8" spans="1:11" x14ac:dyDescent="0.2">
      <c r="B8" s="4"/>
      <c r="C8" s="5"/>
      <c r="D8" s="4"/>
      <c r="E8" s="4"/>
      <c r="F8" s="45"/>
      <c r="G8" s="64"/>
      <c r="H8" s="64"/>
      <c r="I8" s="64"/>
      <c r="J8" s="64"/>
      <c r="K8" s="75"/>
    </row>
    <row r="9" spans="1:11" x14ac:dyDescent="0.2">
      <c r="B9" s="71"/>
      <c r="C9" s="72"/>
      <c r="D9" s="71"/>
      <c r="E9" s="71"/>
      <c r="F9" s="73"/>
      <c r="G9" s="74"/>
      <c r="H9" s="74"/>
      <c r="I9" s="74"/>
      <c r="J9" s="74"/>
      <c r="K9" s="75"/>
    </row>
    <row r="10" spans="1:11" x14ac:dyDescent="0.2">
      <c r="B10" s="71"/>
      <c r="C10" s="72"/>
      <c r="D10" s="71"/>
      <c r="E10" s="71"/>
      <c r="F10" s="73"/>
      <c r="G10" s="74"/>
      <c r="H10" s="74"/>
      <c r="I10" s="74"/>
      <c r="J10" s="74"/>
    </row>
    <row r="11" spans="1:11" x14ac:dyDescent="0.2">
      <c r="B11" s="4"/>
      <c r="C11" s="5"/>
      <c r="D11" s="4"/>
      <c r="E11" s="4"/>
      <c r="F11" s="45"/>
      <c r="G11" s="64"/>
      <c r="H11" s="64"/>
      <c r="I11" s="64"/>
      <c r="J11" s="64"/>
    </row>
    <row r="12" spans="1:11" x14ac:dyDescent="0.2">
      <c r="B12" s="71"/>
      <c r="C12" s="72"/>
      <c r="D12" s="71"/>
      <c r="E12" s="71"/>
      <c r="F12" s="73"/>
      <c r="G12" s="74"/>
      <c r="H12" s="74"/>
      <c r="I12" s="74"/>
      <c r="J12" s="74"/>
      <c r="K12" s="75"/>
    </row>
    <row r="13" spans="1:11" x14ac:dyDescent="0.2">
      <c r="B13" s="71"/>
      <c r="C13" s="72"/>
      <c r="D13" s="71"/>
      <c r="E13" s="71"/>
      <c r="F13" s="73"/>
      <c r="G13" s="74"/>
      <c r="H13" s="74"/>
      <c r="I13" s="74"/>
      <c r="J13" s="74"/>
    </row>
    <row r="14" spans="1:11" x14ac:dyDescent="0.2">
      <c r="J14" s="65">
        <f>SUM(J4:J13)</f>
        <v>0</v>
      </c>
    </row>
    <row r="17" spans="2:11" ht="15" x14ac:dyDescent="0.25">
      <c r="B17" s="9" t="s">
        <v>226</v>
      </c>
      <c r="E17" s="7">
        <v>1000</v>
      </c>
    </row>
    <row r="18" spans="2:11" ht="15" x14ac:dyDescent="0.25">
      <c r="B18" s="66" t="s">
        <v>227</v>
      </c>
      <c r="C18" s="66" t="s">
        <v>228</v>
      </c>
      <c r="D18" s="66" t="s">
        <v>229</v>
      </c>
      <c r="E18" s="66" t="s">
        <v>230</v>
      </c>
      <c r="F18" s="66" t="s">
        <v>231</v>
      </c>
      <c r="G18" s="66" t="s">
        <v>232</v>
      </c>
      <c r="H18" s="66" t="s">
        <v>233</v>
      </c>
      <c r="I18" s="66" t="s">
        <v>234</v>
      </c>
      <c r="J18" s="66" t="s">
        <v>235</v>
      </c>
    </row>
    <row r="19" spans="2:11" x14ac:dyDescent="0.2">
      <c r="B19" s="67"/>
      <c r="C19" s="67"/>
      <c r="D19" s="67"/>
      <c r="E19" s="68"/>
      <c r="F19" s="69"/>
      <c r="G19" s="68"/>
      <c r="H19" s="67" t="s">
        <v>236</v>
      </c>
      <c r="I19" s="67">
        <v>0</v>
      </c>
      <c r="J19" s="68"/>
      <c r="K19" s="75"/>
    </row>
    <row r="20" spans="2:11" x14ac:dyDescent="0.2">
      <c r="B20" s="67"/>
      <c r="C20" s="67"/>
      <c r="D20" s="67"/>
      <c r="E20" s="68"/>
      <c r="F20" s="69"/>
      <c r="G20" s="68"/>
      <c r="H20" s="67"/>
      <c r="I20" s="67"/>
      <c r="J20" s="68"/>
      <c r="K20" s="75"/>
    </row>
    <row r="21" spans="2:11" x14ac:dyDescent="0.2">
      <c r="B21" s="67"/>
      <c r="C21" s="67"/>
      <c r="D21" s="67"/>
      <c r="E21" s="68"/>
      <c r="F21" s="69"/>
      <c r="G21" s="68"/>
      <c r="H21" s="67"/>
      <c r="I21" s="67"/>
      <c r="J21" s="68"/>
      <c r="K21" s="75"/>
    </row>
    <row r="22" spans="2:11" x14ac:dyDescent="0.2">
      <c r="B22" s="67"/>
      <c r="C22" s="67"/>
      <c r="D22" s="67"/>
      <c r="E22" s="68"/>
      <c r="F22" s="69"/>
      <c r="G22" s="68"/>
      <c r="H22" s="67"/>
      <c r="I22" s="67"/>
      <c r="J22" s="68"/>
      <c r="K22" s="75"/>
    </row>
    <row r="23" spans="2:11" x14ac:dyDescent="0.2">
      <c r="B23" s="67"/>
      <c r="C23" s="67"/>
      <c r="D23" s="67"/>
      <c r="E23" s="68"/>
      <c r="F23" s="69"/>
      <c r="G23" s="68"/>
      <c r="H23" s="67"/>
      <c r="I23" s="67"/>
      <c r="J23" s="68"/>
      <c r="K23" s="75"/>
    </row>
    <row r="24" spans="2:11" x14ac:dyDescent="0.2">
      <c r="J24" s="65">
        <f>SUM(J19:J23)</f>
        <v>0</v>
      </c>
    </row>
  </sheetData>
  <mergeCells count="9">
    <mergeCell ref="G2:G3"/>
    <mergeCell ref="H2:H3"/>
    <mergeCell ref="I2:I3"/>
    <mergeCell ref="J2:J3"/>
    <mergeCell ref="B2:B3"/>
    <mergeCell ref="C2:C3"/>
    <mergeCell ref="D2:D3"/>
    <mergeCell ref="E2:E3"/>
    <mergeCell ref="F2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KAS</vt:lpstr>
      <vt:lpstr>PIUTANG</vt:lpstr>
      <vt:lpstr>INVEST</vt:lpstr>
      <vt:lpstr>HARTA BERGERAK</vt:lpstr>
      <vt:lpstr>HARTA TIDAK BERGERAK</vt:lpstr>
      <vt:lpstr>HARTA LAINNYA</vt:lpstr>
      <vt:lpstr>HUTANG</vt:lpstr>
      <vt:lpstr>RECAP</vt:lpstr>
      <vt:lpstr>OMSET</vt:lpstr>
      <vt:lpstr>BUNGA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Weli</cp:lastModifiedBy>
  <cp:lastPrinted>2026-01-01T08:30:53Z</cp:lastPrinted>
  <dcterms:created xsi:type="dcterms:W3CDTF">2025-12-22T02:19:20Z</dcterms:created>
  <dcterms:modified xsi:type="dcterms:W3CDTF">2026-03-01T16:08:24Z</dcterms:modified>
</cp:coreProperties>
</file>