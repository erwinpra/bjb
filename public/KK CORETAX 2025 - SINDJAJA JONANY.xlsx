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rwinpranata/Downloads/"/>
    </mc:Choice>
  </mc:AlternateContent>
  <xr:revisionPtr revIDLastSave="0" documentId="13_ncr:1_{9EF9162F-6F5D-1641-A4A9-94B5AE7A792A}" xr6:coauthVersionLast="47" xr6:coauthVersionMax="47" xr10:uidLastSave="{00000000-0000-0000-0000-000000000000}"/>
  <bookViews>
    <workbookView xWindow="0" yWindow="740" windowWidth="30240" windowHeight="18900" tabRatio="921" activeTab="4" xr2:uid="{B4F61332-C885-43F2-A1AE-33F4180405DC}"/>
  </bookViews>
  <sheets>
    <sheet name="data cadangan" sheetId="27" state="hidden" r:id="rId1"/>
    <sheet name="1770 (2)" sheetId="28" r:id="rId2"/>
    <sheet name="Sheet2" sheetId="29" r:id="rId3"/>
    <sheet name="KAS" sheetId="2" r:id="rId4"/>
    <sheet name="INVEST" sheetId="5" r:id="rId5"/>
    <sheet name="PIUTANG" sheetId="8" r:id="rId6"/>
    <sheet name="HARTA BERGERAK" sheetId="7" r:id="rId7"/>
    <sheet name="HARTA TIDAK BERGERAK" sheetId="9" r:id="rId8"/>
    <sheet name="HIT 2024" sheetId="26" state="hidden" r:id="rId9"/>
    <sheet name="HARTA LAINNYA" sheetId="10" r:id="rId10"/>
    <sheet name="HUTANG" sheetId="18" r:id="rId11"/>
    <sheet name="OMSET" sheetId="24" r:id="rId12"/>
    <sheet name="PPN" sheetId="23" state="hidden" r:id="rId13"/>
    <sheet name="BUPOT" sheetId="25" r:id="rId14"/>
    <sheet name="BUNGA" sheetId="15" r:id="rId15"/>
    <sheet name="RECAP" sheetId="11" r:id="rId16"/>
    <sheet name="INVEST (2)" sheetId="30" r:id="rId17"/>
    <sheet name="Sheet3" sheetId="32" r:id="rId18"/>
  </sheets>
  <definedNames>
    <definedName name="_xlnm._FilterDatabase" localSheetId="14" hidden="1">BUNGA!$A$42:$P$42</definedName>
    <definedName name="_xlnm._FilterDatabase" localSheetId="13" hidden="1">BUPOT!#REF!</definedName>
    <definedName name="_xlnm._FilterDatabase" localSheetId="6" hidden="1">'HARTA BERGERAK'!$A$7:$U$11</definedName>
    <definedName name="_xlnm._FilterDatabase" localSheetId="9" hidden="1">'HARTA LAINNYA'!$A$7:$Q$55</definedName>
    <definedName name="_xlnm._FilterDatabase" localSheetId="7" hidden="1">'HARTA TIDAK BERGERAK'!$A$7:$U$55</definedName>
    <definedName name="_xlnm._FilterDatabase" localSheetId="8" hidden="1">'HIT 2024'!$A$1:$BZ$69</definedName>
    <definedName name="_xlnm._FilterDatabase" localSheetId="10" hidden="1">HUTANG!$A$7:$S$55</definedName>
    <definedName name="_xlnm._FilterDatabase" localSheetId="4" hidden="1">INVEST!$A$6:$T$215</definedName>
    <definedName name="_xlnm._FilterDatabase" localSheetId="16" hidden="1">'INVEST (2)'!#REF!</definedName>
    <definedName name="_xlnm._FilterDatabase" localSheetId="3" hidden="1">KAS!$A$7:$V$7</definedName>
    <definedName name="_xlnm._FilterDatabase" localSheetId="5" hidden="1">PIUTANG!$A$7:$T$55</definedName>
    <definedName name="_xlnm.Print_Area" localSheetId="3">KAS!$A$1:$V$21</definedName>
    <definedName name="_xlnm.Print_Area" localSheetId="11">OMSET!$A$1:$G$23</definedName>
  </definedNames>
  <calcPr calcId="191029"/>
  <pivotCaches>
    <pivotCache cacheId="1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9" i="5" l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10" i="2" l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C41" i="11" l="1"/>
  <c r="C42" i="11" l="1"/>
  <c r="B11" i="7"/>
  <c r="B10" i="7"/>
  <c r="B9" i="7"/>
  <c r="B8" i="7"/>
  <c r="I15" i="15"/>
  <c r="H15" i="15"/>
  <c r="J14" i="15"/>
  <c r="J13" i="15"/>
  <c r="J12" i="15"/>
  <c r="J11" i="15"/>
  <c r="J10" i="15"/>
  <c r="J9" i="15"/>
  <c r="J8" i="15"/>
  <c r="J7" i="15"/>
  <c r="J6" i="15"/>
  <c r="J5" i="15"/>
  <c r="O75" i="11" l="1"/>
  <c r="P75" i="11" s="1"/>
  <c r="O74" i="11"/>
  <c r="P74" i="11" s="1"/>
  <c r="O73" i="11"/>
  <c r="P73" i="11" s="1"/>
  <c r="O72" i="11"/>
  <c r="P72" i="11" s="1"/>
  <c r="O71" i="11"/>
  <c r="P71" i="11" s="1"/>
  <c r="O70" i="11"/>
  <c r="P70" i="11" s="1"/>
  <c r="O69" i="11"/>
  <c r="P69" i="11" s="1"/>
  <c r="O68" i="11"/>
  <c r="P68" i="11" s="1"/>
  <c r="O67" i="11"/>
  <c r="P67" i="11" s="1"/>
  <c r="O66" i="11"/>
  <c r="P66" i="11" s="1"/>
  <c r="O65" i="11"/>
  <c r="P65" i="11" s="1"/>
  <c r="O64" i="11"/>
  <c r="P64" i="11" s="1"/>
  <c r="O63" i="11"/>
  <c r="P63" i="11" s="1"/>
  <c r="O62" i="11"/>
  <c r="P62" i="11" s="1"/>
  <c r="P76" i="11" l="1"/>
  <c r="E35" i="11" s="1"/>
  <c r="O76" i="11"/>
  <c r="B100" i="2"/>
  <c r="B99" i="2"/>
  <c r="B98" i="2"/>
  <c r="B97" i="2"/>
  <c r="B96" i="2"/>
  <c r="B95" i="2"/>
  <c r="B94" i="2"/>
  <c r="B93" i="2"/>
  <c r="B92" i="2"/>
  <c r="B91" i="2"/>
  <c r="D35" i="11" l="1"/>
  <c r="C35" i="11" s="1"/>
  <c r="B215" i="5" l="1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A16" i="9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E29" i="11"/>
  <c r="D29" i="11"/>
  <c r="C17" i="11"/>
  <c r="E36" i="11" s="1"/>
  <c r="R98" i="11"/>
  <c r="Q98" i="11"/>
  <c r="O98" i="11"/>
  <c r="O99" i="11" s="1"/>
  <c r="M98" i="11"/>
  <c r="N74" i="11"/>
  <c r="M74" i="11"/>
  <c r="L49" i="11"/>
  <c r="J49" i="11"/>
  <c r="I50" i="11"/>
  <c r="J50" i="11"/>
  <c r="K50" i="11"/>
  <c r="L50" i="11"/>
  <c r="P98" i="11"/>
  <c r="N98" i="11"/>
  <c r="O5" i="30"/>
  <c r="P5" i="30"/>
  <c r="Q5" i="30"/>
  <c r="R5" i="30"/>
  <c r="S5" i="30"/>
  <c r="B7" i="30"/>
  <c r="M7" i="30"/>
  <c r="K7" i="30" s="1"/>
  <c r="A8" i="30"/>
  <c r="A9" i="30" s="1"/>
  <c r="A10" i="30" s="1"/>
  <c r="A11" i="30" s="1"/>
  <c r="A12" i="30" s="1"/>
  <c r="A13" i="30" s="1"/>
  <c r="A14" i="30" s="1"/>
  <c r="A15" i="30" s="1"/>
  <c r="A16" i="30" s="1"/>
  <c r="B8" i="30"/>
  <c r="M8" i="30"/>
  <c r="K8" i="30" s="1"/>
  <c r="B9" i="30"/>
  <c r="M9" i="30"/>
  <c r="K9" i="30" s="1"/>
  <c r="B10" i="30"/>
  <c r="M10" i="30"/>
  <c r="K10" i="30" s="1"/>
  <c r="B11" i="30"/>
  <c r="M11" i="30"/>
  <c r="K11" i="30" s="1"/>
  <c r="B12" i="30"/>
  <c r="M12" i="30"/>
  <c r="K12" i="30" s="1"/>
  <c r="B13" i="30"/>
  <c r="I13" i="30"/>
  <c r="M13" i="30"/>
  <c r="K13" i="30" s="1"/>
  <c r="B14" i="30"/>
  <c r="I14" i="30"/>
  <c r="M14" i="30"/>
  <c r="K14" i="30" s="1"/>
  <c r="B15" i="30"/>
  <c r="B16" i="30"/>
  <c r="I16" i="30"/>
  <c r="M16" i="30"/>
  <c r="K16" i="30" s="1"/>
  <c r="B17" i="30"/>
  <c r="B18" i="30"/>
  <c r="M18" i="30"/>
  <c r="K18" i="30" s="1"/>
  <c r="B19" i="30"/>
  <c r="M19" i="30"/>
  <c r="K19" i="30" s="1"/>
  <c r="B20" i="30"/>
  <c r="M20" i="30"/>
  <c r="K20" i="30" s="1"/>
  <c r="B21" i="30"/>
  <c r="M21" i="30"/>
  <c r="K21" i="30" s="1"/>
  <c r="B22" i="30"/>
  <c r="M22" i="30"/>
  <c r="K22" i="30" s="1"/>
  <c r="B23" i="30"/>
  <c r="M23" i="30"/>
  <c r="K23" i="30" s="1"/>
  <c r="B24" i="30"/>
  <c r="M24" i="30"/>
  <c r="K24" i="30" s="1"/>
  <c r="B25" i="30"/>
  <c r="M25" i="30"/>
  <c r="K25" i="30" s="1"/>
  <c r="B26" i="30"/>
  <c r="M26" i="30"/>
  <c r="K26" i="30" s="1"/>
  <c r="B27" i="30"/>
  <c r="B28" i="30"/>
  <c r="M28" i="30"/>
  <c r="K28" i="30" s="1"/>
  <c r="I28" i="30" s="1"/>
  <c r="B29" i="30"/>
  <c r="M29" i="30"/>
  <c r="K29" i="30" s="1"/>
  <c r="I29" i="30" s="1"/>
  <c r="B30" i="30"/>
  <c r="M30" i="30"/>
  <c r="K30" i="30" s="1"/>
  <c r="I30" i="30" s="1"/>
  <c r="B31" i="30"/>
  <c r="M31" i="30"/>
  <c r="K31" i="30" s="1"/>
  <c r="I31" i="30" s="1"/>
  <c r="B32" i="30"/>
  <c r="M32" i="30"/>
  <c r="K32" i="30" s="1"/>
  <c r="I32" i="30" s="1"/>
  <c r="B33" i="30"/>
  <c r="M33" i="30"/>
  <c r="K33" i="30" s="1"/>
  <c r="I33" i="30" s="1"/>
  <c r="B34" i="30"/>
  <c r="M34" i="30"/>
  <c r="K34" i="30" s="1"/>
  <c r="I34" i="30" s="1"/>
  <c r="B35" i="30"/>
  <c r="M35" i="30"/>
  <c r="K35" i="30" s="1"/>
  <c r="I35" i="30" s="1"/>
  <c r="B36" i="30"/>
  <c r="M36" i="30"/>
  <c r="K36" i="30" s="1"/>
  <c r="I36" i="30" s="1"/>
  <c r="B37" i="30"/>
  <c r="M37" i="30"/>
  <c r="K37" i="30" s="1"/>
  <c r="I37" i="30" s="1"/>
  <c r="B38" i="30"/>
  <c r="M38" i="30"/>
  <c r="K38" i="30" s="1"/>
  <c r="I38" i="30" s="1"/>
  <c r="B39" i="30"/>
  <c r="B40" i="30"/>
  <c r="M40" i="30"/>
  <c r="K40" i="30" s="1"/>
  <c r="I40" i="30" s="1"/>
  <c r="B41" i="30"/>
  <c r="B42" i="30"/>
  <c r="B43" i="30"/>
  <c r="B44" i="30"/>
  <c r="M44" i="30"/>
  <c r="K44" i="30" s="1"/>
  <c r="I44" i="30" s="1"/>
  <c r="B45" i="30"/>
  <c r="M45" i="30"/>
  <c r="K45" i="30" s="1"/>
  <c r="I45" i="30" s="1"/>
  <c r="B46" i="30"/>
  <c r="M46" i="30"/>
  <c r="K46" i="30" s="1"/>
  <c r="I46" i="30" s="1"/>
  <c r="B47" i="30"/>
  <c r="M47" i="30"/>
  <c r="K47" i="30" s="1"/>
  <c r="I47" i="30" s="1"/>
  <c r="B48" i="30"/>
  <c r="M48" i="30"/>
  <c r="K48" i="30" s="1"/>
  <c r="I48" i="30" s="1"/>
  <c r="B49" i="30"/>
  <c r="M49" i="30"/>
  <c r="K49" i="30" s="1"/>
  <c r="I49" i="30" s="1"/>
  <c r="B50" i="30"/>
  <c r="B51" i="30"/>
  <c r="B52" i="30"/>
  <c r="B53" i="30"/>
  <c r="B54" i="30"/>
  <c r="B55" i="30"/>
  <c r="B56" i="30"/>
  <c r="B57" i="30"/>
  <c r="M57" i="30"/>
  <c r="K57" i="30" s="1"/>
  <c r="I57" i="30" s="1"/>
  <c r="B58" i="30"/>
  <c r="M58" i="30"/>
  <c r="K58" i="30" s="1"/>
  <c r="I58" i="30" s="1"/>
  <c r="B59" i="30"/>
  <c r="M59" i="30"/>
  <c r="K59" i="30" s="1"/>
  <c r="I59" i="30" s="1"/>
  <c r="B60" i="30"/>
  <c r="M60" i="30"/>
  <c r="K60" i="30" s="1"/>
  <c r="I60" i="30" s="1"/>
  <c r="B61" i="30"/>
  <c r="M61" i="30"/>
  <c r="K61" i="30" s="1"/>
  <c r="I61" i="30" s="1"/>
  <c r="B62" i="30"/>
  <c r="B63" i="30"/>
  <c r="B64" i="30"/>
  <c r="B65" i="30"/>
  <c r="M65" i="30"/>
  <c r="K65" i="30" s="1"/>
  <c r="I65" i="30" s="1"/>
  <c r="B66" i="30"/>
  <c r="M66" i="30"/>
  <c r="K66" i="30" s="1"/>
  <c r="I66" i="30" s="1"/>
  <c r="B67" i="30"/>
  <c r="B68" i="30"/>
  <c r="B69" i="30"/>
  <c r="B70" i="30"/>
  <c r="B71" i="30"/>
  <c r="M71" i="30"/>
  <c r="K71" i="30" s="1"/>
  <c r="I71" i="30" s="1"/>
  <c r="B72" i="30"/>
  <c r="K72" i="30"/>
  <c r="I72" i="30" s="1"/>
  <c r="M72" i="30"/>
  <c r="B73" i="30"/>
  <c r="M73" i="30"/>
  <c r="K73" i="30" s="1"/>
  <c r="I73" i="30" s="1"/>
  <c r="B74" i="30"/>
  <c r="M74" i="30"/>
  <c r="K74" i="30" s="1"/>
  <c r="I74" i="30" s="1"/>
  <c r="B75" i="30"/>
  <c r="M75" i="30"/>
  <c r="K75" i="30" s="1"/>
  <c r="I75" i="30" s="1"/>
  <c r="B76" i="30"/>
  <c r="M76" i="30"/>
  <c r="K76" i="30" s="1"/>
  <c r="I76" i="30" s="1"/>
  <c r="B77" i="30"/>
  <c r="M77" i="30"/>
  <c r="K77" i="30" s="1"/>
  <c r="I77" i="30" s="1"/>
  <c r="B78" i="30"/>
  <c r="M78" i="30"/>
  <c r="K78" i="30" s="1"/>
  <c r="I78" i="30" s="1"/>
  <c r="B79" i="30"/>
  <c r="M79" i="30"/>
  <c r="K79" i="30" s="1"/>
  <c r="I79" i="30" s="1"/>
  <c r="B80" i="30"/>
  <c r="M80" i="30"/>
  <c r="K80" i="30" s="1"/>
  <c r="I80" i="30" s="1"/>
  <c r="B81" i="30"/>
  <c r="B82" i="30"/>
  <c r="M82" i="30"/>
  <c r="K82" i="30" s="1"/>
  <c r="I82" i="30" s="1"/>
  <c r="B83" i="30"/>
  <c r="M83" i="30"/>
  <c r="K83" i="30" s="1"/>
  <c r="I83" i="30" s="1"/>
  <c r="B84" i="30"/>
  <c r="B85" i="30"/>
  <c r="M85" i="30"/>
  <c r="K85" i="30" s="1"/>
  <c r="I85" i="30" s="1"/>
  <c r="B86" i="30"/>
  <c r="M86" i="30"/>
  <c r="K86" i="30" s="1"/>
  <c r="I86" i="30" s="1"/>
  <c r="B87" i="30"/>
  <c r="M87" i="30"/>
  <c r="K87" i="30" s="1"/>
  <c r="I87" i="30" s="1"/>
  <c r="B88" i="30"/>
  <c r="M88" i="30"/>
  <c r="K88" i="30" s="1"/>
  <c r="I88" i="30" s="1"/>
  <c r="B89" i="30"/>
  <c r="M89" i="30"/>
  <c r="K89" i="30" s="1"/>
  <c r="I89" i="30" s="1"/>
  <c r="B90" i="30"/>
  <c r="M90" i="30"/>
  <c r="K90" i="30" s="1"/>
  <c r="I90" i="30" s="1"/>
  <c r="B91" i="30"/>
  <c r="M91" i="30"/>
  <c r="K91" i="30" s="1"/>
  <c r="I91" i="30" s="1"/>
  <c r="B92" i="30"/>
  <c r="M92" i="30"/>
  <c r="K92" i="30" s="1"/>
  <c r="I92" i="30" s="1"/>
  <c r="B93" i="30"/>
  <c r="M93" i="30"/>
  <c r="K93" i="30" s="1"/>
  <c r="I93" i="30" s="1"/>
  <c r="B94" i="30"/>
  <c r="M94" i="30"/>
  <c r="K94" i="30" s="1"/>
  <c r="I94" i="30" s="1"/>
  <c r="B95" i="30"/>
  <c r="M95" i="30"/>
  <c r="K95" i="30" s="1"/>
  <c r="I95" i="30" s="1"/>
  <c r="B96" i="30"/>
  <c r="M96" i="30"/>
  <c r="K96" i="30" s="1"/>
  <c r="I96" i="30" s="1"/>
  <c r="B97" i="30"/>
  <c r="M97" i="30"/>
  <c r="K97" i="30" s="1"/>
  <c r="I97" i="30" s="1"/>
  <c r="B98" i="30"/>
  <c r="M98" i="30"/>
  <c r="K98" i="30" s="1"/>
  <c r="I98" i="30" s="1"/>
  <c r="B99" i="30"/>
  <c r="M99" i="30"/>
  <c r="K99" i="30" s="1"/>
  <c r="I99" i="30" s="1"/>
  <c r="B100" i="30"/>
  <c r="M100" i="30"/>
  <c r="K100" i="30" s="1"/>
  <c r="I100" i="30" s="1"/>
  <c r="B101" i="30"/>
  <c r="M101" i="30"/>
  <c r="K101" i="30" s="1"/>
  <c r="I101" i="30" s="1"/>
  <c r="B102" i="30"/>
  <c r="M102" i="30"/>
  <c r="K102" i="30" s="1"/>
  <c r="I102" i="30" s="1"/>
  <c r="B103" i="30"/>
  <c r="M103" i="30"/>
  <c r="K103" i="30" s="1"/>
  <c r="I103" i="30" s="1"/>
  <c r="B104" i="30"/>
  <c r="M104" i="30"/>
  <c r="K104" i="30" s="1"/>
  <c r="I104" i="30" s="1"/>
  <c r="B105" i="30"/>
  <c r="B106" i="30"/>
  <c r="M106" i="30"/>
  <c r="K106" i="30" s="1"/>
  <c r="I106" i="30" s="1"/>
  <c r="B107" i="30"/>
  <c r="M107" i="30"/>
  <c r="K107" i="30" s="1"/>
  <c r="I107" i="30" s="1"/>
  <c r="B108" i="30"/>
  <c r="M108" i="30"/>
  <c r="K108" i="30" s="1"/>
  <c r="I108" i="30" s="1"/>
  <c r="B109" i="30"/>
  <c r="M109" i="30"/>
  <c r="K109" i="30" s="1"/>
  <c r="I109" i="30" s="1"/>
  <c r="B110" i="30"/>
  <c r="M110" i="30"/>
  <c r="K110" i="30" s="1"/>
  <c r="I110" i="30" s="1"/>
  <c r="B111" i="30"/>
  <c r="M111" i="30"/>
  <c r="K111" i="30" s="1"/>
  <c r="I111" i="30" s="1"/>
  <c r="B112" i="30"/>
  <c r="M112" i="30"/>
  <c r="K112" i="30" s="1"/>
  <c r="I112" i="30" s="1"/>
  <c r="B113" i="30"/>
  <c r="B114" i="30"/>
  <c r="M114" i="30"/>
  <c r="K114" i="30" s="1"/>
  <c r="I114" i="30" s="1"/>
  <c r="B115" i="30"/>
  <c r="M115" i="30"/>
  <c r="K115" i="30" s="1"/>
  <c r="I115" i="30" s="1"/>
  <c r="B116" i="30"/>
  <c r="M116" i="30"/>
  <c r="K116" i="30" s="1"/>
  <c r="I116" i="30" s="1"/>
  <c r="B117" i="30"/>
  <c r="M117" i="30"/>
  <c r="K117" i="30" s="1"/>
  <c r="I117" i="30" s="1"/>
  <c r="B118" i="30"/>
  <c r="M118" i="30"/>
  <c r="K118" i="30" s="1"/>
  <c r="I118" i="30" s="1"/>
  <c r="B119" i="30"/>
  <c r="M119" i="30"/>
  <c r="K119" i="30" s="1"/>
  <c r="I119" i="30" s="1"/>
  <c r="B120" i="30"/>
  <c r="M120" i="30"/>
  <c r="K120" i="30" s="1"/>
  <c r="I120" i="30" s="1"/>
  <c r="B121" i="30"/>
  <c r="B122" i="30"/>
  <c r="B123" i="30"/>
  <c r="B124" i="30"/>
  <c r="M124" i="30"/>
  <c r="K124" i="30" s="1"/>
  <c r="I124" i="30" s="1"/>
  <c r="B125" i="30"/>
  <c r="M125" i="30"/>
  <c r="K125" i="30" s="1"/>
  <c r="I125" i="30" s="1"/>
  <c r="B126" i="30"/>
  <c r="B127" i="30"/>
  <c r="B128" i="30"/>
  <c r="B129" i="30"/>
  <c r="M129" i="30"/>
  <c r="K129" i="30" s="1"/>
  <c r="I129" i="30" s="1"/>
  <c r="B130" i="30"/>
  <c r="B131" i="30"/>
  <c r="B132" i="30"/>
  <c r="K132" i="30"/>
  <c r="I132" i="30" s="1"/>
  <c r="M132" i="30"/>
  <c r="B133" i="30"/>
  <c r="B134" i="30"/>
  <c r="M134" i="30"/>
  <c r="K134" i="30" s="1"/>
  <c r="I134" i="30" s="1"/>
  <c r="B135" i="30"/>
  <c r="M135" i="30"/>
  <c r="K135" i="30" s="1"/>
  <c r="I135" i="30" s="1"/>
  <c r="B136" i="30"/>
  <c r="M136" i="30"/>
  <c r="K136" i="30" s="1"/>
  <c r="I136" i="30" s="1"/>
  <c r="B137" i="30"/>
  <c r="M137" i="30"/>
  <c r="K137" i="30" s="1"/>
  <c r="I137" i="30" s="1"/>
  <c r="B193" i="30"/>
  <c r="B194" i="30"/>
  <c r="B195" i="30"/>
  <c r="B196" i="30"/>
  <c r="B197" i="30"/>
  <c r="B271" i="30"/>
  <c r="B272" i="30"/>
  <c r="B273" i="30"/>
  <c r="B274" i="30"/>
  <c r="B275" i="30"/>
  <c r="B276" i="30"/>
  <c r="B277" i="30"/>
  <c r="B278" i="30"/>
  <c r="B279" i="30"/>
  <c r="B280" i="30"/>
  <c r="B281" i="30"/>
  <c r="B282" i="30"/>
  <c r="B283" i="30"/>
  <c r="B284" i="30"/>
  <c r="B285" i="30"/>
  <c r="B286" i="30"/>
  <c r="B287" i="30"/>
  <c r="B288" i="30"/>
  <c r="B289" i="30"/>
  <c r="N62" i="11"/>
  <c r="M68" i="11"/>
  <c r="N73" i="11"/>
  <c r="N72" i="11"/>
  <c r="N68" i="11"/>
  <c r="N67" i="11"/>
  <c r="N65" i="11"/>
  <c r="N64" i="11"/>
  <c r="M73" i="11"/>
  <c r="M72" i="11"/>
  <c r="M69" i="11"/>
  <c r="M66" i="11"/>
  <c r="M65" i="11"/>
  <c r="M64" i="11"/>
  <c r="M62" i="11"/>
  <c r="N75" i="11"/>
  <c r="M75" i="11"/>
  <c r="M71" i="11"/>
  <c r="N71" i="11"/>
  <c r="N70" i="11"/>
  <c r="M70" i="11"/>
  <c r="N69" i="11"/>
  <c r="N66" i="11"/>
  <c r="N63" i="11"/>
  <c r="M63" i="11"/>
  <c r="L76" i="11"/>
  <c r="L77" i="11" s="1"/>
  <c r="AG38" i="28"/>
  <c r="AG7" i="28"/>
  <c r="F16" i="25"/>
  <c r="F15" i="25"/>
  <c r="AG49" i="28"/>
  <c r="C29" i="11" l="1"/>
  <c r="M50" i="11"/>
  <c r="K98" i="11"/>
  <c r="L98" i="11"/>
  <c r="N50" i="11"/>
  <c r="N49" i="11"/>
  <c r="J98" i="11"/>
  <c r="J99" i="11" s="1"/>
  <c r="I98" i="11"/>
  <c r="A17" i="30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8" i="30"/>
  <c r="M67" i="11"/>
  <c r="M76" i="11" s="1"/>
  <c r="I76" i="11"/>
  <c r="I77" i="11" s="1"/>
  <c r="N76" i="11"/>
  <c r="J76" i="11"/>
  <c r="J77" i="11" s="1"/>
  <c r="K76" i="11"/>
  <c r="K77" i="11" s="1"/>
  <c r="I99" i="11" l="1"/>
  <c r="D34" i="11" s="1"/>
  <c r="A134" i="30"/>
  <c r="A135" i="30" s="1"/>
  <c r="A136" i="30" s="1"/>
  <c r="A137" i="30" s="1"/>
  <c r="A133" i="30"/>
  <c r="N77" i="11"/>
  <c r="M77" i="11"/>
  <c r="E34" i="11" l="1"/>
  <c r="C34" i="11"/>
  <c r="R100" i="11"/>
  <c r="G14" i="25"/>
  <c r="F14" i="25"/>
  <c r="G9" i="25"/>
  <c r="G16" i="25" s="1"/>
  <c r="F9" i="25"/>
  <c r="L14" i="25"/>
  <c r="K14" i="25"/>
  <c r="L12" i="25"/>
  <c r="K12" i="25"/>
  <c r="L11" i="25"/>
  <c r="K11" i="25"/>
  <c r="L10" i="25"/>
  <c r="K10" i="25"/>
  <c r="L9" i="25"/>
  <c r="K9" i="25"/>
  <c r="L8" i="25"/>
  <c r="K8" i="25"/>
  <c r="L7" i="25"/>
  <c r="K7" i="25"/>
  <c r="L6" i="25"/>
  <c r="K6" i="25"/>
  <c r="L5" i="25"/>
  <c r="K5" i="25"/>
  <c r="L4" i="25"/>
  <c r="K4" i="25"/>
  <c r="L3" i="25"/>
  <c r="K3" i="25"/>
  <c r="L2" i="25"/>
  <c r="K2" i="25"/>
  <c r="K17" i="11"/>
  <c r="I17" i="11"/>
  <c r="N138" i="5"/>
  <c r="N137" i="5"/>
  <c r="N136" i="5"/>
  <c r="N135" i="5"/>
  <c r="N133" i="5"/>
  <c r="N130" i="5"/>
  <c r="N126" i="5"/>
  <c r="N125" i="5"/>
  <c r="N121" i="5"/>
  <c r="N120" i="5"/>
  <c r="N119" i="5"/>
  <c r="N118" i="5"/>
  <c r="N117" i="5"/>
  <c r="N116" i="5"/>
  <c r="N115" i="5"/>
  <c r="N113" i="5"/>
  <c r="N112" i="5"/>
  <c r="N111" i="5"/>
  <c r="N110" i="5"/>
  <c r="N109" i="5"/>
  <c r="N108" i="5"/>
  <c r="N107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4" i="5"/>
  <c r="N83" i="5"/>
  <c r="N81" i="5"/>
  <c r="N80" i="5"/>
  <c r="N79" i="5"/>
  <c r="N78" i="5"/>
  <c r="N77" i="5"/>
  <c r="N76" i="5"/>
  <c r="N75" i="5"/>
  <c r="N74" i="5"/>
  <c r="N73" i="5"/>
  <c r="N72" i="5"/>
  <c r="N67" i="5"/>
  <c r="N66" i="5"/>
  <c r="N62" i="5"/>
  <c r="N61" i="5"/>
  <c r="N60" i="5"/>
  <c r="N59" i="5"/>
  <c r="N58" i="5"/>
  <c r="N50" i="5"/>
  <c r="N49" i="5"/>
  <c r="N48" i="5"/>
  <c r="N47" i="5"/>
  <c r="N46" i="5"/>
  <c r="N45" i="5"/>
  <c r="N41" i="5"/>
  <c r="N39" i="5"/>
  <c r="N38" i="5"/>
  <c r="N37" i="5"/>
  <c r="N36" i="5"/>
  <c r="N35" i="5"/>
  <c r="N34" i="5"/>
  <c r="N33" i="5"/>
  <c r="N32" i="5"/>
  <c r="N31" i="5"/>
  <c r="N30" i="5"/>
  <c r="N29" i="5"/>
  <c r="N27" i="5"/>
  <c r="N26" i="5"/>
  <c r="N25" i="5"/>
  <c r="N24" i="5"/>
  <c r="N23" i="5"/>
  <c r="N22" i="5"/>
  <c r="N21" i="5"/>
  <c r="N20" i="5"/>
  <c r="N19" i="5"/>
  <c r="N17" i="5"/>
  <c r="N15" i="5"/>
  <c r="N14" i="5"/>
  <c r="N13" i="5"/>
  <c r="N12" i="5"/>
  <c r="N11" i="5"/>
  <c r="N10" i="5"/>
  <c r="N9" i="5"/>
  <c r="N8" i="5"/>
  <c r="L51" i="2"/>
  <c r="L50" i="2"/>
  <c r="L49" i="2"/>
  <c r="L47" i="2"/>
  <c r="L45" i="2"/>
  <c r="L43" i="2"/>
  <c r="L39" i="2"/>
  <c r="L38" i="2"/>
  <c r="L37" i="2"/>
  <c r="L36" i="2"/>
  <c r="L35" i="2"/>
  <c r="L33" i="2"/>
  <c r="L32" i="2"/>
  <c r="L30" i="2"/>
  <c r="L29" i="2"/>
  <c r="L28" i="2"/>
  <c r="L27" i="2"/>
  <c r="L26" i="2"/>
  <c r="L25" i="2"/>
  <c r="L23" i="2"/>
  <c r="L21" i="2"/>
  <c r="L20" i="2"/>
  <c r="L18" i="2"/>
  <c r="L17" i="2"/>
  <c r="L16" i="2"/>
  <c r="L15" i="2"/>
  <c r="L14" i="2"/>
  <c r="L12" i="2"/>
  <c r="L11" i="2"/>
  <c r="L9" i="2"/>
  <c r="L8" i="2"/>
  <c r="C28" i="11"/>
  <c r="E30" i="11"/>
  <c r="B134" i="5"/>
  <c r="L48" i="11"/>
  <c r="L47" i="11"/>
  <c r="L46" i="11"/>
  <c r="L45" i="11"/>
  <c r="L44" i="11"/>
  <c r="L43" i="11"/>
  <c r="L42" i="11"/>
  <c r="L41" i="11"/>
  <c r="L40" i="11"/>
  <c r="L39" i="11"/>
  <c r="L38" i="11"/>
  <c r="L37" i="11"/>
  <c r="K43" i="11"/>
  <c r="K38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I46" i="11"/>
  <c r="I45" i="11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L84" i="15"/>
  <c r="L91" i="15"/>
  <c r="L90" i="15"/>
  <c r="L89" i="15"/>
  <c r="L88" i="15"/>
  <c r="L87" i="15"/>
  <c r="L86" i="15"/>
  <c r="L85" i="15"/>
  <c r="L83" i="15"/>
  <c r="L82" i="15"/>
  <c r="L81" i="15"/>
  <c r="L80" i="15"/>
  <c r="L79" i="15"/>
  <c r="G93" i="15"/>
  <c r="F93" i="15"/>
  <c r="K23" i="24"/>
  <c r="B23" i="24"/>
  <c r="U22" i="24"/>
  <c r="P22" i="24"/>
  <c r="N22" i="24"/>
  <c r="O22" i="24" s="1"/>
  <c r="L22" i="24"/>
  <c r="F22" i="24"/>
  <c r="C22" i="24"/>
  <c r="G22" i="24" s="1"/>
  <c r="U21" i="24"/>
  <c r="N21" i="24"/>
  <c r="O21" i="24" s="1"/>
  <c r="L21" i="24"/>
  <c r="P21" i="24" s="1"/>
  <c r="G21" i="24"/>
  <c r="F21" i="24"/>
  <c r="C21" i="24"/>
  <c r="V21" i="24" s="1"/>
  <c r="U20" i="24"/>
  <c r="N20" i="24"/>
  <c r="O20" i="24" s="1"/>
  <c r="L20" i="24"/>
  <c r="V20" i="24" s="1"/>
  <c r="G20" i="24"/>
  <c r="F20" i="24"/>
  <c r="C20" i="24"/>
  <c r="V19" i="24"/>
  <c r="U19" i="24"/>
  <c r="P19" i="24"/>
  <c r="O19" i="24"/>
  <c r="N19" i="24"/>
  <c r="L19" i="24"/>
  <c r="F19" i="24"/>
  <c r="C19" i="24"/>
  <c r="G19" i="24" s="1"/>
  <c r="U18" i="24"/>
  <c r="P18" i="24"/>
  <c r="N18" i="24"/>
  <c r="O18" i="24" s="1"/>
  <c r="L18" i="24"/>
  <c r="F18" i="24"/>
  <c r="C18" i="24"/>
  <c r="G18" i="24" s="1"/>
  <c r="U17" i="24"/>
  <c r="N17" i="24"/>
  <c r="O17" i="24" s="1"/>
  <c r="L17" i="24"/>
  <c r="P17" i="24" s="1"/>
  <c r="G17" i="24"/>
  <c r="F17" i="24"/>
  <c r="C17" i="24"/>
  <c r="V17" i="24" s="1"/>
  <c r="U16" i="24"/>
  <c r="N16" i="24"/>
  <c r="O16" i="24" s="1"/>
  <c r="L16" i="24"/>
  <c r="V16" i="24" s="1"/>
  <c r="G16" i="24"/>
  <c r="F16" i="24"/>
  <c r="C16" i="24"/>
  <c r="V15" i="24"/>
  <c r="U15" i="24"/>
  <c r="P15" i="24"/>
  <c r="O15" i="24"/>
  <c r="N15" i="24"/>
  <c r="L15" i="24"/>
  <c r="F15" i="24"/>
  <c r="C15" i="24"/>
  <c r="G15" i="24" s="1"/>
  <c r="U14" i="24"/>
  <c r="P14" i="24"/>
  <c r="N14" i="24"/>
  <c r="O14" i="24" s="1"/>
  <c r="L14" i="24"/>
  <c r="G14" i="24"/>
  <c r="F14" i="24"/>
  <c r="C14" i="24"/>
  <c r="C23" i="24" s="1"/>
  <c r="U13" i="24"/>
  <c r="L13" i="24"/>
  <c r="C13" i="24"/>
  <c r="V13" i="24" s="1"/>
  <c r="V12" i="24"/>
  <c r="U12" i="24"/>
  <c r="M12" i="24"/>
  <c r="M13" i="24" s="1"/>
  <c r="L12" i="24"/>
  <c r="C12" i="24"/>
  <c r="W11" i="24"/>
  <c r="W12" i="24" s="1"/>
  <c r="U11" i="24"/>
  <c r="U23" i="24" s="1"/>
  <c r="C15" i="11" s="1"/>
  <c r="D36" i="11" s="1"/>
  <c r="P11" i="24"/>
  <c r="M11" i="24"/>
  <c r="L11" i="24"/>
  <c r="L23" i="24" s="1"/>
  <c r="D11" i="24"/>
  <c r="E11" i="24" s="1"/>
  <c r="C11" i="24"/>
  <c r="V11" i="24" s="1"/>
  <c r="C30" i="11" l="1"/>
  <c r="M17" i="11"/>
  <c r="F10" i="25"/>
  <c r="G10" i="25"/>
  <c r="N46" i="11"/>
  <c r="N38" i="11"/>
  <c r="N41" i="11"/>
  <c r="N39" i="11"/>
  <c r="N47" i="11"/>
  <c r="N43" i="11"/>
  <c r="L51" i="11"/>
  <c r="N40" i="11"/>
  <c r="N44" i="11"/>
  <c r="N42" i="11"/>
  <c r="N45" i="11"/>
  <c r="J51" i="11"/>
  <c r="J53" i="11" s="1"/>
  <c r="J52" i="11" s="1"/>
  <c r="N37" i="11"/>
  <c r="N48" i="11"/>
  <c r="X12" i="24"/>
  <c r="W13" i="24"/>
  <c r="Y12" i="24"/>
  <c r="F11" i="24"/>
  <c r="N11" i="24"/>
  <c r="G11" i="24"/>
  <c r="M14" i="24"/>
  <c r="M15" i="24" s="1"/>
  <c r="M16" i="24" s="1"/>
  <c r="M17" i="24" s="1"/>
  <c r="M18" i="24" s="1"/>
  <c r="M19" i="24" s="1"/>
  <c r="M20" i="24" s="1"/>
  <c r="M21" i="24" s="1"/>
  <c r="M22" i="24" s="1"/>
  <c r="M23" i="24" s="1"/>
  <c r="P13" i="24"/>
  <c r="X11" i="24"/>
  <c r="V22" i="24"/>
  <c r="V14" i="24"/>
  <c r="V23" i="24" s="1"/>
  <c r="V18" i="24"/>
  <c r="D12" i="24"/>
  <c r="D13" i="24" s="1"/>
  <c r="D14" i="24" s="1"/>
  <c r="D15" i="24" s="1"/>
  <c r="D16" i="24" s="1"/>
  <c r="D17" i="24" s="1"/>
  <c r="D18" i="24" s="1"/>
  <c r="D19" i="24" s="1"/>
  <c r="D20" i="24" s="1"/>
  <c r="D21" i="24" s="1"/>
  <c r="D22" i="24" s="1"/>
  <c r="D23" i="24" s="1"/>
  <c r="P16" i="24"/>
  <c r="P20" i="24"/>
  <c r="L53" i="11" l="1"/>
  <c r="L52" i="11" s="1"/>
  <c r="AG5" i="28"/>
  <c r="AG13" i="28" s="1"/>
  <c r="AG17" i="28" s="1"/>
  <c r="AG23" i="28" s="1"/>
  <c r="AG27" i="28" s="1"/>
  <c r="AG30" i="28" s="1" a="1"/>
  <c r="AG30" i="28" s="1"/>
  <c r="AG35" i="28" s="1"/>
  <c r="AG40" i="28" s="1"/>
  <c r="AG52" i="28" s="1"/>
  <c r="N51" i="11"/>
  <c r="Y13" i="24"/>
  <c r="X13" i="24"/>
  <c r="W14" i="24"/>
  <c r="E12" i="24"/>
  <c r="O11" i="24"/>
  <c r="N53" i="11" l="1"/>
  <c r="N52" i="11" s="1"/>
  <c r="G12" i="24"/>
  <c r="F12" i="24"/>
  <c r="N12" i="24"/>
  <c r="Y14" i="24"/>
  <c r="X14" i="24"/>
  <c r="W15" i="24"/>
  <c r="Y15" i="24" l="1"/>
  <c r="X15" i="24"/>
  <c r="W16" i="24"/>
  <c r="E13" i="24"/>
  <c r="P12" i="24"/>
  <c r="P23" i="24" s="1"/>
  <c r="O12" i="24"/>
  <c r="W17" i="24" l="1"/>
  <c r="X16" i="24"/>
  <c r="Y16" i="24"/>
  <c r="N13" i="24"/>
  <c r="O13" i="24" s="1"/>
  <c r="G13" i="24"/>
  <c r="G23" i="24" s="1"/>
  <c r="F13" i="24"/>
  <c r="Y17" i="24" l="1"/>
  <c r="X17" i="24"/>
  <c r="W18" i="24"/>
  <c r="Y18" i="24" l="1"/>
  <c r="X18" i="24"/>
  <c r="W19" i="24"/>
  <c r="Y19" i="24" l="1"/>
  <c r="X19" i="24"/>
  <c r="W20" i="24"/>
  <c r="W21" i="24" l="1"/>
  <c r="X20" i="24"/>
  <c r="Y20" i="24"/>
  <c r="Y21" i="24" l="1"/>
  <c r="W22" i="24"/>
  <c r="Y22" i="24" l="1"/>
  <c r="Y23" i="24" s="1"/>
  <c r="B138" i="5" l="1"/>
  <c r="B137" i="5"/>
  <c r="B136" i="5"/>
  <c r="B135" i="5"/>
  <c r="B51" i="2"/>
  <c r="B50" i="2"/>
  <c r="B49" i="2"/>
  <c r="H8" i="10"/>
  <c r="G9" i="10"/>
  <c r="G26" i="11"/>
  <c r="G27" i="11" s="1"/>
  <c r="G28" i="11" s="1"/>
  <c r="G29" i="11" s="1"/>
  <c r="G30" i="11" s="1"/>
  <c r="G31" i="11" s="1"/>
  <c r="E114" i="15" l="1"/>
  <c r="E113" i="15"/>
  <c r="E112" i="15"/>
  <c r="E111" i="15"/>
  <c r="E109" i="15"/>
  <c r="E107" i="15"/>
  <c r="B8" i="8"/>
  <c r="B102" i="5"/>
  <c r="B101" i="5"/>
  <c r="B100" i="5"/>
  <c r="B99" i="5"/>
  <c r="B98" i="5"/>
  <c r="B97" i="5"/>
  <c r="B96" i="5"/>
  <c r="B37" i="2"/>
  <c r="B36" i="2"/>
  <c r="K15" i="11"/>
  <c r="I15" i="11"/>
  <c r="K18" i="11"/>
  <c r="K16" i="11"/>
  <c r="K14" i="11"/>
  <c r="K13" i="11"/>
  <c r="K12" i="11"/>
  <c r="L11" i="11"/>
  <c r="K11" i="11"/>
  <c r="K10" i="11"/>
  <c r="K9" i="11"/>
  <c r="K8" i="11"/>
  <c r="K7" i="11"/>
  <c r="L6" i="11"/>
  <c r="K6" i="11"/>
  <c r="K5" i="11"/>
  <c r="I18" i="11"/>
  <c r="I16" i="11"/>
  <c r="J14" i="11"/>
  <c r="I14" i="11"/>
  <c r="J13" i="11"/>
  <c r="I13" i="11"/>
  <c r="I12" i="11"/>
  <c r="I11" i="11"/>
  <c r="I10" i="11"/>
  <c r="I9" i="11"/>
  <c r="I8" i="11"/>
  <c r="I7" i="11"/>
  <c r="I6" i="11"/>
  <c r="I5" i="11"/>
  <c r="B133" i="5"/>
  <c r="B132" i="5"/>
  <c r="B131" i="5"/>
  <c r="B130" i="5"/>
  <c r="M18" i="11" l="1"/>
  <c r="M15" i="11"/>
  <c r="H55" i="15"/>
  <c r="H54" i="15"/>
  <c r="H53" i="15"/>
  <c r="H52" i="15"/>
  <c r="H51" i="15"/>
  <c r="H50" i="15"/>
  <c r="I55" i="15"/>
  <c r="I54" i="15"/>
  <c r="I53" i="15"/>
  <c r="I52" i="15"/>
  <c r="I51" i="15"/>
  <c r="I50" i="15"/>
  <c r="L55" i="15"/>
  <c r="L54" i="15"/>
  <c r="L53" i="15"/>
  <c r="L52" i="15"/>
  <c r="L51" i="15"/>
  <c r="L50" i="15"/>
  <c r="B48" i="2"/>
  <c r="B47" i="2"/>
  <c r="B46" i="2"/>
  <c r="B45" i="2"/>
  <c r="B44" i="2"/>
  <c r="B43" i="2"/>
  <c r="B42" i="2"/>
  <c r="B129" i="5"/>
  <c r="B128" i="5"/>
  <c r="B127" i="5"/>
  <c r="B126" i="5"/>
  <c r="B125" i="5"/>
  <c r="S5" i="5"/>
  <c r="R5" i="5"/>
  <c r="Q5" i="5"/>
  <c r="P5" i="5"/>
  <c r="T5" i="5"/>
  <c r="R5" i="2"/>
  <c r="Q5" i="2"/>
  <c r="P5" i="2"/>
  <c r="O5" i="2"/>
  <c r="N5" i="2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41" i="2"/>
  <c r="B40" i="2"/>
  <c r="B39" i="2"/>
  <c r="B90" i="2"/>
  <c r="B38" i="2"/>
  <c r="B89" i="2"/>
  <c r="B88" i="2"/>
  <c r="L49" i="15"/>
  <c r="I49" i="15"/>
  <c r="H49" i="15"/>
  <c r="I48" i="15"/>
  <c r="H48" i="15"/>
  <c r="I47" i="15"/>
  <c r="H47" i="15"/>
  <c r="I46" i="15"/>
  <c r="H46" i="15"/>
  <c r="I45" i="15"/>
  <c r="H45" i="15"/>
  <c r="I44" i="15"/>
  <c r="H44" i="15"/>
  <c r="L48" i="15"/>
  <c r="G117" i="15"/>
  <c r="C31" i="11" s="1"/>
  <c r="E115" i="15"/>
  <c r="E116" i="15"/>
  <c r="E105" i="15"/>
  <c r="E104" i="15"/>
  <c r="E103" i="15"/>
  <c r="E102" i="15"/>
  <c r="D31" i="11" l="1"/>
  <c r="M14" i="11"/>
  <c r="M16" i="11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87" i="2"/>
  <c r="B86" i="2"/>
  <c r="B85" i="2"/>
  <c r="B84" i="2"/>
  <c r="B83" i="2"/>
  <c r="B82" i="2"/>
  <c r="B81" i="2"/>
  <c r="B80" i="2"/>
  <c r="B79" i="2"/>
  <c r="B78" i="2"/>
  <c r="B77" i="2"/>
  <c r="B75" i="2"/>
  <c r="B74" i="2"/>
  <c r="B73" i="2"/>
  <c r="B72" i="2"/>
  <c r="B71" i="2"/>
  <c r="B35" i="2"/>
  <c r="B34" i="2"/>
  <c r="B33" i="2"/>
  <c r="B32" i="2"/>
  <c r="B31" i="2"/>
  <c r="B30" i="2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A9" i="2"/>
  <c r="B29" i="2"/>
  <c r="B27" i="2"/>
  <c r="B28" i="2"/>
  <c r="B26" i="2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L72" i="15"/>
  <c r="L71" i="15"/>
  <c r="L64" i="15"/>
  <c r="L63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L78" i="15"/>
  <c r="L77" i="15"/>
  <c r="L76" i="15"/>
  <c r="L75" i="15"/>
  <c r="L74" i="15"/>
  <c r="L73" i="15"/>
  <c r="L70" i="15"/>
  <c r="L69" i="15"/>
  <c r="L68" i="15"/>
  <c r="L67" i="15"/>
  <c r="L66" i="15"/>
  <c r="L65" i="15"/>
  <c r="L62" i="15"/>
  <c r="L61" i="15"/>
  <c r="L60" i="15"/>
  <c r="L59" i="15"/>
  <c r="L58" i="15"/>
  <c r="L47" i="15"/>
  <c r="B25" i="2"/>
  <c r="B24" i="2"/>
  <c r="B23" i="2"/>
  <c r="L46" i="15"/>
  <c r="L45" i="15"/>
  <c r="B22" i="2"/>
  <c r="B21" i="2"/>
  <c r="B20" i="2"/>
  <c r="B19" i="2"/>
  <c r="B18" i="2"/>
  <c r="B17" i="2"/>
  <c r="B28" i="5"/>
  <c r="B19" i="5"/>
  <c r="B16" i="2"/>
  <c r="B15" i="2"/>
  <c r="H43" i="15"/>
  <c r="B14" i="2"/>
  <c r="B13" i="2"/>
  <c r="B12" i="2"/>
  <c r="B11" i="2"/>
  <c r="B27" i="5"/>
  <c r="B26" i="5"/>
  <c r="B25" i="5"/>
  <c r="B24" i="5"/>
  <c r="B23" i="5"/>
  <c r="B22" i="5"/>
  <c r="B21" i="5"/>
  <c r="B20" i="5"/>
  <c r="B18" i="5"/>
  <c r="B17" i="5"/>
  <c r="B16" i="5"/>
  <c r="B15" i="5"/>
  <c r="B14" i="5"/>
  <c r="B13" i="5"/>
  <c r="B12" i="5"/>
  <c r="B11" i="5"/>
  <c r="B10" i="5"/>
  <c r="B9" i="5"/>
  <c r="B8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J17" i="5"/>
  <c r="J15" i="5"/>
  <c r="J14" i="5"/>
  <c r="I43" i="15"/>
  <c r="B10" i="2"/>
  <c r="E31" i="11" l="1"/>
  <c r="E37" i="11" s="1"/>
  <c r="D37" i="11"/>
  <c r="K19" i="11"/>
  <c r="I19" i="11"/>
  <c r="I22" i="11" s="1"/>
  <c r="M13" i="11"/>
  <c r="M12" i="11"/>
  <c r="M10" i="11"/>
  <c r="M11" i="11"/>
  <c r="M9" i="11"/>
  <c r="M8" i="11"/>
  <c r="M7" i="11"/>
  <c r="M6" i="11"/>
  <c r="M5" i="11"/>
  <c r="K26" i="11" l="1"/>
  <c r="K25" i="11"/>
  <c r="K31" i="11"/>
  <c r="K30" i="11"/>
  <c r="K29" i="11"/>
  <c r="K28" i="11"/>
  <c r="K27" i="11"/>
  <c r="K22" i="11"/>
  <c r="M22" i="11" s="1"/>
  <c r="M19" i="11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L16" i="9"/>
  <c r="B16" i="9"/>
  <c r="B15" i="9"/>
  <c r="B14" i="9"/>
  <c r="B13" i="9"/>
  <c r="B12" i="9"/>
  <c r="B11" i="9"/>
  <c r="B10" i="9"/>
  <c r="B9" i="9"/>
  <c r="B8" i="9"/>
  <c r="D97" i="15" l="1"/>
  <c r="M68" i="30" l="1"/>
  <c r="K68" i="30" s="1"/>
  <c r="I68" i="30" s="1"/>
  <c r="M81" i="30"/>
  <c r="K81" i="30" s="1"/>
  <c r="I81" i="30" s="1"/>
  <c r="M84" i="30"/>
  <c r="K84" i="30" s="1"/>
  <c r="I84" i="30" s="1"/>
  <c r="M113" i="30"/>
  <c r="K113" i="30" s="1"/>
  <c r="I113" i="30" s="1"/>
  <c r="M55" i="30"/>
  <c r="K55" i="30" s="1"/>
  <c r="I55" i="30" s="1"/>
  <c r="M17" i="30"/>
  <c r="K17" i="30" s="1"/>
  <c r="I17" i="30" s="1"/>
  <c r="M42" i="30"/>
  <c r="K42" i="30" s="1"/>
  <c r="I42" i="30" s="1"/>
  <c r="M52" i="30"/>
  <c r="K52" i="30" s="1"/>
  <c r="I52" i="30" s="1"/>
  <c r="M62" i="30"/>
  <c r="K62" i="30" s="1"/>
  <c r="I62" i="30" s="1"/>
  <c r="M69" i="30"/>
  <c r="K69" i="30" s="1"/>
  <c r="I69" i="30" s="1"/>
  <c r="M133" i="30"/>
  <c r="K133" i="30" s="1"/>
  <c r="I133" i="30" s="1"/>
  <c r="M130" i="30"/>
  <c r="K130" i="30" s="1"/>
  <c r="I130" i="30" s="1"/>
  <c r="M39" i="30"/>
  <c r="K39" i="30" s="1"/>
  <c r="I39" i="30" s="1"/>
  <c r="M56" i="30"/>
  <c r="K56" i="30" s="1"/>
  <c r="I56" i="30" s="1"/>
  <c r="M127" i="30"/>
  <c r="K127" i="30" s="1"/>
  <c r="I127" i="30" s="1"/>
  <c r="M54" i="30"/>
  <c r="K54" i="30" s="1"/>
  <c r="I54" i="30" s="1"/>
  <c r="M122" i="30"/>
  <c r="K122" i="30" s="1"/>
  <c r="I122" i="30" s="1"/>
  <c r="M15" i="30"/>
  <c r="K15" i="30" s="1"/>
  <c r="M43" i="30"/>
  <c r="K43" i="30" s="1"/>
  <c r="I43" i="30" s="1"/>
  <c r="M53" i="30"/>
  <c r="K53" i="30" s="1"/>
  <c r="I53" i="30" s="1"/>
  <c r="M63" i="30"/>
  <c r="K63" i="30" s="1"/>
  <c r="I63" i="30" s="1"/>
  <c r="M105" i="30"/>
  <c r="K105" i="30" s="1"/>
  <c r="I105" i="30" s="1"/>
  <c r="M121" i="30"/>
  <c r="K121" i="30" s="1"/>
  <c r="I121" i="30" s="1"/>
  <c r="M50" i="30"/>
  <c r="K50" i="30" s="1"/>
  <c r="I50" i="30" s="1"/>
  <c r="M67" i="30"/>
  <c r="K67" i="30" s="1"/>
  <c r="I67" i="30" s="1"/>
  <c r="M70" i="30"/>
  <c r="K70" i="30" s="1"/>
  <c r="I70" i="30" s="1"/>
  <c r="M131" i="30"/>
  <c r="K131" i="30" s="1"/>
  <c r="I131" i="30" s="1"/>
  <c r="M128" i="30"/>
  <c r="K128" i="30" s="1"/>
  <c r="I128" i="30" s="1"/>
  <c r="M126" i="30"/>
  <c r="K126" i="30" s="1"/>
  <c r="I126" i="30" s="1"/>
  <c r="M27" i="30"/>
  <c r="K27" i="30" s="1"/>
  <c r="M64" i="30"/>
  <c r="K64" i="30" s="1"/>
  <c r="I64" i="30" s="1"/>
  <c r="M123" i="30"/>
  <c r="K123" i="30" s="1"/>
  <c r="I123" i="30" s="1"/>
  <c r="M41" i="30"/>
  <c r="K41" i="30" s="1"/>
  <c r="I41" i="30" s="1"/>
  <c r="M51" i="30"/>
  <c r="K51" i="30" s="1"/>
  <c r="I51" i="30" s="1"/>
  <c r="N131" i="5"/>
  <c r="L131" i="5" s="1"/>
  <c r="J131" i="5" s="1"/>
  <c r="N123" i="5"/>
  <c r="L123" i="5" s="1"/>
  <c r="J123" i="5" s="1"/>
  <c r="N51" i="5"/>
  <c r="L51" i="5" s="1"/>
  <c r="J51" i="5" s="1"/>
  <c r="N43" i="5"/>
  <c r="L43" i="5" s="1"/>
  <c r="J43" i="5" s="1"/>
  <c r="L31" i="2"/>
  <c r="J31" i="2" s="1"/>
  <c r="N122" i="5"/>
  <c r="L122" i="5" s="1"/>
  <c r="J122" i="5" s="1"/>
  <c r="N114" i="5"/>
  <c r="L114" i="5" s="1"/>
  <c r="J114" i="5" s="1"/>
  <c r="N106" i="5"/>
  <c r="L106" i="5" s="1"/>
  <c r="J106" i="5" s="1"/>
  <c r="N82" i="5"/>
  <c r="L82" i="5" s="1"/>
  <c r="J82" i="5" s="1"/>
  <c r="N42" i="5"/>
  <c r="L42" i="5" s="1"/>
  <c r="J42" i="5" s="1"/>
  <c r="N18" i="5"/>
  <c r="L18" i="5" s="1"/>
  <c r="J18" i="5" s="1"/>
  <c r="L46" i="2"/>
  <c r="J46" i="2" s="1"/>
  <c r="L22" i="2"/>
  <c r="J22" i="2" s="1"/>
  <c r="N129" i="5"/>
  <c r="L129" i="5" s="1"/>
  <c r="J129" i="5" s="1"/>
  <c r="N65" i="5"/>
  <c r="L65" i="5" s="1"/>
  <c r="J65" i="5" s="1"/>
  <c r="N57" i="5"/>
  <c r="L57" i="5" s="1"/>
  <c r="J57" i="5" s="1"/>
  <c r="L13" i="2"/>
  <c r="J13" i="2" s="1"/>
  <c r="N128" i="5"/>
  <c r="L128" i="5" s="1"/>
  <c r="J128" i="5" s="1"/>
  <c r="N64" i="5"/>
  <c r="L64" i="5" s="1"/>
  <c r="J64" i="5" s="1"/>
  <c r="N56" i="5"/>
  <c r="L56" i="5" s="1"/>
  <c r="J56" i="5" s="1"/>
  <c r="N40" i="5"/>
  <c r="L40" i="5" s="1"/>
  <c r="J40" i="5" s="1"/>
  <c r="N16" i="5"/>
  <c r="L16" i="5" s="1"/>
  <c r="J16" i="5" s="1"/>
  <c r="L44" i="2"/>
  <c r="N127" i="5"/>
  <c r="L127" i="5" s="1"/>
  <c r="J127" i="5" s="1"/>
  <c r="N71" i="5"/>
  <c r="L71" i="5" s="1"/>
  <c r="J71" i="5" s="1"/>
  <c r="N63" i="5"/>
  <c r="L63" i="5" s="1"/>
  <c r="J63" i="5" s="1"/>
  <c r="N55" i="5"/>
  <c r="L55" i="5" s="1"/>
  <c r="J55" i="5" s="1"/>
  <c r="L19" i="2"/>
  <c r="J19" i="2" s="1"/>
  <c r="N134" i="5"/>
  <c r="L134" i="5" s="1"/>
  <c r="N70" i="5"/>
  <c r="L70" i="5" s="1"/>
  <c r="J70" i="5" s="1"/>
  <c r="N54" i="5"/>
  <c r="L54" i="5" s="1"/>
  <c r="J54" i="5" s="1"/>
  <c r="L42" i="2"/>
  <c r="J42" i="2" s="1"/>
  <c r="L34" i="2"/>
  <c r="J34" i="2" s="1"/>
  <c r="L10" i="2"/>
  <c r="J10" i="2" s="1"/>
  <c r="N85" i="5"/>
  <c r="L85" i="5" s="1"/>
  <c r="J85" i="5" s="1"/>
  <c r="N69" i="5"/>
  <c r="L69" i="5" s="1"/>
  <c r="J69" i="5" s="1"/>
  <c r="N53" i="5"/>
  <c r="L53" i="5" s="1"/>
  <c r="J53" i="5" s="1"/>
  <c r="L41" i="2"/>
  <c r="J41" i="2" s="1"/>
  <c r="N132" i="5"/>
  <c r="N124" i="5"/>
  <c r="L124" i="5" s="1"/>
  <c r="J124" i="5" s="1"/>
  <c r="N68" i="5"/>
  <c r="L68" i="5" s="1"/>
  <c r="J68" i="5" s="1"/>
  <c r="N52" i="5"/>
  <c r="L52" i="5" s="1"/>
  <c r="J52" i="5" s="1"/>
  <c r="N44" i="5"/>
  <c r="L44" i="5" s="1"/>
  <c r="J44" i="5" s="1"/>
  <c r="N28" i="5"/>
  <c r="L28" i="5" s="1"/>
  <c r="L48" i="2"/>
  <c r="J48" i="2" s="1"/>
  <c r="L40" i="2"/>
  <c r="J40" i="2" s="1"/>
  <c r="L24" i="2"/>
  <c r="J24" i="2" s="1"/>
  <c r="L132" i="5"/>
  <c r="J132" i="5" s="1"/>
  <c r="L138" i="5"/>
  <c r="J138" i="5" s="1"/>
  <c r="L137" i="5"/>
  <c r="J137" i="5" s="1"/>
  <c r="L136" i="5"/>
  <c r="J136" i="5" s="1"/>
  <c r="L135" i="5"/>
  <c r="J135" i="5" s="1"/>
  <c r="J51" i="2"/>
  <c r="J50" i="2"/>
  <c r="J49" i="2"/>
  <c r="L102" i="5"/>
  <c r="J102" i="5" s="1"/>
  <c r="L98" i="5"/>
  <c r="J98" i="5" s="1"/>
  <c r="J36" i="2"/>
  <c r="L101" i="5"/>
  <c r="J101" i="5" s="1"/>
  <c r="L97" i="5"/>
  <c r="J97" i="5" s="1"/>
  <c r="L100" i="5"/>
  <c r="J100" i="5" s="1"/>
  <c r="L96" i="5"/>
  <c r="L130" i="5"/>
  <c r="J130" i="5" s="1"/>
  <c r="L133" i="5"/>
  <c r="J133" i="5" s="1"/>
  <c r="L99" i="5"/>
  <c r="J99" i="5" s="1"/>
  <c r="J37" i="2"/>
  <c r="J44" i="2"/>
  <c r="L121" i="5"/>
  <c r="J121" i="5" s="1"/>
  <c r="L125" i="5"/>
  <c r="L120" i="5"/>
  <c r="J120" i="5" s="1"/>
  <c r="L116" i="5"/>
  <c r="J116" i="5" s="1"/>
  <c r="L105" i="5"/>
  <c r="J105" i="5" s="1"/>
  <c r="L103" i="5"/>
  <c r="J43" i="2"/>
  <c r="L119" i="5"/>
  <c r="J119" i="5" s="1"/>
  <c r="L113" i="5"/>
  <c r="J113" i="5" s="1"/>
  <c r="L104" i="5"/>
  <c r="J104" i="5" s="1"/>
  <c r="J47" i="2"/>
  <c r="L118" i="5"/>
  <c r="J118" i="5" s="1"/>
  <c r="L111" i="5"/>
  <c r="J111" i="5" s="1"/>
  <c r="L107" i="5"/>
  <c r="J107" i="5" s="1"/>
  <c r="L110" i="5"/>
  <c r="J110" i="5" s="1"/>
  <c r="L112" i="5"/>
  <c r="J112" i="5" s="1"/>
  <c r="J38" i="2"/>
  <c r="J45" i="2"/>
  <c r="L117" i="5"/>
  <c r="J117" i="5" s="1"/>
  <c r="L109" i="5"/>
  <c r="J109" i="5" s="1"/>
  <c r="L115" i="5"/>
  <c r="J115" i="5" s="1"/>
  <c r="L108" i="5"/>
  <c r="J108" i="5" s="1"/>
  <c r="J39" i="2"/>
  <c r="L126" i="5"/>
  <c r="J126" i="5" s="1"/>
  <c r="L91" i="5"/>
  <c r="J91" i="5" s="1"/>
  <c r="L84" i="5"/>
  <c r="J84" i="5" s="1"/>
  <c r="J32" i="2"/>
  <c r="L90" i="5"/>
  <c r="J90" i="5" s="1"/>
  <c r="L83" i="5"/>
  <c r="J83" i="5" s="1"/>
  <c r="L74" i="5"/>
  <c r="J74" i="5" s="1"/>
  <c r="L94" i="5"/>
  <c r="J94" i="5" s="1"/>
  <c r="L89" i="5"/>
  <c r="J89" i="5" s="1"/>
  <c r="J35" i="2"/>
  <c r="J30" i="2"/>
  <c r="I43" i="11" s="1"/>
  <c r="M43" i="11" s="1"/>
  <c r="L73" i="5"/>
  <c r="J73" i="5" s="1"/>
  <c r="L72" i="5"/>
  <c r="L93" i="5"/>
  <c r="J93" i="5" s="1"/>
  <c r="L88" i="5"/>
  <c r="J88" i="5" s="1"/>
  <c r="L81" i="5"/>
  <c r="J81" i="5" s="1"/>
  <c r="L75" i="5"/>
  <c r="L92" i="5"/>
  <c r="L87" i="5"/>
  <c r="J87" i="5" s="1"/>
  <c r="L80" i="5"/>
  <c r="J80" i="5" s="1"/>
  <c r="J27" i="2"/>
  <c r="J26" i="2"/>
  <c r="L95" i="5"/>
  <c r="L86" i="5"/>
  <c r="J86" i="5" s="1"/>
  <c r="L79" i="5"/>
  <c r="J79" i="5" s="1"/>
  <c r="J29" i="2"/>
  <c r="J28" i="2"/>
  <c r="L78" i="5"/>
  <c r="J78" i="5" s="1"/>
  <c r="L77" i="5"/>
  <c r="J77" i="5" s="1"/>
  <c r="L76" i="5"/>
  <c r="J33" i="2"/>
  <c r="L35" i="5"/>
  <c r="J35" i="5" s="1"/>
  <c r="J21" i="2"/>
  <c r="L26" i="5"/>
  <c r="L17" i="5"/>
  <c r="L34" i="5"/>
  <c r="J34" i="5" s="1"/>
  <c r="J20" i="2"/>
  <c r="L24" i="5"/>
  <c r="L50" i="5"/>
  <c r="J50" i="5" s="1"/>
  <c r="L49" i="5"/>
  <c r="J49" i="5" s="1"/>
  <c r="L41" i="5"/>
  <c r="J41" i="5" s="1"/>
  <c r="L33" i="5"/>
  <c r="J33" i="5" s="1"/>
  <c r="L62" i="5"/>
  <c r="J62" i="5" s="1"/>
  <c r="L48" i="5"/>
  <c r="J48" i="5" s="1"/>
  <c r="L32" i="5"/>
  <c r="J32" i="5" s="1"/>
  <c r="J18" i="2"/>
  <c r="J14" i="2"/>
  <c r="L23" i="5"/>
  <c r="L14" i="5"/>
  <c r="L27" i="5"/>
  <c r="L15" i="5"/>
  <c r="L61" i="5"/>
  <c r="J61" i="5" s="1"/>
  <c r="L47" i="5"/>
  <c r="J47" i="5" s="1"/>
  <c r="L39" i="5"/>
  <c r="J39" i="5" s="1"/>
  <c r="L31" i="5"/>
  <c r="J31" i="5" s="1"/>
  <c r="J17" i="2"/>
  <c r="L22" i="5"/>
  <c r="L58" i="5"/>
  <c r="J11" i="2"/>
  <c r="L25" i="5"/>
  <c r="L60" i="5"/>
  <c r="J60" i="5" s="1"/>
  <c r="J25" i="2"/>
  <c r="L46" i="5"/>
  <c r="J46" i="5" s="1"/>
  <c r="L38" i="5"/>
  <c r="J38" i="5" s="1"/>
  <c r="L30" i="5"/>
  <c r="J30" i="5" s="1"/>
  <c r="L19" i="5"/>
  <c r="L21" i="5"/>
  <c r="J15" i="2"/>
  <c r="L67" i="5"/>
  <c r="J67" i="5" s="1"/>
  <c r="L59" i="5"/>
  <c r="J59" i="5" s="1"/>
  <c r="J23" i="2"/>
  <c r="L45" i="5"/>
  <c r="J45" i="5" s="1"/>
  <c r="L37" i="5"/>
  <c r="J37" i="5" s="1"/>
  <c r="L29" i="5"/>
  <c r="J16" i="2"/>
  <c r="J12" i="2"/>
  <c r="L20" i="5"/>
  <c r="L66" i="5"/>
  <c r="J66" i="5" s="1"/>
  <c r="L36" i="5"/>
  <c r="J36" i="5" s="1"/>
  <c r="L13" i="5"/>
  <c r="L9" i="5"/>
  <c r="L11" i="5"/>
  <c r="L12" i="5"/>
  <c r="L8" i="5"/>
  <c r="L10" i="5"/>
  <c r="J8" i="2"/>
  <c r="I15" i="30" l="1"/>
  <c r="I5" i="30" s="1"/>
  <c r="K5" i="30"/>
  <c r="K49" i="11"/>
  <c r="I41" i="11"/>
  <c r="J17" i="11"/>
  <c r="I44" i="11"/>
  <c r="I49" i="11"/>
  <c r="K37" i="11"/>
  <c r="I39" i="11"/>
  <c r="I40" i="11"/>
  <c r="I47" i="11"/>
  <c r="I48" i="11"/>
  <c r="I38" i="11"/>
  <c r="M38" i="11" s="1"/>
  <c r="J58" i="5"/>
  <c r="L8" i="11" s="1"/>
  <c r="K40" i="11"/>
  <c r="J10" i="11"/>
  <c r="I42" i="11"/>
  <c r="J92" i="5"/>
  <c r="K45" i="11"/>
  <c r="M45" i="11" s="1"/>
  <c r="J96" i="5"/>
  <c r="L15" i="11" s="1"/>
  <c r="K47" i="11"/>
  <c r="J75" i="5"/>
  <c r="L10" i="11" s="1"/>
  <c r="K42" i="11"/>
  <c r="J95" i="5"/>
  <c r="L14" i="11" s="1"/>
  <c r="N14" i="11" s="1"/>
  <c r="K46" i="11"/>
  <c r="M46" i="11" s="1"/>
  <c r="J125" i="5"/>
  <c r="L17" i="11" s="1"/>
  <c r="J76" i="5"/>
  <c r="L12" i="11" s="1"/>
  <c r="K44" i="11"/>
  <c r="J72" i="5"/>
  <c r="L9" i="11" s="1"/>
  <c r="K41" i="11"/>
  <c r="J29" i="5"/>
  <c r="L7" i="11" s="1"/>
  <c r="K39" i="11"/>
  <c r="J103" i="5"/>
  <c r="L16" i="11" s="1"/>
  <c r="K48" i="11"/>
  <c r="J9" i="11"/>
  <c r="J16" i="11"/>
  <c r="J15" i="11"/>
  <c r="J18" i="11"/>
  <c r="L5" i="11"/>
  <c r="J7" i="11"/>
  <c r="J12" i="11"/>
  <c r="J6" i="11"/>
  <c r="N6" i="11" s="1"/>
  <c r="J11" i="11"/>
  <c r="N11" i="11" s="1"/>
  <c r="J8" i="11"/>
  <c r="L18" i="11"/>
  <c r="L13" i="11"/>
  <c r="N13" i="11" s="1"/>
  <c r="L5" i="5"/>
  <c r="M41" i="11" l="1"/>
  <c r="M44" i="11"/>
  <c r="N17" i="11"/>
  <c r="M49" i="11"/>
  <c r="M40" i="11"/>
  <c r="M47" i="11"/>
  <c r="J5" i="5"/>
  <c r="M48" i="11"/>
  <c r="M42" i="11"/>
  <c r="M39" i="11"/>
  <c r="N10" i="11"/>
  <c r="K51" i="11"/>
  <c r="N18" i="11"/>
  <c r="N16" i="11"/>
  <c r="N15" i="11"/>
  <c r="L19" i="11"/>
  <c r="N9" i="11"/>
  <c r="N12" i="11"/>
  <c r="N7" i="11"/>
  <c r="N8" i="11"/>
  <c r="K53" i="11" l="1"/>
  <c r="K52" i="11" s="1"/>
  <c r="L31" i="11"/>
  <c r="L30" i="11"/>
  <c r="L27" i="11"/>
  <c r="L25" i="11"/>
  <c r="L26" i="11"/>
  <c r="L29" i="11"/>
  <c r="L22" i="11"/>
  <c r="L28" i="11"/>
  <c r="B9" i="10"/>
  <c r="B76" i="2"/>
  <c r="B9" i="2"/>
  <c r="B8" i="2"/>
  <c r="L5" i="2"/>
  <c r="J4" i="2"/>
  <c r="J9" i="2" l="1"/>
  <c r="I93" i="15"/>
  <c r="B5" i="2"/>
  <c r="H6" i="26"/>
  <c r="H10" i="26" s="1"/>
  <c r="H14" i="26" s="1"/>
  <c r="H18" i="26" s="1"/>
  <c r="H22" i="26" s="1"/>
  <c r="H26" i="26" s="1"/>
  <c r="H30" i="26" s="1"/>
  <c r="F70" i="26"/>
  <c r="J5" i="11" l="1"/>
  <c r="J19" i="11" s="1"/>
  <c r="J22" i="11" s="1"/>
  <c r="N22" i="11" s="1"/>
  <c r="I37" i="11"/>
  <c r="J5" i="2"/>
  <c r="H34" i="26"/>
  <c r="H38" i="26" s="1"/>
  <c r="H42" i="26" s="1"/>
  <c r="H46" i="26" s="1"/>
  <c r="H50" i="26" s="1"/>
  <c r="H54" i="26" s="1"/>
  <c r="H58" i="26" s="1"/>
  <c r="H62" i="26" s="1"/>
  <c r="H66" i="26" s="1"/>
  <c r="H70" i="26" s="1"/>
  <c r="H31" i="15"/>
  <c r="M37" i="11" l="1"/>
  <c r="M51" i="11" s="1"/>
  <c r="I51" i="11"/>
  <c r="I53" i="11" s="1"/>
  <c r="N5" i="11"/>
  <c r="N19" i="11" s="1"/>
  <c r="M53" i="11" l="1"/>
  <c r="M52" i="11" s="1"/>
  <c r="M55" i="11" s="1"/>
  <c r="I52" i="11"/>
  <c r="J31" i="15" l="1"/>
  <c r="I31" i="15"/>
  <c r="L23" i="15" l="1"/>
  <c r="J4" i="15"/>
  <c r="J15" i="15" s="1"/>
  <c r="J39" i="15" l="1"/>
  <c r="B8" i="10" l="1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B8" i="18"/>
  <c r="N5" i="18"/>
  <c r="M5" i="18"/>
  <c r="L5" i="18"/>
  <c r="K5" i="18"/>
  <c r="J5" i="18"/>
  <c r="C10" i="11" s="1"/>
  <c r="H5" i="18"/>
  <c r="D10" i="11" s="1"/>
  <c r="E10" i="11" l="1"/>
  <c r="C19" i="11" l="1"/>
  <c r="C40" i="11" s="1"/>
  <c r="C39" i="11" s="1"/>
  <c r="K5" i="9" l="1"/>
  <c r="D7" i="11" s="1"/>
  <c r="J5" i="7" l="1"/>
  <c r="D6" i="11" s="1"/>
  <c r="D5" i="11"/>
  <c r="C16" i="11" l="1"/>
  <c r="C21" i="11" l="1"/>
  <c r="C36" i="11"/>
  <c r="O5" i="8"/>
  <c r="N5" i="8"/>
  <c r="M5" i="8"/>
  <c r="L5" i="8"/>
  <c r="K5" i="8"/>
  <c r="C4" i="11" s="1"/>
  <c r="I5" i="8"/>
  <c r="C5" i="11"/>
  <c r="E5" i="11"/>
  <c r="Q5" i="7"/>
  <c r="P5" i="7"/>
  <c r="O5" i="7"/>
  <c r="N5" i="7"/>
  <c r="M5" i="7"/>
  <c r="C6" i="11" s="1"/>
  <c r="K5" i="7"/>
  <c r="E6" i="11" s="1"/>
  <c r="R5" i="9"/>
  <c r="Q5" i="9"/>
  <c r="P5" i="9"/>
  <c r="O5" i="9"/>
  <c r="N5" i="9"/>
  <c r="C7" i="11" s="1"/>
  <c r="L5" i="9"/>
  <c r="E7" i="11" s="1"/>
  <c r="N5" i="10"/>
  <c r="M5" i="10"/>
  <c r="L5" i="10"/>
  <c r="K5" i="10"/>
  <c r="J5" i="10"/>
  <c r="C8" i="11" s="1"/>
  <c r="C3" i="11"/>
  <c r="B51" i="11" l="1"/>
  <c r="C51" i="11" s="1"/>
  <c r="D4" i="11"/>
  <c r="E4" i="11"/>
  <c r="E3" i="11"/>
  <c r="D3" i="11"/>
  <c r="B52" i="11" s="1"/>
  <c r="C9" i="11"/>
  <c r="B53" i="11" l="1"/>
  <c r="C11" i="11"/>
  <c r="C14" i="11" s="1"/>
  <c r="A9" i="10"/>
  <c r="A9" i="9"/>
  <c r="A10" i="9" s="1"/>
  <c r="A11" i="9" s="1"/>
  <c r="A12" i="9" s="1"/>
  <c r="A13" i="9" s="1"/>
  <c r="A14" i="9" s="1"/>
  <c r="A15" i="9" s="1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G5" i="10" l="1"/>
  <c r="D8" i="11" s="1"/>
  <c r="D9" i="11" s="1"/>
  <c r="H5" i="10"/>
  <c r="E8" i="11" s="1"/>
  <c r="E9" i="11" s="1"/>
  <c r="E11" i="11" s="1"/>
  <c r="D13" i="11" l="1"/>
  <c r="C25" i="11"/>
  <c r="D11" i="11"/>
  <c r="L43" i="15" l="1"/>
  <c r="H93" i="15"/>
  <c r="L44" i="15"/>
  <c r="L93" i="15" l="1"/>
  <c r="C33" i="11" s="1"/>
  <c r="C27" i="11" l="1"/>
  <c r="C37" i="11"/>
  <c r="C44" i="11"/>
  <c r="C46" i="11" s="1"/>
  <c r="C12" i="11"/>
  <c r="D12" i="11" s="1"/>
  <c r="L13" i="25"/>
  <c r="K13" i="25"/>
  <c r="K15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8" authorId="0" shapeId="0" xr:uid="{1D002CFF-7F77-4012-A920-BE74220D70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RX 300 LUXURY 4X2 AT</t>
        </r>
      </text>
    </comment>
    <comment ref="D9" authorId="0" shapeId="0" xr:uid="{D46C6688-16C5-46E7-9914-9D5081E066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X500 SUPREME EV4X2AT</t>
        </r>
      </text>
    </comment>
    <comment ref="D10" authorId="0" shapeId="0" xr:uid="{39115645-9250-4F8E-B134-1C97A4F5CA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5D9 (VEGA-ZR)</t>
        </r>
      </text>
    </comment>
    <comment ref="D11" authorId="0" shapeId="0" xr:uid="{07558454-CAFB-44EF-9388-5372FCED0A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5D9 (VEGA-ZR)</t>
        </r>
      </text>
    </comment>
  </commentList>
</comments>
</file>

<file path=xl/sharedStrings.xml><?xml version="1.0" encoding="utf-8"?>
<sst xmlns="http://schemas.openxmlformats.org/spreadsheetml/2006/main" count="7022" uniqueCount="1095">
  <si>
    <t>1. KAS dan SETARA KAS</t>
  </si>
  <si>
    <t>2. PIUTANG</t>
  </si>
  <si>
    <t>3. INVESTASI/SEKURITAS</t>
  </si>
  <si>
    <t>Saham yang dibeli untuk dijual kembali/Saham Non Bursa/Saham Bursa/Obligasi Perusahaan/Obligasi Pemerintah IndonesiaSurat Utang Lainnya/Asuransi/Unit Link di Asuransi</t>
  </si>
  <si>
    <t>4. HARTA BERGERAK</t>
  </si>
  <si>
    <t>Uang Tunai/Tabungan/Giro/Deposito</t>
  </si>
  <si>
    <t>Motor/Mobil</t>
  </si>
  <si>
    <t>5. HARTA TIDAK BERGERAK</t>
  </si>
  <si>
    <t>Tanah Kosong/Tanah Bangunan untuk Tempat Tinggal/Apartemen/Vessel/Tanah atau Lahan untuk Usaha/Tanah Bangunan untuk Usaha atau yang disewakan</t>
  </si>
  <si>
    <t>Emas Batangan/Emas Perhiasan/Permata/Barang Barang Seni dan Antik/Peralatan Elektronik/Perabot Rumah Tangga/Harta Tidak Berwujud Lainnya</t>
  </si>
  <si>
    <t>0101</t>
  </si>
  <si>
    <t>UANG TUNAI/BANK NOTE/KOIN</t>
  </si>
  <si>
    <t>0102</t>
  </si>
  <si>
    <t>0103</t>
  </si>
  <si>
    <t>GIRO</t>
  </si>
  <si>
    <t>0104</t>
  </si>
  <si>
    <t>DEPOSITO</t>
  </si>
  <si>
    <t>0105</t>
  </si>
  <si>
    <t>UANG ELEKTRONIK</t>
  </si>
  <si>
    <t>0106</t>
  </si>
  <si>
    <t>CEK</t>
  </si>
  <si>
    <t>0107</t>
  </si>
  <si>
    <t>WESSEL</t>
  </si>
  <si>
    <t>0108</t>
  </si>
  <si>
    <t>KERTAS KOMERSIAL</t>
  </si>
  <si>
    <t>0109</t>
  </si>
  <si>
    <t>SETARA KAS LAINNYA</t>
  </si>
  <si>
    <t>TABUNGAN</t>
  </si>
  <si>
    <t>UANG TUNAI</t>
  </si>
  <si>
    <t>PERMATA</t>
  </si>
  <si>
    <t>-</t>
  </si>
  <si>
    <t>TAHUN PEROLEHAN</t>
  </si>
  <si>
    <t>INVESTASI LAINNYA</t>
  </si>
  <si>
    <t>(Harta PPS/
Harta Investasi PPS)</t>
  </si>
  <si>
    <t>0301</t>
  </si>
  <si>
    <t>SAHAM YANG DIBELI UNTUK DIJUAL KEMBALI</t>
  </si>
  <si>
    <t>0302</t>
  </si>
  <si>
    <t>SAHAM NON BURSA</t>
  </si>
  <si>
    <t>0303</t>
  </si>
  <si>
    <t>0304</t>
  </si>
  <si>
    <t>OBLIGASI PERUSAHAAN</t>
  </si>
  <si>
    <t>0305</t>
  </si>
  <si>
    <t>OBLIGASI PEMERINTAH</t>
  </si>
  <si>
    <t>0306</t>
  </si>
  <si>
    <t>SURAT UTANG LAINNYA</t>
  </si>
  <si>
    <t>0307</t>
  </si>
  <si>
    <t>0309</t>
  </si>
  <si>
    <t>PENYERTAAN MODAL DALAM PERUSAHAAN LAIN YANG BUKAN ATAS SAHAM</t>
  </si>
  <si>
    <t>0310</t>
  </si>
  <si>
    <t>ASURANSI</t>
  </si>
  <si>
    <t>0311</t>
  </si>
  <si>
    <t>UNIT LINK DI ASURANSI</t>
  </si>
  <si>
    <t>0399</t>
  </si>
  <si>
    <t>CLOSE</t>
  </si>
  <si>
    <t>NILAI TAHUN SEBELUMNYA</t>
  </si>
  <si>
    <t>NO</t>
  </si>
  <si>
    <t>BANK / INSTITUSI / PENERIMA INVESTASI</t>
  </si>
  <si>
    <t>LOKASI HARTA</t>
  </si>
  <si>
    <t>DESKRIPSI</t>
  </si>
  <si>
    <t>KODE</t>
  </si>
  <si>
    <t>NILAI SAAT INI
(2025)</t>
  </si>
  <si>
    <t>HARGA PEROLEHAN</t>
  </si>
  <si>
    <t>NOMOR AKUN</t>
  </si>
  <si>
    <t>NPWP</t>
  </si>
  <si>
    <t>NAMA</t>
  </si>
  <si>
    <t>0401</t>
  </si>
  <si>
    <t>SEPEDA</t>
  </si>
  <si>
    <t>0402</t>
  </si>
  <si>
    <t>SEPEDA MOTOR</t>
  </si>
  <si>
    <t>0403</t>
  </si>
  <si>
    <t>MOBIL PENUMPANG</t>
  </si>
  <si>
    <t>0404</t>
  </si>
  <si>
    <t>BUS</t>
  </si>
  <si>
    <t>0405</t>
  </si>
  <si>
    <t>KENDARAAN ANGKUTAN JALAN</t>
  </si>
  <si>
    <t>0406</t>
  </si>
  <si>
    <t>KENDARAAN TUJUAN KHUSUS</t>
  </si>
  <si>
    <t>0407</t>
  </si>
  <si>
    <t>KERETA</t>
  </si>
  <si>
    <t>0408</t>
  </si>
  <si>
    <t>PESAWAT TERBANG</t>
  </si>
  <si>
    <t>0409</t>
  </si>
  <si>
    <t>KAPAL</t>
  </si>
  <si>
    <t>0410</t>
  </si>
  <si>
    <t>MESIN</t>
  </si>
  <si>
    <t>0411</t>
  </si>
  <si>
    <t>GEROBAK</t>
  </si>
  <si>
    <t>0412</t>
  </si>
  <si>
    <t>KAPAL PESIAR</t>
  </si>
  <si>
    <t>0499</t>
  </si>
  <si>
    <t>HARTA BERGERAK LAINNYA</t>
  </si>
  <si>
    <t xml:space="preserve">NAMA BANK/INSTITUSI </t>
  </si>
  <si>
    <t>ATAS NAMA</t>
  </si>
  <si>
    <t>(HARTA PPS/
HARTA INVESTASI PPS)</t>
  </si>
  <si>
    <t>TIPE</t>
  </si>
  <si>
    <t>MEREK/MODEL</t>
  </si>
  <si>
    <t>NOMOR POLISI/REGISTRASI</t>
  </si>
  <si>
    <t>KEPEMILIKAN</t>
  </si>
  <si>
    <t>LOKASI PENERIMA PINJAMAN</t>
  </si>
  <si>
    <t>PENERIMA PINJAMAN</t>
  </si>
  <si>
    <t>NIK / NPWP</t>
  </si>
  <si>
    <t>NILAI PIUTANG</t>
  </si>
  <si>
    <t>TAHUN DIMULAI</t>
  </si>
  <si>
    <t>NILAI PIUTANG SAAT INI
(2025)</t>
  </si>
  <si>
    <t>0201</t>
  </si>
  <si>
    <t>PIUTANG USAHA</t>
  </si>
  <si>
    <t>0202</t>
  </si>
  <si>
    <t>PIUTANG AFILIASI</t>
  </si>
  <si>
    <t>0209</t>
  </si>
  <si>
    <t>PIUTANG LAINNYA</t>
  </si>
  <si>
    <t>MILIK SENDIRI/
ORANG LAIN</t>
  </si>
  <si>
    <t>0601</t>
  </si>
  <si>
    <t>PATEN</t>
  </si>
  <si>
    <t>0602</t>
  </si>
  <si>
    <t>ROYALTI</t>
  </si>
  <si>
    <t>0603</t>
  </si>
  <si>
    <t>MEREK DAGANG</t>
  </si>
  <si>
    <t>0699</t>
  </si>
  <si>
    <t>HARTA TIDAK BERWUJUD LAINNYA</t>
  </si>
  <si>
    <t>0701</t>
  </si>
  <si>
    <t>EMAS BATANGAN</t>
  </si>
  <si>
    <t>0702</t>
  </si>
  <si>
    <t>EMAS PERHIASAN</t>
  </si>
  <si>
    <t>0703</t>
  </si>
  <si>
    <t>BATANGAN NON EMAS</t>
  </si>
  <si>
    <t>0704</t>
  </si>
  <si>
    <t>PERHIASAN NON EMAS</t>
  </si>
  <si>
    <t>0705</t>
  </si>
  <si>
    <t>0706</t>
  </si>
  <si>
    <t>BARANG-BARANG SENI DAN ANTIK</t>
  </si>
  <si>
    <t>0707</t>
  </si>
  <si>
    <t>PERALATAN OLAH RAGA KHUSUS</t>
  </si>
  <si>
    <t>0708</t>
  </si>
  <si>
    <t>PERALATAN ELEKTRONIK</t>
  </si>
  <si>
    <t>0709</t>
  </si>
  <si>
    <t>PERABOT RUMAH TANGGA</t>
  </si>
  <si>
    <t>0710</t>
  </si>
  <si>
    <t>PERALATAN KANTOR</t>
  </si>
  <si>
    <t>0711</t>
  </si>
  <si>
    <t>JET SKI</t>
  </si>
  <si>
    <t>0712</t>
  </si>
  <si>
    <t>PERSEDIAAN USAHA</t>
  </si>
  <si>
    <t>6. HARTA LAINNYA</t>
  </si>
  <si>
    <t>BUKTI KEPEMILIKAN/NOMOR AKUN</t>
  </si>
  <si>
    <t>INFORMASI TAMBAHAN</t>
  </si>
  <si>
    <t>UKURAN PROPERTI</t>
  </si>
  <si>
    <t>TANAH</t>
  </si>
  <si>
    <t>BANGUNAN</t>
  </si>
  <si>
    <t>SUMBER KEPEMILIKAN</t>
  </si>
  <si>
    <t>NOMOR SERTIFIKAT</t>
  </si>
  <si>
    <t>0501</t>
  </si>
  <si>
    <t>TANAH KOSONG</t>
  </si>
  <si>
    <t>0502</t>
  </si>
  <si>
    <t>TANAH DAN/ATAU BANGUNAN UNTUK TEMPAT TINGGAL</t>
  </si>
  <si>
    <t>0503</t>
  </si>
  <si>
    <t>APARTEMEN</t>
  </si>
  <si>
    <t>0504</t>
  </si>
  <si>
    <t>VESSEL</t>
  </si>
  <si>
    <t>0505</t>
  </si>
  <si>
    <t>TANAH ATAU LAHAN UNTUK USAHA (LAHAN PERTANIAN, PERKEBUNAN, DSB)</t>
  </si>
  <si>
    <t>0506</t>
  </si>
  <si>
    <t>TANAH DAN/ATAU BANGUNAN UNTUK USAHA (TOKO, PABRIK, DSB)</t>
  </si>
  <si>
    <t>0507</t>
  </si>
  <si>
    <t>TANAH DAN/ATAU BANGUNAN YANG DISEWAKAN</t>
  </si>
  <si>
    <t>0509</t>
  </si>
  <si>
    <t>HARTA TIDAK BERGERAK LAINNYA</t>
  </si>
  <si>
    <t>DETAIL</t>
  </si>
  <si>
    <t>CEK  TYPE DI STNK (DIBAWAH TULISAN MERK)</t>
  </si>
  <si>
    <t>CEK PBB 2025</t>
  </si>
  <si>
    <t>CEK NJOP PBB 2025</t>
  </si>
  <si>
    <t>POINT</t>
  </si>
  <si>
    <t>KAS</t>
  </si>
  <si>
    <t>PIUTANG</t>
  </si>
  <si>
    <t>INVEST</t>
  </si>
  <si>
    <t>HARTA BERGERAK</t>
  </si>
  <si>
    <t>HARTA TIDAK BERGERAK</t>
  </si>
  <si>
    <t>HARTA LAINNYA</t>
  </si>
  <si>
    <t>TOTAL HARTA</t>
  </si>
  <si>
    <t>KETERANGAN</t>
  </si>
  <si>
    <t>Omset UMKM</t>
  </si>
  <si>
    <t>Bayar Pajak</t>
  </si>
  <si>
    <t>Bunga</t>
  </si>
  <si>
    <t>Perhitungan</t>
  </si>
  <si>
    <t>2025 DJP</t>
  </si>
  <si>
    <t>2025 CTX</t>
  </si>
  <si>
    <t>SETARA KAS</t>
  </si>
  <si>
    <t>Daftar Jumlah Peredaran Bruto dan Pembayaran PPh Final berdasarkan PP 55 Tahun 2022</t>
  </si>
  <si>
    <t>Peredaran Bruto</t>
  </si>
  <si>
    <t>REKSADANA</t>
  </si>
  <si>
    <t>Est. Margin UMKM (30%)</t>
  </si>
  <si>
    <t>B. UTANG PAJAK PADA AKHIR TAHUN</t>
  </si>
  <si>
    <t>NEGARA KREDITUR</t>
  </si>
  <si>
    <t>TAHUN PEMINJAMAN</t>
  </si>
  <si>
    <t>UTANG BANK/LEMBAGA KEUANGAN BUKAN BANK</t>
  </si>
  <si>
    <t>KARTU KREDIT</t>
  </si>
  <si>
    <t>UTANG AFILIASI</t>
  </si>
  <si>
    <t>UTANG LAINNYA</t>
  </si>
  <si>
    <t>NOP: 31.71.070.001.013-0028.0</t>
  </si>
  <si>
    <t>NOP: 31.71.070.001.017-0141.0</t>
  </si>
  <si>
    <t>TOTAL HUTANG</t>
  </si>
  <si>
    <t>NET</t>
  </si>
  <si>
    <t>BUNGA 1 TAHUN</t>
  </si>
  <si>
    <t>PAJAK</t>
  </si>
  <si>
    <t>BUNGA-PAJAK</t>
  </si>
  <si>
    <t>OWNERSHIP MOVEABLE ASSET</t>
  </si>
  <si>
    <t>Code</t>
  </si>
  <si>
    <t>Code Description</t>
  </si>
  <si>
    <t>OTHER</t>
  </si>
  <si>
    <t>Atas nama pihak lain</t>
  </si>
  <si>
    <t>TAXPAYER</t>
  </si>
  <si>
    <t>Atas nama sendiri</t>
  </si>
  <si>
    <t>Source of Income</t>
  </si>
  <si>
    <t>Code Name</t>
  </si>
  <si>
    <t>Debt</t>
  </si>
  <si>
    <t>Utang</t>
  </si>
  <si>
    <t>Gift</t>
  </si>
  <si>
    <t>Hadiah</t>
  </si>
  <si>
    <t>Grant</t>
  </si>
  <si>
    <t>Hibah</t>
  </si>
  <si>
    <t>Inheritance</t>
  </si>
  <si>
    <t>Warisan</t>
  </si>
  <si>
    <t>Other sources</t>
  </si>
  <si>
    <t>Sumber lainnya</t>
  </si>
  <si>
    <t>Own Income</t>
  </si>
  <si>
    <t>Hasil Sendiri</t>
  </si>
  <si>
    <t>Indonesia</t>
  </si>
  <si>
    <t>KREDITUR</t>
  </si>
  <si>
    <t>Total</t>
  </si>
  <si>
    <t>BANK CENTRAL ASIA</t>
  </si>
  <si>
    <t>OBLIGASI</t>
  </si>
  <si>
    <t>TINGKAT IMBALAN</t>
  </si>
  <si>
    <t>JATUH TEMPO</t>
  </si>
  <si>
    <t>BUNGA 1 TAHUN (MATA UANG ASAL)</t>
  </si>
  <si>
    <t>KEUNTUNGAN PENJUALAN OBLIGASI</t>
  </si>
  <si>
    <t>CAPITAL GAIN</t>
  </si>
  <si>
    <t>IMBALAN</t>
  </si>
  <si>
    <t>Kurs 2024</t>
  </si>
  <si>
    <t>Kurs 2025</t>
  </si>
  <si>
    <t>SALDO 2024 (dalam mata uang asal)</t>
  </si>
  <si>
    <t>SALDO 2025 (dalam mata uang asal)</t>
  </si>
  <si>
    <t>Nilai 2024</t>
  </si>
  <si>
    <t>Nilai 2025</t>
  </si>
  <si>
    <t>Selisih Kurs</t>
  </si>
  <si>
    <t>Total Kenaikan Harta berdasarkan Selisih Kurs</t>
  </si>
  <si>
    <t>0013084496091000</t>
  </si>
  <si>
    <t>0 M2</t>
  </si>
  <si>
    <t>SALDO SAAT INI
(2025)</t>
  </si>
  <si>
    <t>Per Masa Pajak Serta Dari Masing-Masing Tempat Usaha Tahun 2025</t>
  </si>
  <si>
    <t>ALAMAT</t>
  </si>
  <si>
    <t>Masa</t>
  </si>
  <si>
    <t>PPh Final</t>
  </si>
  <si>
    <t>Total Peredaran Bruto</t>
  </si>
  <si>
    <t>Perhitungan Pengurangan</t>
  </si>
  <si>
    <t>PPh Final
Harus Dibayar</t>
  </si>
  <si>
    <t>Paraf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</si>
  <si>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</si>
  <si>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</si>
  <si>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</si>
  <si>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</si>
  <si>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</si>
  <si>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</si>
  <si>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</si>
  <si>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</si>
  <si>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</si>
  <si>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</si>
  <si>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</si>
  <si>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</si>
  <si>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Sewa</t>
  </si>
  <si>
    <t>NPWP Penjual</t>
  </si>
  <si>
    <t>Nama Penjual</t>
  </si>
  <si>
    <t>Nomor Faktur Pajak</t>
  </si>
  <si>
    <t>Tanggal Faktur Pajak</t>
  </si>
  <si>
    <t>Masa Pajak</t>
  </si>
  <si>
    <t>Tahun</t>
  </si>
  <si>
    <t>Masa Pajak Pengkreditkan</t>
  </si>
  <si>
    <t>Tahun Pajak Pengkreditan</t>
  </si>
  <si>
    <t>Status Faktur</t>
  </si>
  <si>
    <t>Harga Jual/Penggantian/DPP</t>
  </si>
  <si>
    <t>DPP Nilai Lain/DPP</t>
  </si>
  <si>
    <t>PPN</t>
  </si>
  <si>
    <t>PPnBM</t>
  </si>
  <si>
    <t>Perekam</t>
  </si>
  <si>
    <t>Referensi</t>
  </si>
  <si>
    <t>Nomor SP2D</t>
  </si>
  <si>
    <t>Valid</t>
  </si>
  <si>
    <t>Dilaporkan</t>
  </si>
  <si>
    <t>Dilaporkan oleh Penjual</t>
  </si>
  <si>
    <t>NO.</t>
  </si>
  <si>
    <t>NAMA HARTA</t>
  </si>
  <si>
    <t>TAHUN 
PEROLEHAN</t>
  </si>
  <si>
    <t>061</t>
  </si>
  <si>
    <t>TANAH DAN RUMAH LAMANDAU</t>
  </si>
  <si>
    <t>JALAN LAMANDAU 1 NO. 19</t>
  </si>
  <si>
    <t>APARTEMEN SERPONG MIDTOWN</t>
  </si>
  <si>
    <t>PPJB</t>
  </si>
  <si>
    <t>043</t>
  </si>
  <si>
    <t>MOBIL SMART PASSION</t>
  </si>
  <si>
    <t>NO. POL : B 1660 SOE</t>
  </si>
  <si>
    <t>TANAH DAN BANGUNAN DESA LEGOK</t>
  </si>
  <si>
    <t>JL. DESA LEGOK GAOK RT. 02 RW. 05</t>
  </si>
  <si>
    <t>011</t>
  </si>
  <si>
    <t>TANAH KELURAHAN TANJUNG DUREN SELATAN, GROGOL</t>
  </si>
  <si>
    <t>1609/XIII/CATTELYA</t>
  </si>
  <si>
    <t>TANAH DAN BANGUNAN SENTRA BUMI NIAGA SURYA GRAND</t>
  </si>
  <si>
    <t>006/LG/PPJB-SP/XI/16</t>
  </si>
  <si>
    <t>051</t>
  </si>
  <si>
    <t>PERHIASAN</t>
  </si>
  <si>
    <t>062</t>
  </si>
  <si>
    <t>APARTEMEN LUCKY TOWER RESIDENCE</t>
  </si>
  <si>
    <t>00004/PP-APT/SMU/III/2014</t>
  </si>
  <si>
    <t>053</t>
  </si>
  <si>
    <t>PERABOTAN DAN SENI</t>
  </si>
  <si>
    <t>012</t>
  </si>
  <si>
    <t xml:space="preserve">MOBIL BMW X5 </t>
  </si>
  <si>
    <t>NO.POL : B 2523 SXP - 70600392011</t>
  </si>
  <si>
    <t>MOBIL ALPHARD</t>
  </si>
  <si>
    <t>NO. POL : B 304 DEV - 70601882111</t>
  </si>
  <si>
    <t>MANDIRI - 10220004259296</t>
  </si>
  <si>
    <t>KOLEKSI UANG KUNO</t>
  </si>
  <si>
    <t>VALUTA ASING USD</t>
  </si>
  <si>
    <t>VALUTA ASING AUD</t>
  </si>
  <si>
    <t>032</t>
  </si>
  <si>
    <t>SAHAM BATAVIA LAND</t>
  </si>
  <si>
    <t>AKTA NO. 14</t>
  </si>
  <si>
    <t>031</t>
  </si>
  <si>
    <t>SAHAM PT. FAC SEKURITAS INDONESIA</t>
  </si>
  <si>
    <t>PANIN USD - 1004008898</t>
  </si>
  <si>
    <t>WELLS FARGO, USA (USD) - 3908725520</t>
  </si>
  <si>
    <t>HSBC, AUS (AUD) - 012615621118</t>
  </si>
  <si>
    <t>HSBC, AUS (AUD) - 012640249090</t>
  </si>
  <si>
    <t>HSBC, AUS (USD) - 012640249090</t>
  </si>
  <si>
    <t>014</t>
  </si>
  <si>
    <t>HSBC, AUS (AUD) - 012615621053</t>
  </si>
  <si>
    <t>013</t>
  </si>
  <si>
    <t>TABUNGAN GIRO</t>
  </si>
  <si>
    <t>HSBC, HKG (HKD) - 622168102888</t>
  </si>
  <si>
    <t>HSBC, HKG (USD) - 622168102888</t>
  </si>
  <si>
    <t>OCBC, SGP (USD) - 508013802201</t>
  </si>
  <si>
    <t>OCBC, SGP (SGD) - 6524013254</t>
  </si>
  <si>
    <t>OCBC, SGP (SGD) - 584269120001</t>
  </si>
  <si>
    <t>OCBC, SGP (SGD) - 584269138001</t>
  </si>
  <si>
    <t>OCBC, SGP (USD) - 508655545401</t>
  </si>
  <si>
    <t>OCBC, SGP (SGD) - 6521012150</t>
  </si>
  <si>
    <t>PANIN - 1002000998</t>
  </si>
  <si>
    <t>PANIN - 1002890077</t>
  </si>
  <si>
    <t>PANIN USD - 1004307679</t>
  </si>
  <si>
    <t>PANIN - 1032009917</t>
  </si>
  <si>
    <t>PANIN - 100112016447</t>
  </si>
  <si>
    <t>AKUMULASI SD 2024</t>
  </si>
  <si>
    <t>APARTEMEN -  NEW SOUTH WALES, AUSTRALIA</t>
  </si>
  <si>
    <t xml:space="preserve"> 812/5, JOYNTON AVENUE ZETLAND</t>
  </si>
  <si>
    <t>PANIN - 1002056562</t>
  </si>
  <si>
    <t>UOB - 6293035781</t>
  </si>
  <si>
    <t>UOB - 6293061006</t>
  </si>
  <si>
    <t>UOB USD - 6299004411</t>
  </si>
  <si>
    <t>UOB - 6290003714</t>
  </si>
  <si>
    <t>PANIN - 100112011723 - MAUREEN</t>
  </si>
  <si>
    <t>PANIN - 100112023397 - MAUREEN</t>
  </si>
  <si>
    <t>PANIN - 100112027093 - MAUREEN</t>
  </si>
  <si>
    <t>PANIN - 1002059208</t>
  </si>
  <si>
    <t>PANIN - 1002063444</t>
  </si>
  <si>
    <t>PANIN - 100112030335</t>
  </si>
  <si>
    <t>PANIN - 100112031436</t>
  </si>
  <si>
    <t>PANIN - 100112031448</t>
  </si>
  <si>
    <t>PANIN - 100112031709</t>
  </si>
  <si>
    <t>PANIN - 100112027785 - MAUREEN</t>
  </si>
  <si>
    <t>PANIN - 100112031357 - MAUREEN</t>
  </si>
  <si>
    <t>BCA - 2610261071 - DEVI TAURISA</t>
  </si>
  <si>
    <t>UOB - 629000374</t>
  </si>
  <si>
    <t>019</t>
  </si>
  <si>
    <t>021</t>
  </si>
  <si>
    <t>MARGARETH NICOLE</t>
  </si>
  <si>
    <t>3172011604670003</t>
  </si>
  <si>
    <t>HARYANTO DJOJOE BUNTORO</t>
  </si>
  <si>
    <t>KURS</t>
  </si>
  <si>
    <t>USD</t>
  </si>
  <si>
    <t>IDR</t>
  </si>
  <si>
    <t>SALDO DALAM BENTUK AWAL
(2025)</t>
  </si>
  <si>
    <t>BANK PAN INDONESIA</t>
  </si>
  <si>
    <t>1. Rp 16.777,00 Untuk dolar Amerika Serikat (USD) 1,-</t>
  </si>
  <si>
    <t>BANK UOB INDONESIA</t>
  </si>
  <si>
    <t>6290003714</t>
  </si>
  <si>
    <t xml:space="preserve"> 629000374</t>
  </si>
  <si>
    <t>BANK MANDIRI</t>
  </si>
  <si>
    <t>Estimasi Bunga dalam mata uang asal</t>
  </si>
  <si>
    <t>Est Bunga Net</t>
  </si>
  <si>
    <t>Estimasi Bunga dalam mata uang Rupiah</t>
  </si>
  <si>
    <t>LM &amp; PERHIASAN</t>
  </si>
  <si>
    <t>Sumber Penghasilan</t>
  </si>
  <si>
    <t>Pengeluaran</t>
  </si>
  <si>
    <t>Hutang</t>
  </si>
  <si>
    <t>currency for upload</t>
  </si>
  <si>
    <t>currency MENKEU</t>
  </si>
  <si>
    <t>RUMAH, JL. KEADILAN V NO. 33 A, RT 012 RW 05, GLODOK, TAMAN SARI, JAKARTA BARAT</t>
  </si>
  <si>
    <t>84 M2</t>
  </si>
  <si>
    <t>200 M2</t>
  </si>
  <si>
    <t>317405000500900900</t>
  </si>
  <si>
    <t>RUMAH,JL.WALET INDAH I NO. 21, KAV.ST/NI-2, RT 14 RW 06, KAPUK MUARA, PENJARINGAN, JAKARTA UTARA</t>
  </si>
  <si>
    <t>420 M2</t>
  </si>
  <si>
    <t>381 M2</t>
  </si>
  <si>
    <t>317501000204600030</t>
  </si>
  <si>
    <t>930 M2</t>
  </si>
  <si>
    <t>361915101300403160</t>
  </si>
  <si>
    <t>KAVLING, LAKSANA BISNIS PARK UNIT BB03, LAKSANA, PAKU HAJI, KAB. TANGERANG, BANTEN</t>
  </si>
  <si>
    <t>361915101300403170</t>
  </si>
  <si>
    <t>RUMAH, JL.WALET PERMAI 3 NO.7 ST/K7-08, KAPUK MUARA, PENJARINGAN, JAKARTA UTARA</t>
  </si>
  <si>
    <t>175 M2</t>
  </si>
  <si>
    <t>198 M2</t>
  </si>
  <si>
    <t>317501000204501510</t>
  </si>
  <si>
    <t>RUMAH, PIK 2 TYPE GLADIOL, JL. TAMPA 2, SALEMBARAN JATI, KOSAMBI, KAB. TANGERANG, BANTEN</t>
  </si>
  <si>
    <t>100 M2</t>
  </si>
  <si>
    <t>142 M2</t>
  </si>
  <si>
    <t>361916100200315650</t>
  </si>
  <si>
    <t>131 M2</t>
  </si>
  <si>
    <t>317501000204700550</t>
  </si>
  <si>
    <t>217 M2</t>
  </si>
  <si>
    <t>164 M2</t>
  </si>
  <si>
    <t>317301000201300590</t>
  </si>
  <si>
    <t>20 M2</t>
  </si>
  <si>
    <t>317501100302013190</t>
  </si>
  <si>
    <t>RUKO, JL. MANGGA DUA RAYA BLOK F-5 NO.15, RT 03 RW 13, MANGGA DUA SELATAN, SAWAH BESAR, JAKARTA PUSAT</t>
  </si>
  <si>
    <t>63 M2</t>
  </si>
  <si>
    <t>219 M2</t>
  </si>
  <si>
    <t>317306000500208350</t>
  </si>
  <si>
    <t>RUKO, JL. MANGGA DUA RAYA BLOK F-5 NO.16, RT 03 RW 13, MANGGA DUA SELATAN, SAWAH BESAR, JAKARTA PUSAT</t>
  </si>
  <si>
    <t>76 M2</t>
  </si>
  <si>
    <t>304 M2</t>
  </si>
  <si>
    <t>317306000500200900</t>
  </si>
  <si>
    <t>TOKO, JEMBATAN ITC LT.II BLOK A NO.69, ANCOL, PADEMANGAN, JAKARTA UTARA</t>
  </si>
  <si>
    <t>17 M2</t>
  </si>
  <si>
    <t>317501100302009920</t>
  </si>
  <si>
    <t>RUMAH, JL. CAMAR INDAH I BLOK D-A NO.12, KAPUK MUARA, PENJARINGAN, JAKARTA UTARA</t>
  </si>
  <si>
    <t>316 M2</t>
  </si>
  <si>
    <t>317501000204302860</t>
  </si>
  <si>
    <t>KOMPLEK PERGUDANGAN SENTRA INDUSTRI TERPADU PIK, BLOK E2 NO. 55, KAMAL MUARA, PENJARINGAN, JAKARTA UTARA</t>
  </si>
  <si>
    <t>162 M2</t>
  </si>
  <si>
    <t>252 M2</t>
  </si>
  <si>
    <t>317501000101401930</t>
  </si>
  <si>
    <t>KOMPLEK PERGUDANGAN SENTRA INDUSTRI TERPADU PIK, BLOK E2 NO. 56, KAMAL MUARA, PENJARINGAN, JAKARTA UTARA</t>
  </si>
  <si>
    <t>317501000101401940</t>
  </si>
  <si>
    <t>KOMPLEK PERGUDANGAN SENTRA INDUSTRI TERPADU PIK, BLOK E2 NO. 57, KAMAL MUARA, PENJARINGAN, JAKARTA UTARA</t>
  </si>
  <si>
    <t>317501000101401950</t>
  </si>
  <si>
    <t>KOMPLEK PERGUDANGAN SENTRA INDUSTRI TERPADU PIK, BLOK E2 NO. 58, KAMAL MUARA, PENJARINGAN, JAKARTA UTARA</t>
  </si>
  <si>
    <t>317501000101401960</t>
  </si>
  <si>
    <t>TOKO, MANGGA DUA SQUARE UG-B145B, ANCOL, PADEMANGAN,  JAKARTA UTARA</t>
  </si>
  <si>
    <t>13 M2</t>
  </si>
  <si>
    <t>317501100302322570</t>
  </si>
  <si>
    <t>KOMPLEK PERGUDANGAN SENTRA INDUSTRI TERPADU PIK, BLOK E2 NO. 59, KAMAL MUARA, PENJARINGAN, JAKARTA UTARA</t>
  </si>
  <si>
    <t>317501000101401970</t>
  </si>
  <si>
    <t>RUKO, KOMPLEK TAMAN SURYA III BLOK J1 NO.14, PEGADUNGAN, KALIDERES, JAKARTA BARAT</t>
  </si>
  <si>
    <t>144 M2</t>
  </si>
  <si>
    <t>180 M2</t>
  </si>
  <si>
    <t>317402100302904980</t>
  </si>
  <si>
    <t>RUKO, KOMPLEK TAMAN SURYA III BLOK J1 NO.15, PEGADUNGAN, KALIDERES, JAKARTA BARAT</t>
  </si>
  <si>
    <t>156 M2</t>
  </si>
  <si>
    <t>317402100302904990</t>
  </si>
  <si>
    <t>RUKO, JL. MANGGA DUA RAYA BLOK F-5 NO.14, RT 03 RW 13, MANGGA DUA SELATAN, SAWAH BESAR, JAKARTA PUSAT</t>
  </si>
  <si>
    <t>317306000500208340</t>
  </si>
  <si>
    <t>TOKO, JEMBATAN ITC LT.II BLOK A NO.68, ANCOL, PADEMANGAN, JAKARTA UTARA</t>
  </si>
  <si>
    <t>16 M2</t>
  </si>
  <si>
    <t>317501100302009910</t>
  </si>
  <si>
    <t>KIOS, PASAR PAGI MANGGA DUA LANTAI SB BLOK C NO.54 JAK-UT</t>
  </si>
  <si>
    <t>KIOS, PASAR PAGI MANGGA DUA LANTAI SB BLOK C NO.55 JAK-UT</t>
  </si>
  <si>
    <t>KIOS, PASAR PAGI MANGGA DUA LANTAI SB BLOK C NO.56 JAK-UT</t>
  </si>
  <si>
    <t>5 M2</t>
  </si>
  <si>
    <t>317301000702431000</t>
  </si>
  <si>
    <t>4 M2</t>
  </si>
  <si>
    <t>317301000702431010</t>
  </si>
  <si>
    <t>STANDARD CHARTERED</t>
  </si>
  <si>
    <t>Tabungan 8170</t>
  </si>
  <si>
    <t>Tabungan 7263</t>
  </si>
  <si>
    <t>Tabungan USD $5.367</t>
  </si>
  <si>
    <t>Tabungan USD $7.841</t>
  </si>
  <si>
    <t>Tabungan USD 1,686</t>
  </si>
  <si>
    <t>Obligasi FR 72</t>
  </si>
  <si>
    <t>Obligasi FR 75</t>
  </si>
  <si>
    <t>Obligasi FR 81</t>
  </si>
  <si>
    <t>Obligasi ORI 021</t>
  </si>
  <si>
    <t>Obligasi SR011</t>
  </si>
  <si>
    <t>Obligasi ST008</t>
  </si>
  <si>
    <t>Obligasi BBRI IJ</t>
  </si>
  <si>
    <t>Obligasi TBIG</t>
  </si>
  <si>
    <t>Reksadana SDPP</t>
  </si>
  <si>
    <t>Reksadana MDS</t>
  </si>
  <si>
    <t>Reksadana SDK</t>
  </si>
  <si>
    <t>Reksadana Mansyaf USD $11.000</t>
  </si>
  <si>
    <t>Asuransi Prudent 721</t>
  </si>
  <si>
    <t>Asuransi Prudent 141</t>
  </si>
  <si>
    <t>Asuransi Jiwasraya 206</t>
  </si>
  <si>
    <t>Asuransi Jiwasraya 484</t>
  </si>
  <si>
    <t>Asuransi Jiwasraya 196</t>
  </si>
  <si>
    <t>Asuransi Jiwasraya 881</t>
  </si>
  <si>
    <t>Asuransi Pru USD $33.617</t>
  </si>
  <si>
    <t>Asuransi Jiwasraya 640</t>
  </si>
  <si>
    <t>FR064</t>
  </si>
  <si>
    <t>SR016</t>
  </si>
  <si>
    <t>ST011</t>
  </si>
  <si>
    <t>Reksadana SDMP</t>
  </si>
  <si>
    <t>Reksadana MOUA</t>
  </si>
  <si>
    <t>Obligasi ST011T2</t>
  </si>
  <si>
    <t>Obligasi SR021</t>
  </si>
  <si>
    <t>Obligasi ORI021</t>
  </si>
  <si>
    <t>Reksadana SDM2</t>
  </si>
  <si>
    <t>30610081702</t>
  </si>
  <si>
    <t>30607686992</t>
  </si>
  <si>
    <t>SINDJAJA JONANY</t>
  </si>
  <si>
    <t>ROSALINA CHANDRA</t>
  </si>
  <si>
    <t>306812112560</t>
  </si>
  <si>
    <t xml:space="preserve">Obligasi INDOIS 28 USD </t>
  </si>
  <si>
    <t>Manulife Obligasi Negara Indonesia II</t>
  </si>
  <si>
    <t>MONI 2 0775</t>
  </si>
  <si>
    <t>MONI 2 0403</t>
  </si>
  <si>
    <t>0033154576063000</t>
  </si>
  <si>
    <t>Manulife USD Fixed Income Kelas A2</t>
  </si>
  <si>
    <t xml:space="preserve">MFI2 USD </t>
  </si>
  <si>
    <t>SC</t>
  </si>
  <si>
    <t>KODE BANK</t>
  </si>
  <si>
    <t>Obligasi USD INDON 34</t>
  </si>
  <si>
    <t>USD INDON 34</t>
  </si>
  <si>
    <t>SR022 T5</t>
  </si>
  <si>
    <t>ST014 T4</t>
  </si>
  <si>
    <t>FR 58</t>
  </si>
  <si>
    <t>ORI27 T6</t>
  </si>
  <si>
    <t>FR 78</t>
  </si>
  <si>
    <t>ST015 T2</t>
  </si>
  <si>
    <t>SBR014 T2</t>
  </si>
  <si>
    <t>SR021 T5</t>
  </si>
  <si>
    <t>0010003358091000</t>
  </si>
  <si>
    <t>0013781138024000</t>
  </si>
  <si>
    <t>STANDARD CHARTERED BANK</t>
  </si>
  <si>
    <t>SAHAM BURSA</t>
  </si>
  <si>
    <t>010210020072665</t>
  </si>
  <si>
    <t>010210020079229</t>
  </si>
  <si>
    <t>010212029003270</t>
  </si>
  <si>
    <t>010210036010740</t>
  </si>
  <si>
    <t>BANK MEGA</t>
  </si>
  <si>
    <t>Deposito 30152041</t>
  </si>
  <si>
    <t>Deposito 6788</t>
  </si>
  <si>
    <t>Deposito 7374</t>
  </si>
  <si>
    <t>Deposito 6720</t>
  </si>
  <si>
    <t>0102100200360006730</t>
  </si>
  <si>
    <t>010210036007967</t>
  </si>
  <si>
    <t>TOTAL</t>
  </si>
  <si>
    <t>MG</t>
  </si>
  <si>
    <t>SR 021</t>
  </si>
  <si>
    <t>Obligasi INDOIS 24 USD $200.000</t>
  </si>
  <si>
    <t>Obligasi INDOIS 27 USD $200.000</t>
  </si>
  <si>
    <t>USD INDOIS 27</t>
  </si>
  <si>
    <t>0011080454091000</t>
  </si>
  <si>
    <t>BCA</t>
  </si>
  <si>
    <t>5910502699</t>
  </si>
  <si>
    <t>8740285689</t>
  </si>
  <si>
    <t>8740530683</t>
  </si>
  <si>
    <t>8740185668</t>
  </si>
  <si>
    <t>8740351711</t>
  </si>
  <si>
    <t>5910700598</t>
  </si>
  <si>
    <t>BCA Asuransi AIA No. Polis 29412100</t>
  </si>
  <si>
    <t>BCA Asuransi AIA No. Polis 29373998</t>
  </si>
  <si>
    <t>BCA Asuransi AIA No. Polis 29412096</t>
  </si>
  <si>
    <t>BCA - Obligasi SR012</t>
  </si>
  <si>
    <t>BCA - Obligasi SRI013</t>
  </si>
  <si>
    <t>BCA - Obligasi SRI015</t>
  </si>
  <si>
    <t>BCA - Obligasi INDOIS 23 USD $100.000</t>
  </si>
  <si>
    <t>BCA - Obligasi ORI 021</t>
  </si>
  <si>
    <t>BCA - SR019</t>
  </si>
  <si>
    <t>BCA - SBR012</t>
  </si>
  <si>
    <t>BCA - ORI 023</t>
  </si>
  <si>
    <t>BCA Asuransi AIA No. Polis 5291</t>
  </si>
  <si>
    <t>BCA - Obligasi ORI017</t>
  </si>
  <si>
    <t>Obligasi FR81</t>
  </si>
  <si>
    <t>Obligasi FR081</t>
  </si>
  <si>
    <t>Obligasi INDOIS 30 USD $200.000, 2024 $41.443</t>
  </si>
  <si>
    <t>Obligasi INDOIS 28 USD $250.000, USD $237.597</t>
  </si>
  <si>
    <t>ST010T2</t>
  </si>
  <si>
    <t>Obligasi INDON 32 USD $100.000, 2024 USD $94,885</t>
  </si>
  <si>
    <t>Obligasi USD INDON 47 $188.870</t>
  </si>
  <si>
    <t>Obligasi SR019T5</t>
  </si>
  <si>
    <t>Obligasi SBR012T2</t>
  </si>
  <si>
    <t>SJ</t>
  </si>
  <si>
    <t>RC</t>
  </si>
  <si>
    <t>Obligasi INDON 27NN USD $344.868</t>
  </si>
  <si>
    <t>Obligasi USD INDON 36</t>
  </si>
  <si>
    <t>Obligasi USD INDON 32</t>
  </si>
  <si>
    <t>Obligasi USD INDON 34 N</t>
  </si>
  <si>
    <t>Obligasi USD INDOIS 30</t>
  </si>
  <si>
    <t>Obligasi USD INDON 42</t>
  </si>
  <si>
    <t>Obligasi USD INDOIS 30N</t>
  </si>
  <si>
    <t xml:space="preserve">Obligasi USD INDON 45  </t>
  </si>
  <si>
    <t>0702102299</t>
  </si>
  <si>
    <t>0702013221</t>
  </si>
  <si>
    <t>0704400221</t>
  </si>
  <si>
    <t>PAN</t>
  </si>
  <si>
    <t>Obligasi ORI019</t>
  </si>
  <si>
    <t>Obligasi SBR010</t>
  </si>
  <si>
    <t>Obligasi INDON 24 New USD $200.000</t>
  </si>
  <si>
    <t>Obligasi INDON 42 USD $200.000</t>
  </si>
  <si>
    <t>Obligasi SUKUK 27 USD $200.000</t>
  </si>
  <si>
    <t>Obligasi INDOIS 27 USD $300.000. 2024 $200.000</t>
  </si>
  <si>
    <t>Obligasi PT Pindad</t>
  </si>
  <si>
    <t>Obligasi SR019</t>
  </si>
  <si>
    <t>Obligasi ORI017</t>
  </si>
  <si>
    <t>Obligasi SR013</t>
  </si>
  <si>
    <t xml:space="preserve">Obligasi USD INDON 32N  </t>
  </si>
  <si>
    <t>Obligasi USD INDON 48</t>
  </si>
  <si>
    <t>Obligasi USD INDON 43</t>
  </si>
  <si>
    <t>Obligasi USD INDON 47</t>
  </si>
  <si>
    <t xml:space="preserve">Obligasi USD BNI 26 </t>
  </si>
  <si>
    <t>0013121660091000</t>
  </si>
  <si>
    <t>Tabungan Investor 7060</t>
  </si>
  <si>
    <t>Tabungan Investor 0126</t>
  </si>
  <si>
    <t>Tabungan Goal Savers</t>
  </si>
  <si>
    <t>BANK CIMB NIAGA</t>
  </si>
  <si>
    <t>700884870600</t>
  </si>
  <si>
    <t>701031763000</t>
  </si>
  <si>
    <t>702531238600</t>
  </si>
  <si>
    <t>Asuransi CIMB SunLife Polis No. 830638670</t>
  </si>
  <si>
    <t>Asuransi CIMB SunLife Polis No. 823025002</t>
  </si>
  <si>
    <t xml:space="preserve">Asuransi AIA Polis No. 33778031                  </t>
  </si>
  <si>
    <t>Asuransi AIA Polis No. 33813951</t>
  </si>
  <si>
    <t>Asuransi CIMB Sunlif Polis No. 808973921</t>
  </si>
  <si>
    <t>Asuransi Fortunax</t>
  </si>
  <si>
    <t xml:space="preserve">ASURANSI </t>
  </si>
  <si>
    <t>CIMB</t>
  </si>
  <si>
    <t>0013106687091000</t>
  </si>
  <si>
    <t>BANK OCBC NISP</t>
  </si>
  <si>
    <t>27810193121</t>
  </si>
  <si>
    <t>0011049194091000</t>
  </si>
  <si>
    <t>1680011168885</t>
  </si>
  <si>
    <t>HSBC - Tabungan USD 4,636</t>
  </si>
  <si>
    <t>HSBC - Tabungan 7580</t>
  </si>
  <si>
    <t>HSBC - Tabungan 0519</t>
  </si>
  <si>
    <t>SINDJAJA JONANY OR ROSALINA CHANDRA</t>
  </si>
  <si>
    <t>SJ OR RC</t>
  </si>
  <si>
    <t xml:space="preserve"> 016075723808</t>
  </si>
  <si>
    <t>016060519835</t>
  </si>
  <si>
    <t>016060519808</t>
  </si>
  <si>
    <t>BANK HSBC INDONESIA</t>
  </si>
  <si>
    <t>016077380800</t>
  </si>
  <si>
    <t xml:space="preserve">016075723800 </t>
  </si>
  <si>
    <t>OCBC</t>
  </si>
  <si>
    <t>MDRI</t>
  </si>
  <si>
    <t>Obligasi SR 011</t>
  </si>
  <si>
    <t>Obligasi SBR10</t>
  </si>
  <si>
    <t>Obligasi ORI 15</t>
  </si>
  <si>
    <t>Obligasi ORI 016</t>
  </si>
  <si>
    <t>Reksadana SDP 90</t>
  </si>
  <si>
    <t>Reksadana MS Syariah USD $53.448</t>
  </si>
  <si>
    <t>Reksadana Manulife Dana Saham</t>
  </si>
  <si>
    <t>SUKUK SR 011</t>
  </si>
  <si>
    <t>Reksadana M Pendapatan Tetap</t>
  </si>
  <si>
    <t>Obligasi SBR 011</t>
  </si>
  <si>
    <t>Obligasi SR 016</t>
  </si>
  <si>
    <t>Obligasi ORI 018</t>
  </si>
  <si>
    <t>Obligasi ORI 019</t>
  </si>
  <si>
    <t>FR 091</t>
  </si>
  <si>
    <t>FR 093</t>
  </si>
  <si>
    <t>ORI 023</t>
  </si>
  <si>
    <t>ST 011</t>
  </si>
  <si>
    <t>Reksadana MDSA</t>
  </si>
  <si>
    <t>Obligasi USD INDON 30 USD $200.000</t>
  </si>
  <si>
    <t>OBLIGASI USD INDON 50 $165.840</t>
  </si>
  <si>
    <t>OBLIGASI USD INDON 48 $171150</t>
  </si>
  <si>
    <t>OBLIGASI ORI023T6</t>
  </si>
  <si>
    <t>OBLIGASI ORI025T6</t>
  </si>
  <si>
    <t>OBLIGASI ORI026T6</t>
  </si>
  <si>
    <t>OBLIGASI ST012</t>
  </si>
  <si>
    <t>HSBC</t>
  </si>
  <si>
    <t>0013862420091000</t>
  </si>
  <si>
    <t>OBLIGASI USD INDON 52</t>
  </si>
  <si>
    <t>ST011 T4</t>
  </si>
  <si>
    <t>Sinarmas Asset  Mng.  - Equity link note 111475</t>
  </si>
  <si>
    <t>Sinarmas Asset  Mng.  - Credit Link note 110807</t>
  </si>
  <si>
    <t>SINARMAS ASSET MANAGEMENT - DANAMAS STABIL</t>
  </si>
  <si>
    <t>SINARMAS ASSET MANAGEMENT - DANAMAS RUPIAH PLUS</t>
  </si>
  <si>
    <t>0023411473054000</t>
  </si>
  <si>
    <t>0025193673054000</t>
  </si>
  <si>
    <t>0737665117076000</t>
  </si>
  <si>
    <t>SINARMAS ASSET MANAGEMENT - SAHAM BERTUMBUH</t>
  </si>
  <si>
    <t>SINARMAS ASSET MANAGEMENT</t>
  </si>
  <si>
    <t>SMAS</t>
  </si>
  <si>
    <t>SINARMAS ASET MGMT</t>
  </si>
  <si>
    <t>0013314091021000</t>
  </si>
  <si>
    <t>SINARMAS SEKURITAS</t>
  </si>
  <si>
    <t>SSEK</t>
  </si>
  <si>
    <t>Cash Dividend</t>
  </si>
  <si>
    <t>Akun</t>
  </si>
  <si>
    <t>Payment Date</t>
  </si>
  <si>
    <t>Symbol</t>
  </si>
  <si>
    <t>Quantity (shares)</t>
  </si>
  <si>
    <t>Dividend</t>
  </si>
  <si>
    <t>Amount</t>
  </si>
  <si>
    <t>22/12/2025</t>
  </si>
  <si>
    <t>BBCA</t>
  </si>
  <si>
    <t>ADRO</t>
  </si>
  <si>
    <t>BBRI</t>
  </si>
  <si>
    <t>TLKM</t>
  </si>
  <si>
    <t>0010016087093000</t>
  </si>
  <si>
    <t>BBNI</t>
  </si>
  <si>
    <t>INCO</t>
  </si>
  <si>
    <t>PGAS</t>
  </si>
  <si>
    <t>BUDI</t>
  </si>
  <si>
    <t>INKP</t>
  </si>
  <si>
    <t>LSIP</t>
  </si>
  <si>
    <t>EXCL</t>
  </si>
  <si>
    <t>0012211272054000</t>
  </si>
  <si>
    <t>0013452768092000</t>
  </si>
  <si>
    <t>0010016061093000</t>
  </si>
  <si>
    <t>0010005411091000</t>
  </si>
  <si>
    <t>0010000131093000</t>
  </si>
  <si>
    <t>0023992449091000</t>
  </si>
  <si>
    <t>0010000511051000</t>
  </si>
  <si>
    <t>0010005668092000</t>
  </si>
  <si>
    <t>0010017523092000</t>
  </si>
  <si>
    <t>BANK DBS INDONESIA</t>
  </si>
  <si>
    <t>DBS - Tabungan 5150</t>
  </si>
  <si>
    <t>DBS - Tabungan 7554</t>
  </si>
  <si>
    <t>DBS - Tabungan 6009</t>
  </si>
  <si>
    <t>1120616713</t>
  </si>
  <si>
    <t>1120093790</t>
  </si>
  <si>
    <t>1120239370</t>
  </si>
  <si>
    <t>1121191105</t>
  </si>
  <si>
    <t>DBS USD 106,446 - REKSADANA MS S</t>
  </si>
  <si>
    <t>Asuransi Jiwasraya RA 020101697</t>
  </si>
  <si>
    <t>Asuransi Jiwasraya RA 020105627</t>
  </si>
  <si>
    <t>Asuransi Jiwasraya RA 020104638</t>
  </si>
  <si>
    <t>Asuransi Jiwasraya RA 020101753</t>
  </si>
  <si>
    <t>Asuransi Jiwasraya RA 020100903</t>
  </si>
  <si>
    <t>Asuransi Jiwasraya RA 020101243</t>
  </si>
  <si>
    <t>Asuransi Jiwasraya RA 0201011583</t>
  </si>
  <si>
    <t>Asuransi Jiwasraya RA 020103416</t>
  </si>
  <si>
    <t>Obligasi SUKUK SR013</t>
  </si>
  <si>
    <t>Obligasi SUKUK ST007</t>
  </si>
  <si>
    <t>Obligasi ORI 020</t>
  </si>
  <si>
    <t>Obligasi ORI18</t>
  </si>
  <si>
    <t>Obligasi OR020</t>
  </si>
  <si>
    <t>SUKUK SR013</t>
  </si>
  <si>
    <t>SUKUK ST007</t>
  </si>
  <si>
    <t xml:space="preserve">Asuransi MWP                                                          </t>
  </si>
  <si>
    <t>Asuransi MWP USD $105.208</t>
  </si>
  <si>
    <t>Asuransi Milwealth USD $47.996</t>
  </si>
  <si>
    <t>Obligasi FR91</t>
  </si>
  <si>
    <t>ORI O16</t>
  </si>
  <si>
    <t>ORI O18</t>
  </si>
  <si>
    <t>ORI O21</t>
  </si>
  <si>
    <t>SUKUK SR 013</t>
  </si>
  <si>
    <t>SUKUK ST 009</t>
  </si>
  <si>
    <t>USD INDOIS 29N - $100.000</t>
  </si>
  <si>
    <t>USD INDOIS 29N - $55.000</t>
  </si>
  <si>
    <t>MDE</t>
  </si>
  <si>
    <t>MDAP USD. 23.370</t>
  </si>
  <si>
    <t>MDAP USD. 19.368</t>
  </si>
  <si>
    <t>SBR012</t>
  </si>
  <si>
    <t>ORI O23</t>
  </si>
  <si>
    <t>SB06</t>
  </si>
  <si>
    <t>SBR018</t>
  </si>
  <si>
    <t>USD INDON 42 - $134.691</t>
  </si>
  <si>
    <t>Obligasi SBR016</t>
  </si>
  <si>
    <t>Obligasi SBR018T3</t>
  </si>
  <si>
    <t>0013429402091000</t>
  </si>
  <si>
    <t>DBS</t>
  </si>
  <si>
    <t>Asuransi MWO USD</t>
  </si>
  <si>
    <t>Obligasi USD  INDON 42</t>
  </si>
  <si>
    <t>Obligasi USD  INDON 45</t>
  </si>
  <si>
    <t>Obligasi USD  INDON 47</t>
  </si>
  <si>
    <t>Citibank - Tabungan 2490 USD $15.764</t>
  </si>
  <si>
    <t>Citibank - Tabungan 8553 USD $12.788</t>
  </si>
  <si>
    <t>Citibank - Tabungan USD 9,489</t>
  </si>
  <si>
    <t>Citibank - Tabungan USD 23,125</t>
  </si>
  <si>
    <t>Deposito 122</t>
  </si>
  <si>
    <t>Citibank - Obligasi FR072</t>
  </si>
  <si>
    <t>Citibank - Obligasi Pemerintah INDON 42 USD $310.000, 2022 - $492.660, 2024 $527.799</t>
  </si>
  <si>
    <t>Citibank - Obligasi Pemerintah USD INDON 42 USD $250.000, 2024 $60.000</t>
  </si>
  <si>
    <t>Citibank - Obligasi Pemerintah USD INDON 37 USD $250.000</t>
  </si>
  <si>
    <t xml:space="preserve">Citibank - Reksadana SDA                                         </t>
  </si>
  <si>
    <t>Citibank - Reksadana SDP</t>
  </si>
  <si>
    <t>Citibank - Reksadana SDPP</t>
  </si>
  <si>
    <t>Citibank - Reksadana Mansyaf  USD $47.637</t>
  </si>
  <si>
    <t>Citibank - Asuransi AIA  USD $35.663</t>
  </si>
  <si>
    <t>Citibank - BNP Syariah USD</t>
  </si>
  <si>
    <t>Citibank Singapore - Invesment Fund 841879901 USD $150.000</t>
  </si>
  <si>
    <t>UOB - Tabungan 34622</t>
  </si>
  <si>
    <t>UOB - Tabungan 8931</t>
  </si>
  <si>
    <t>UOB - Reksadana SDI (Schroder Dana Istimewa)</t>
  </si>
  <si>
    <t xml:space="preserve">UOB - Reksadana SDA II </t>
  </si>
  <si>
    <t>UOB - Obligasi USD INDON 47 $60.000</t>
  </si>
  <si>
    <t>0013084439091000</t>
  </si>
  <si>
    <t>UOB</t>
  </si>
  <si>
    <t>6309001432</t>
  </si>
  <si>
    <t>6303009415</t>
  </si>
  <si>
    <t>6419000059</t>
  </si>
  <si>
    <t>6309003831</t>
  </si>
  <si>
    <t>6309001742</t>
  </si>
  <si>
    <t>6419000709</t>
  </si>
  <si>
    <t xml:space="preserve">Obligasi USD INDON 30N  </t>
  </si>
  <si>
    <t xml:space="preserve">Obligasi USD INDON 42      </t>
  </si>
  <si>
    <t>MAY</t>
  </si>
  <si>
    <t>Deposito 7506755</t>
  </si>
  <si>
    <t>Deposito 5100889</t>
  </si>
  <si>
    <t>Tabungan 109987</t>
  </si>
  <si>
    <t>1080101218</t>
  </si>
  <si>
    <t>1080109987</t>
  </si>
  <si>
    <t>1775037702</t>
  </si>
  <si>
    <t>BANK MAYBANK INDONESIA</t>
  </si>
  <si>
    <t>0013093232091000</t>
  </si>
  <si>
    <t>NO.POL : B 668 ROS</t>
  </si>
  <si>
    <t>MOTOR HONDA NF 100</t>
  </si>
  <si>
    <t>VW GOLF Tsi</t>
  </si>
  <si>
    <t>LEXUS RX300</t>
  </si>
  <si>
    <t>TOYOTA FORTUNER 2.5G AT</t>
  </si>
  <si>
    <t>VW TIGUAN 1.4 AT</t>
  </si>
  <si>
    <t>EV NETA X</t>
  </si>
  <si>
    <t>B 4525 MK</t>
  </si>
  <si>
    <t>B 1778 JYO</t>
  </si>
  <si>
    <t>B 2178 MR</t>
  </si>
  <si>
    <t>B 1207 UJL</t>
  </si>
  <si>
    <t>Perhitungan Kasar</t>
  </si>
  <si>
    <t>JIKA IMBALAN OBLIGASI</t>
  </si>
  <si>
    <t>Gaji</t>
  </si>
  <si>
    <t>VALAS US DOLAR</t>
  </si>
  <si>
    <t>PT BORNEO JAYA SEJATI</t>
  </si>
  <si>
    <t>PT.MG DUA JAYA</t>
  </si>
  <si>
    <t>PT.KARUNIA RAHMAT INTI SEJAHTERA</t>
  </si>
  <si>
    <t>PT.HEPI JAYA BERSAMA</t>
  </si>
  <si>
    <t>Sinarmas Sinarmas Saham</t>
  </si>
  <si>
    <t>06.651.224.5-044.002</t>
  </si>
  <si>
    <t>06.651.224.5-044.001</t>
  </si>
  <si>
    <t>ITC MANGGA DUA LT. 3 BLOK. A NO. 3 JAK-UT</t>
  </si>
  <si>
    <t>PASAR PAGI MG DUA LT SEMIBASEMENT BLOK C/54-55 JAK-UT</t>
  </si>
  <si>
    <t>Total Peredaran Bruto Cabang</t>
  </si>
  <si>
    <t>Total Peredaran Bruto Akum
2 Cabang</t>
  </si>
  <si>
    <t>Bulan</t>
  </si>
  <si>
    <t>Omset</t>
  </si>
  <si>
    <t>FREE</t>
  </si>
  <si>
    <t>Est. Untung Trading Saham</t>
  </si>
  <si>
    <t>Recap IDR USD</t>
  </si>
  <si>
    <t>Ekuivalen</t>
  </si>
  <si>
    <t>3173042409640005</t>
  </si>
  <si>
    <t>USD INDON 42</t>
  </si>
  <si>
    <t>INDON 42 USD</t>
  </si>
  <si>
    <t>INDON 37 USD</t>
  </si>
  <si>
    <t>DPP</t>
  </si>
  <si>
    <t>Pajak</t>
  </si>
  <si>
    <t>Dividen Reinvest</t>
  </si>
  <si>
    <t>Pasal 21</t>
  </si>
  <si>
    <t>OBLIGASI FR 75</t>
  </si>
  <si>
    <t>OBLIGASI FR 80</t>
  </si>
  <si>
    <t>ASURANSI PRUDENT UMP</t>
  </si>
  <si>
    <t>ASURANSI PRUDENT VIA</t>
  </si>
  <si>
    <t>OBLIGASI FR68</t>
  </si>
  <si>
    <t>OBLIGASI FR74</t>
  </si>
  <si>
    <t>OBLIGASI FR79</t>
  </si>
  <si>
    <t>OBLIGASI FR065</t>
  </si>
  <si>
    <t>OBLIGASI FR068</t>
  </si>
  <si>
    <t>OBLIGASI FR072</t>
  </si>
  <si>
    <t>OBLIGASI FR074</t>
  </si>
  <si>
    <t>OBLIGASI FR079</t>
  </si>
  <si>
    <t>OBLIGASI FR080</t>
  </si>
  <si>
    <t>OBLIGASI FR082</t>
  </si>
  <si>
    <t>OBLIGASI FR091</t>
  </si>
  <si>
    <t>OBLIGASI FR090</t>
  </si>
  <si>
    <t>OBLIGASI USD INDON 47</t>
  </si>
  <si>
    <t>OBLIGASI ORI025T3</t>
  </si>
  <si>
    <t>OBLIGASI ORI023T3</t>
  </si>
  <si>
    <t>OBLIGASI SR022 T3</t>
  </si>
  <si>
    <t>OBLIGASI ORI027 T6</t>
  </si>
  <si>
    <t>OBLIGASI SR 022 T5</t>
  </si>
  <si>
    <t>OBLIGASI ORI027T3</t>
  </si>
  <si>
    <t xml:space="preserve">OBLIGASI USD INDON 45  </t>
  </si>
  <si>
    <t>OBLIGASI USD INDON 36</t>
  </si>
  <si>
    <t>OBLIGASI USD INDON 32</t>
  </si>
  <si>
    <t>OBLIGASI USD INDON 34 N</t>
  </si>
  <si>
    <t>OBLIGASI USD INDOIS 30</t>
  </si>
  <si>
    <t>OBLIGASI USD INDON 42</t>
  </si>
  <si>
    <t>OBLIGASI USD INDOIS 30N</t>
  </si>
  <si>
    <t>OBLIGASI FR059</t>
  </si>
  <si>
    <t>OBLIGASI FR 072</t>
  </si>
  <si>
    <t>OBLIGASI FR064</t>
  </si>
  <si>
    <t xml:space="preserve">OBLIGASI USD INDON 32N  </t>
  </si>
  <si>
    <t>OBLIGASI USD INDON 34</t>
  </si>
  <si>
    <t>OBLIGASI USD INDON 48</t>
  </si>
  <si>
    <t>OBLIGASI SR019 T3</t>
  </si>
  <si>
    <t>OBLIGASI USD INDON 43</t>
  </si>
  <si>
    <t xml:space="preserve">OBLIGASI USD BNI 26 </t>
  </si>
  <si>
    <t>OBLIGASI ST014 T2</t>
  </si>
  <si>
    <t>ASURANSI ETRA OP</t>
  </si>
  <si>
    <t>OBLIGASI SBR013</t>
  </si>
  <si>
    <t>REKSADANA MANULIFE DANA SAHAM</t>
  </si>
  <si>
    <t>REKSADANA MANULIFE SAHAM ANDALAN</t>
  </si>
  <si>
    <t>OBLIGASI ORI028</t>
  </si>
  <si>
    <t>OBLIGASI ORI 025</t>
  </si>
  <si>
    <t>OBLIGASI ORI 026</t>
  </si>
  <si>
    <t>OBLIGASI SBR 014 T2</t>
  </si>
  <si>
    <t>OBLIGASI ST015 T4</t>
  </si>
  <si>
    <t xml:space="preserve"> OBLIGASI FR80</t>
  </si>
  <si>
    <t>OBLIGASI ORI 027</t>
  </si>
  <si>
    <t>OBLIGASI SR021</t>
  </si>
  <si>
    <t>OBLIGASI ORI 024</t>
  </si>
  <si>
    <t>OBLIGASI 027T3</t>
  </si>
  <si>
    <t>OBLIGASI FR84</t>
  </si>
  <si>
    <t>OBLIGASI FR87</t>
  </si>
  <si>
    <t>OBLIGASI ST012T4</t>
  </si>
  <si>
    <t>OBLIGASI ST026T3</t>
  </si>
  <si>
    <t>OBLIGASI ST013</t>
  </si>
  <si>
    <t>OBLIGASI OR023T6</t>
  </si>
  <si>
    <t>OBLIGASI ORI27T3</t>
  </si>
  <si>
    <t>ASURANSI MWO USD</t>
  </si>
  <si>
    <t>OBLIGASI SBR018</t>
  </si>
  <si>
    <t xml:space="preserve">OBLIGASI SR022 </t>
  </si>
  <si>
    <t>OBLIGASI SR022 T5</t>
  </si>
  <si>
    <t>OBLIGASI ST014 T4</t>
  </si>
  <si>
    <t>OBLIGASI USD  INDON 42</t>
  </si>
  <si>
    <t>OBLIGASI USD  INDON 45</t>
  </si>
  <si>
    <t>OBLIGASI USD  INDON 47</t>
  </si>
  <si>
    <t>CITIBANK SINGAPORE - INVESMENT FUND 841879901</t>
  </si>
  <si>
    <t>UOB - OBLIGASI USD INDON 47</t>
  </si>
  <si>
    <t>REKSADANA MONI 2</t>
  </si>
  <si>
    <t>OBLIGASI USD INDON 30N</t>
  </si>
  <si>
    <t xml:space="preserve">REKSADANA SCHRODER DANA MANTAP PLUS LL </t>
  </si>
  <si>
    <t>MONI 2</t>
  </si>
  <si>
    <t>OBLIGASI INDOIS 30 USD</t>
  </si>
  <si>
    <t>OBLIGASI INDON 32 USD</t>
  </si>
  <si>
    <t>OBLIGASI INDON 27 NN USD</t>
  </si>
  <si>
    <t xml:space="preserve"> OBLIGASI FR75</t>
  </si>
  <si>
    <t>CBS</t>
  </si>
  <si>
    <t>CITIBANK SINGAPORE</t>
  </si>
  <si>
    <t>NAMA PEMOTONG/PEMUNGUT PPh</t>
  </si>
  <si>
    <t>NPWP PEMOTONG/PEMUNGUT PPh</t>
  </si>
  <si>
    <t>NOMOR BUKTI PEMOTONGAN/PEMUNGUTAN</t>
  </si>
  <si>
    <t>TANGGAL BUKTI PEMOTONGAN/PEMUNGUTAN</t>
  </si>
  <si>
    <t>JENIS PAJAK</t>
  </si>
  <si>
    <t>PENGHASILAN BRUTO</t>
  </si>
  <si>
    <t>PPh YANG DIPOTONG/DIPUNGUT</t>
  </si>
  <si>
    <t>25086M5MC</t>
  </si>
  <si>
    <t>PPh Pasal 21</t>
  </si>
  <si>
    <t>MANULIFE ASET MANAJEMEN INDONESIA</t>
  </si>
  <si>
    <t>0017703000054000</t>
  </si>
  <si>
    <t>25045L1GT</t>
  </si>
  <si>
    <t>ASURANSI JIWA MANULIFE INDONESIA</t>
  </si>
  <si>
    <t>0013825153073000</t>
  </si>
  <si>
    <t>2507KO02F</t>
  </si>
  <si>
    <t>2507KO00S</t>
  </si>
  <si>
    <t>2507KO04M</t>
  </si>
  <si>
    <t>2507KNZRM</t>
  </si>
  <si>
    <t>TOTAL PPh 21 TIDAK FINAL</t>
  </si>
  <si>
    <t>NORMA 50%</t>
  </si>
  <si>
    <t>MG DUA JAYA</t>
  </si>
  <si>
    <t>0027473420047000</t>
  </si>
  <si>
    <t>2508IHENM</t>
  </si>
  <si>
    <t>BP A1</t>
  </si>
  <si>
    <r>
      <rPr>
        <b/>
        <sz val="7"/>
        <color theme="1"/>
        <rFont val="Arial"/>
        <family val="2"/>
      </rPr>
      <t xml:space="preserve">   *) </t>
    </r>
    <r>
      <rPr>
        <sz val="7"/>
        <color theme="1"/>
        <rFont val="Arial"/>
        <family val="2"/>
      </rPr>
      <t>Pengisian kolom-kolom yang berisi nilai rupiah harus tanpa nilai desimal (contoh penulisan lihat petunjuk pengisian halaman 3)</t>
    </r>
  </si>
  <si>
    <t>RUPIAH *)</t>
  </si>
  <si>
    <t>A. PENGHASILAN NETO</t>
  </si>
  <si>
    <t>1.</t>
  </si>
  <si>
    <r>
      <rPr>
        <sz val="9"/>
        <color theme="1"/>
        <rFont val="Arial"/>
        <family val="2"/>
      </rPr>
      <t>PENGHASILAN NETO DALAM NEGERI DARI USAHA DAN/ATAU PEKERJAAN BEBAS</t>
    </r>
    <r>
      <rPr>
        <sz val="8"/>
        <color theme="1"/>
        <rFont val="Arial"/>
        <family val="2"/>
      </rPr>
      <t xml:space="preserve">      </t>
    </r>
    <r>
      <rPr>
        <sz val="7"/>
        <color theme="1"/>
        <rFont val="Arial"/>
        <family val="2"/>
      </rPr>
      <t xml:space="preserve">                                                                                       </t>
    </r>
    <r>
      <rPr>
        <sz val="8"/>
        <color theme="1"/>
        <rFont val="Arial"/>
        <family val="2"/>
      </rPr>
      <t>[Diisi dari Formulir 1770 - I Halaman 1 Jumlah Bagian A atau Formulir 1770 - I Halaman 2 Jumlah Bagian B Kolom 5]</t>
    </r>
  </si>
  <si>
    <t>2.</t>
  </si>
  <si>
    <r>
      <rPr>
        <sz val="9"/>
        <color theme="1"/>
        <rFont val="Arial"/>
        <family val="2"/>
      </rPr>
      <t xml:space="preserve">PENGHASILAN NETO DALAM NEGERI SEHUBUNGAN DENGAN PEKERJAAN  </t>
    </r>
    <r>
      <rPr>
        <sz val="7"/>
        <color theme="1"/>
        <rFont val="Arial"/>
        <family val="2"/>
      </rPr>
      <t xml:space="preserve">                                                                                                                                     </t>
    </r>
    <r>
      <rPr>
        <sz val="8"/>
        <color theme="1"/>
        <rFont val="Arial"/>
        <family val="2"/>
      </rPr>
      <t>[Diisi dari Formulir 1770 - I Halaman 2 Jumlah Bagian C Kolom 5]</t>
    </r>
  </si>
  <si>
    <t>3.</t>
  </si>
  <si>
    <r>
      <rPr>
        <sz val="9"/>
        <color theme="1"/>
        <rFont val="Arial"/>
        <family val="2"/>
      </rPr>
      <t xml:space="preserve">PENGHASILAN NETO DALAM NEGERI LAINNYA  </t>
    </r>
    <r>
      <rPr>
        <sz val="8"/>
        <color theme="1"/>
        <rFont val="Arial"/>
        <family val="2"/>
      </rPr>
      <t xml:space="preserve">  </t>
    </r>
    <r>
      <rPr>
        <sz val="7"/>
        <color theme="1"/>
        <rFont val="Arial"/>
        <family val="2"/>
      </rPr>
      <t xml:space="preserve">                                                                                                                                                                   </t>
    </r>
    <r>
      <rPr>
        <sz val="8"/>
        <color theme="1"/>
        <rFont val="Arial"/>
        <family val="2"/>
      </rPr>
      <t>[Diisi dari Formulir 1770 - I Halaman 2 Jumlah Bagian D  Kolom 3]</t>
    </r>
  </si>
  <si>
    <t>4.</t>
  </si>
  <si>
    <r>
      <rPr>
        <sz val="9"/>
        <color theme="1"/>
        <rFont val="Arial"/>
        <family val="2"/>
      </rPr>
      <t xml:space="preserve">PENGHASILAN NETO LUAR NEGERI </t>
    </r>
    <r>
      <rPr>
        <sz val="8"/>
        <color theme="1"/>
        <rFont val="Arial"/>
        <family val="2"/>
      </rPr>
      <t xml:space="preserve">  </t>
    </r>
    <r>
      <rPr>
        <sz val="9"/>
        <color theme="1"/>
        <rFont val="Arial"/>
        <family val="2"/>
      </rPr>
      <t xml:space="preserve">                                                                                                                                                                            </t>
    </r>
    <r>
      <rPr>
        <sz val="8"/>
        <color theme="1"/>
        <rFont val="Arial"/>
        <family val="2"/>
      </rPr>
      <t>[Apabila memiliki penghasilan dari luar negeri agar diisi dari Lampiran Tersendiri, lihat petunjuk pengisian]</t>
    </r>
  </si>
  <si>
    <t>5.</t>
  </si>
  <si>
    <r>
      <rPr>
        <sz val="9"/>
        <color theme="1"/>
        <rFont val="Arial"/>
        <family val="2"/>
      </rPr>
      <t xml:space="preserve">JUMLAH PENGHASILAN NETO </t>
    </r>
    <r>
      <rPr>
        <b/>
        <sz val="9"/>
        <color theme="1"/>
        <rFont val="Arial"/>
        <family val="2"/>
      </rPr>
      <t>(1 + 2 + 3 + 4)</t>
    </r>
  </si>
  <si>
    <t>…………………………………………………………………………………………………………………………..</t>
  </si>
  <si>
    <t>6.</t>
  </si>
  <si>
    <t>ZAKAT / SUMBANGAN KEAGAMAAN YANG BERSIFAT WAJIB</t>
  </si>
  <si>
    <t>7.</t>
  </si>
  <si>
    <t xml:space="preserve">JUMLAH PENGHASILAN NETO SETELAH PENGURANGAN ZAKAT /SUMBANGAN KEAGAMAAN YANG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</si>
  <si>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sz val="9"/>
        <color theme="1"/>
        <rFont val="Arial"/>
        <family val="2"/>
      </rPr>
      <t xml:space="preserve">SIFATNYA WAJIB </t>
    </r>
    <r>
      <rPr>
        <b/>
        <sz val="9"/>
        <color theme="1"/>
        <rFont val="Arial"/>
        <family val="2"/>
      </rPr>
      <t>( 5- 6)</t>
    </r>
  </si>
  <si>
    <t>B. PENGHASILAN KENA PAJAK</t>
  </si>
  <si>
    <t>8.</t>
  </si>
  <si>
    <t xml:space="preserve">KOMPENSASI KERUGIAN </t>
  </si>
  <si>
    <t>9.</t>
  </si>
  <si>
    <r>
      <rPr>
        <sz val="9"/>
        <color theme="1"/>
        <rFont val="Arial"/>
        <family val="2"/>
      </rPr>
      <t>JUMLAH PENGHASILAN NETO SETELAH KOMPENSASI KERUGIAN</t>
    </r>
    <r>
      <rPr>
        <b/>
        <sz val="9"/>
        <color theme="1"/>
        <rFont val="Arial"/>
        <family val="2"/>
      </rPr>
      <t xml:space="preserve"> (7 - 8)</t>
    </r>
  </si>
  <si>
    <t>10.</t>
  </si>
  <si>
    <t>PENGHASILAN TIDAK KENA PAJAK</t>
  </si>
  <si>
    <t>TK /</t>
  </si>
  <si>
    <t>K /</t>
  </si>
  <si>
    <t>K / I /</t>
  </si>
  <si>
    <t>11.</t>
  </si>
  <si>
    <r>
      <rPr>
        <sz val="9"/>
        <color theme="1"/>
        <rFont val="Arial"/>
        <family val="2"/>
      </rPr>
      <t xml:space="preserve">PENGHASILAN KENA PAJAK </t>
    </r>
    <r>
      <rPr>
        <b/>
        <sz val="9"/>
        <color theme="1"/>
        <rFont val="Arial"/>
        <family val="2"/>
      </rPr>
      <t xml:space="preserve">(9 -10) </t>
    </r>
    <r>
      <rPr>
        <sz val="9"/>
        <color theme="1"/>
        <rFont val="Arial"/>
        <family val="2"/>
      </rPr>
      <t xml:space="preserve"> </t>
    </r>
  </si>
  <si>
    <t>C. PPh TERUTANG</t>
  </si>
  <si>
    <t>12.</t>
  </si>
  <si>
    <r>
      <rPr>
        <sz val="9"/>
        <color theme="1"/>
        <rFont val="Arial"/>
        <family val="2"/>
      </rPr>
      <t xml:space="preserve">PPh TERUTANG (TARIF PASAL 17 UU PPh X ANGKA 11)                                                                                                      </t>
    </r>
    <r>
      <rPr>
        <sz val="7"/>
        <color theme="1"/>
        <rFont val="Arial"/>
        <family val="2"/>
      </rPr>
      <t xml:space="preserve">[Bagi Wajib Pajak dengan status PH / MT diisi dari Lampiran Perhitungan PPh Terutang sebagaimana dimaksud dalam bagian G: Lampiran huruf i] </t>
    </r>
  </si>
  <si>
    <t>13.</t>
  </si>
  <si>
    <t xml:space="preserve">PENGEMBALIAN/PENGURANGAN PPh PASAL 24 YANG TELAH DIKREDITKAN </t>
  </si>
  <si>
    <t>14.</t>
  </si>
  <si>
    <r>
      <rPr>
        <sz val="9"/>
        <color theme="1"/>
        <rFont val="Arial"/>
        <family val="2"/>
      </rPr>
      <t xml:space="preserve">JUMLAH PPh TERUTANG </t>
    </r>
    <r>
      <rPr>
        <b/>
        <sz val="9"/>
        <color theme="1"/>
        <rFont val="Arial"/>
        <family val="2"/>
      </rPr>
      <t xml:space="preserve">( 12 + 13) </t>
    </r>
  </si>
  <si>
    <t>D. KREDIT PAJAK</t>
  </si>
  <si>
    <t>15.</t>
  </si>
  <si>
    <r>
      <rPr>
        <sz val="9"/>
        <color theme="1"/>
        <rFont val="Arial"/>
        <family val="2"/>
      </rPr>
      <t>PPh YANG DIPOTONG / DIPUNGUT OLEH PIHAK LAIN,  PPh YANG DIBAYAR  / DIPOTONG DI LUAR NEGERI DAN PPh DITANGGUNG PEMERINTAH</t>
    </r>
    <r>
      <rPr>
        <sz val="8"/>
        <color theme="1"/>
        <rFont val="Arial"/>
        <family val="2"/>
      </rPr>
      <t xml:space="preserve"> [Diisi dari formulir 1770 -II Jumlah Bagian A Kolom 7]</t>
    </r>
  </si>
  <si>
    <t>16.</t>
  </si>
  <si>
    <t>X</t>
  </si>
  <si>
    <t>a.</t>
  </si>
  <si>
    <t xml:space="preserve">PPh YANG HARUS DIBAYAR SENDIRI   </t>
  </si>
  <si>
    <t xml:space="preserve"> (14-15) </t>
  </si>
  <si>
    <t>b.</t>
  </si>
  <si>
    <t>PPh YANG LEBIH DIPOTONG/DIPUNGUT</t>
  </si>
  <si>
    <t>17.</t>
  </si>
  <si>
    <t xml:space="preserve">PPh YANG DIBAYAR SENDIRI </t>
  </si>
  <si>
    <t xml:space="preserve">PPh PASAL 25 BULANAN </t>
  </si>
  <si>
    <t>17a</t>
  </si>
  <si>
    <t xml:space="preserve">STP PPh PASAL 25  (HANYA POKOK PAJAK)  </t>
  </si>
  <si>
    <t>17b</t>
  </si>
  <si>
    <t>18.</t>
  </si>
  <si>
    <r>
      <rPr>
        <sz val="9"/>
        <color theme="1"/>
        <rFont val="Arial"/>
        <family val="2"/>
      </rPr>
      <t xml:space="preserve">JUMLAH KREDIT PAJAK </t>
    </r>
    <r>
      <rPr>
        <b/>
        <sz val="9"/>
        <color theme="1"/>
        <rFont val="Arial"/>
        <family val="2"/>
      </rPr>
      <t>(17a+17b</t>
    </r>
    <r>
      <rPr>
        <b/>
        <sz val="9"/>
        <color theme="1"/>
        <rFont val="Arial"/>
        <family val="2"/>
      </rPr>
      <t xml:space="preserve">) </t>
    </r>
  </si>
  <si>
    <t>E. PPh KURANG/ LEBIH BAYAR</t>
  </si>
  <si>
    <t>19.</t>
  </si>
  <si>
    <t>PPh YANG KURANG DIBAYAR (PPh PASAL 29)</t>
  </si>
  <si>
    <t>(16-18)</t>
  </si>
  <si>
    <t xml:space="preserve"> TGL LUNAS</t>
  </si>
  <si>
    <t>\</t>
  </si>
  <si>
    <t>PPh YANG LEBIH DIBAYAR (PPh PASAL 28 A)</t>
  </si>
  <si>
    <t>tgl</t>
  </si>
  <si>
    <t>bln</t>
  </si>
  <si>
    <t>thn</t>
  </si>
  <si>
    <t>20.</t>
  </si>
  <si>
    <t>PERMOHONAN : PPh Lebih Bayar pada 19.b mohon</t>
  </si>
  <si>
    <t>DIRESTITUSIKAN</t>
  </si>
  <si>
    <t>c.</t>
  </si>
  <si>
    <t>DIKEMBALIKAN DENGAN SKPPKP PASAL 17C (WP dengan Kriteria Tertentu)</t>
  </si>
  <si>
    <t xml:space="preserve">DIPERHITUNGKAN DENGAN                                                                                                                                                                         </t>
  </si>
  <si>
    <t>d.</t>
  </si>
  <si>
    <t>DIKEMBALIKAN DENGAN SKPPKP PASAL 17D (WP yang Memenuhi Persyaratan Tertentu)</t>
  </si>
  <si>
    <t>UTANG PAJAK</t>
  </si>
  <si>
    <t>F. ANGSURAN PPh PASAL 25 TAHUN PAJAK BERIKUTNYA</t>
  </si>
  <si>
    <t>21.</t>
  </si>
  <si>
    <t>ANGSURAN PPh PASAL 25 TAHUN PAJAK BERIKUTNYA DIHITUNG SEBESAR</t>
  </si>
  <si>
    <t>DIHITUNG BERDASARKAN :</t>
  </si>
  <si>
    <t xml:space="preserve">  1/12 X JUMLAH PADA ANGKA 16</t>
  </si>
  <si>
    <t xml:space="preserve">  PERHITUNGAN DALAM LAMPIRAN TERSENDIRI</t>
  </si>
  <si>
    <t xml:space="preserve">  PERHITUNGAN WAJIB PAJAK ORANG PRIBADI PENGUSAHA TERTENTU</t>
  </si>
  <si>
    <t>Pengurang</t>
  </si>
  <si>
    <t>PERUSAHAAN</t>
  </si>
  <si>
    <t>Row Labels</t>
  </si>
  <si>
    <t>(blank)</t>
  </si>
  <si>
    <t>Grand Total</t>
  </si>
  <si>
    <t>Column Labels</t>
  </si>
  <si>
    <t>Sum of SALDO SAAT INI
(2025)</t>
  </si>
  <si>
    <t>DEPOSITO Total</t>
  </si>
  <si>
    <t>SETARA KAS LAINNYA Total</t>
  </si>
  <si>
    <t>TABUNGAN Total</t>
  </si>
  <si>
    <t>UANG TUNAI Total</t>
  </si>
  <si>
    <t>(blank) Total</t>
  </si>
  <si>
    <t>USD (DIRUPIAHKAN)</t>
  </si>
  <si>
    <t>Bunga TAB 1 %, DEPO 4%</t>
  </si>
  <si>
    <t>DETIL KAS 2025</t>
  </si>
  <si>
    <t>EST. BUNGA</t>
  </si>
  <si>
    <t>DETIL INVESTASI 2025</t>
  </si>
  <si>
    <t>Perhitungan Bunga</t>
  </si>
  <si>
    <t>Total Keseluruhan</t>
  </si>
  <si>
    <t>INVEST IDR 7 %, USD 4%</t>
  </si>
  <si>
    <t>TAB 1 %</t>
  </si>
  <si>
    <t>UNTUNG 5%</t>
  </si>
  <si>
    <t>Untung UMKM</t>
  </si>
  <si>
    <t>Estimasi Kenaikan Kurs</t>
  </si>
  <si>
    <t>Pengeluaran 45 Juta Per Bulan</t>
  </si>
  <si>
    <t>Hibah 2 Milyar</t>
  </si>
  <si>
    <t>Selisih Penghasilan-Pengeluaran</t>
  </si>
  <si>
    <t>Selisih Kenaikan yang belum tercover</t>
  </si>
  <si>
    <t>Hasil Investasi</t>
  </si>
  <si>
    <t>0010611739093000</t>
  </si>
  <si>
    <t>0013429402073000</t>
  </si>
  <si>
    <t>Biaya Hidup etc</t>
  </si>
  <si>
    <t>RUMAH, JL. DANAU SINGKARAK G1/50, BENDUNGAN HILIR (KEPEMILIKAN 1/2 BAGIAN), JAKARTA PUSAT</t>
  </si>
  <si>
    <t>KAVLING, LAKSANA BISNIS PARK UNIT BB02, LAKSANA, PAKU HAJI, KAB. TANGERANG, BANTEN</t>
  </si>
  <si>
    <t>KIOS, PASAR TANAH ABANG BLOK B LANTAI L01 LOS FKS NO.056, KAMPUNG BALI, TANAH ABANG, JAKARTA PUSAT</t>
  </si>
  <si>
    <t>KIOS, PASAR TANAH ABANG BLOK B LANTAI L01 LOS FKS NO.057, KAMPUNG BALI, TANAH ABANG, JAKARTA PUSAT</t>
  </si>
  <si>
    <t>ASURANSI PRUDENTIAL UMP</t>
  </si>
  <si>
    <t>ASURANSI PRUDENTIAL VIA</t>
  </si>
  <si>
    <t>Tidak dipakai</t>
  </si>
  <si>
    <t>OBLIGASI USD INDON 32 (Sumber dana dari Uang Tunai Valas USD)</t>
  </si>
  <si>
    <t>Kenaikan Secara Data Rekap</t>
  </si>
  <si>
    <t>VALAS US DOLAR (sebagian diinvestasikan)</t>
  </si>
  <si>
    <t>IDR 8%, USD 6%</t>
  </si>
  <si>
    <t>Selisih</t>
  </si>
  <si>
    <t>Kas + Investasi</t>
  </si>
  <si>
    <t>Hasil Invest 6,5%</t>
  </si>
  <si>
    <t>Hasil Tabungan &amp; Deposito</t>
  </si>
  <si>
    <t>OK</t>
  </si>
  <si>
    <t>B 1309 UNS</t>
  </si>
  <si>
    <t>TANAH, DESA KEDAUNG BARAT, SEPATAN TIMUR, KAB. TANGERANG, BANTEN</t>
  </si>
  <si>
    <t>192 M2</t>
  </si>
  <si>
    <t>AJB - MARTIA SH NO. 270</t>
  </si>
  <si>
    <t>3173044110760006</t>
  </si>
  <si>
    <t>AHU-0034772.AH.01.02. TAHUN 2025</t>
  </si>
  <si>
    <t>DILAPOR JUAL 2025. HARUSNYA 2024</t>
  </si>
  <si>
    <t>Rugi Jual Kendaraan</t>
  </si>
  <si>
    <t>B 6697 BVO</t>
  </si>
  <si>
    <t>YAMAHA VEGA ZR</t>
  </si>
  <si>
    <t>B 3674 SBT</t>
  </si>
  <si>
    <t>TOKO, JEMBATAN ITC MG II LTI III/ BLOK A/3, ANCOL, PADEMANGAN, JAKARTA UTARA</t>
  </si>
  <si>
    <t>RUMAH, JL. WALET BLOK E6. NO. 6 (BLOK R2 KAV. NO.9), RT 15 RW 06, KAPUK MUARA, PENJARINGAN, JAKARTA UTARA</t>
  </si>
  <si>
    <t>DASHBOARD</t>
  </si>
  <si>
    <t>AMBIL HANYA SAMPAI KOLOM J SAJA</t>
  </si>
  <si>
    <t xml:space="preserve">total harta dan hutang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</si>
</sst>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&quot;Rp&quot;* #,##0.00_-;\-&quot;Rp&quot;* #,##0.00_-;_-&quot;Rp&quot;* &quot;-&quot;??_-;_-@_-"/>
    <numFmt numFmtId="165" formatCode="_-* #,##0.00_-;\-* #,##0.00_-;_-* &quot;-&quot;??_-;_-@_-"/>
    <numFmt numFmtId="166" formatCode="_-* #,##0_-;\-* #,##0_-;_-* &quot;-&quot;??_-;_-@_-"/>
    <numFmt numFmtId="167" formatCode="_-* #,##0_-;\-* #,##0_-;_-* &quot;-&quot;??_-;_-@"/>
    <numFmt numFmtId="168" formatCode="_(* #,##0_);_(* \(#,##0\);_(* &quot;-&quot;??_);_(@_)"/>
    <numFmt numFmtId="169" formatCode="0.000%"/>
    <numFmt numFmtId="170" formatCode="_(* #,##0.00_);_(* \(#,##0.00\);_(* &quot;-&quot;_);_(@_)"/>
    <numFmt numFmtId="171" formatCode="_-&quot;Rp&quot;* #,##0_-;\-&quot;Rp&quot;* #,##0_-;_-&quot;Rp&quot;* &quot;-&quot;??_-;_-@_-"/>
    <numFmt numFmtId="172" formatCode="_-[$$-409]* #,##0_ ;_-[$$-409]* \-#,##0\ ;_-[$$-409]* &quot;-&quot;??_ ;_-@_ "/>
    <numFmt numFmtId="173" formatCode="_(&quot;Rp&quot;* #,##0_);_(&quot;Rp&quot;* \(#,##0\);_(&quot;Rp&quot;* &quot;-&quot;_);_(@_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6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12"/>
      <color theme="1"/>
      <name val="Arial"/>
      <family val="2"/>
    </font>
    <font>
      <b/>
      <i/>
      <sz val="8"/>
      <color theme="1"/>
      <name val="Arial"/>
      <family val="2"/>
    </font>
    <font>
      <b/>
      <i/>
      <sz val="7"/>
      <color theme="1"/>
      <name val="Arial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sz val="6"/>
      <color rgb="FF495057"/>
      <name val="Segoe UI"/>
      <family val="2"/>
    </font>
    <font>
      <sz val="6"/>
      <color rgb="FF000000"/>
      <name val="Segoe UI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3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D965"/>
        <bgColor rgb="FFFFD965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/>
      <top/>
      <bottom/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165" fontId="4" fillId="0" borderId="0" applyFont="0" applyFill="0" applyBorder="0" applyAlignment="0" applyProtection="0"/>
    <xf numFmtId="0" fontId="11" fillId="0" borderId="0"/>
    <xf numFmtId="41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" fillId="0" borderId="0"/>
    <xf numFmtId="9" fontId="11" fillId="0" borderId="0" applyFont="0" applyFill="0" applyBorder="0" applyAlignment="0" applyProtection="0"/>
    <xf numFmtId="0" fontId="2" fillId="0" borderId="0"/>
    <xf numFmtId="0" fontId="21" fillId="0" borderId="0"/>
    <xf numFmtId="165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2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458">
    <xf numFmtId="0" fontId="0" fillId="0" borderId="0" xfId="0"/>
    <xf numFmtId="0" fontId="5" fillId="0" borderId="0" xfId="0" quotePrefix="1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0" xfId="0" applyFont="1"/>
    <xf numFmtId="0" fontId="10" fillId="0" borderId="0" xfId="0" applyFont="1"/>
    <xf numFmtId="166" fontId="13" fillId="0" borderId="1" xfId="1" applyNumberFormat="1" applyFont="1" applyFill="1" applyBorder="1" applyAlignment="1">
      <alignment horizontal="center" vertical="center"/>
    </xf>
    <xf numFmtId="166" fontId="8" fillId="0" borderId="1" xfId="1" applyNumberFormat="1" applyFont="1" applyBorder="1" applyAlignment="1">
      <alignment horizontal="center" vertical="center"/>
    </xf>
    <xf numFmtId="166" fontId="8" fillId="0" borderId="1" xfId="1" quotePrefix="1" applyNumberFormat="1" applyFont="1" applyBorder="1" applyAlignment="1">
      <alignment horizontal="center" vertical="center"/>
    </xf>
    <xf numFmtId="165" fontId="9" fillId="4" borderId="1" xfId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quotePrefix="1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quotePrefix="1" applyFont="1" applyAlignment="1">
      <alignment vertical="center"/>
    </xf>
    <xf numFmtId="49" fontId="8" fillId="0" borderId="1" xfId="0" quotePrefix="1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quotePrefix="1" applyFont="1" applyAlignment="1">
      <alignment vertical="center"/>
    </xf>
    <xf numFmtId="0" fontId="7" fillId="0" borderId="0" xfId="0" applyFont="1" applyAlignment="1">
      <alignment vertical="center"/>
    </xf>
    <xf numFmtId="1" fontId="8" fillId="0" borderId="1" xfId="0" quotePrefix="1" applyNumberFormat="1" applyFont="1" applyBorder="1" applyAlignment="1">
      <alignment horizontal="center" vertical="center"/>
    </xf>
    <xf numFmtId="1" fontId="8" fillId="0" borderId="0" xfId="0" applyNumberFormat="1" applyFont="1"/>
    <xf numFmtId="1" fontId="8" fillId="0" borderId="1" xfId="0" applyNumberFormat="1" applyFont="1" applyBorder="1" applyAlignment="1">
      <alignment horizontal="center" vertical="center"/>
    </xf>
    <xf numFmtId="166" fontId="8" fillId="0" borderId="0" xfId="0" applyNumberFormat="1" applyFont="1"/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166" fontId="20" fillId="4" borderId="1" xfId="0" applyNumberFormat="1" applyFont="1" applyFill="1" applyBorder="1" applyAlignment="1">
      <alignment horizontal="center"/>
    </xf>
    <xf numFmtId="166" fontId="18" fillId="0" borderId="1" xfId="1" applyNumberFormat="1" applyFont="1" applyBorder="1" applyAlignment="1">
      <alignment horizontal="center"/>
    </xf>
    <xf numFmtId="166" fontId="13" fillId="3" borderId="1" xfId="1" applyNumberFormat="1" applyFont="1" applyFill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18" fillId="0" borderId="0" xfId="0" applyFont="1"/>
    <xf numFmtId="166" fontId="0" fillId="0" borderId="0" xfId="0" applyNumberFormat="1"/>
    <xf numFmtId="167" fontId="0" fillId="0" borderId="7" xfId="8" applyNumberFormat="1" applyFont="1" applyBorder="1" applyAlignment="1">
      <alignment vertical="center" wrapText="1"/>
    </xf>
    <xf numFmtId="0" fontId="18" fillId="0" borderId="7" xfId="8" applyFont="1" applyBorder="1"/>
    <xf numFmtId="0" fontId="18" fillId="0" borderId="7" xfId="8" applyFont="1" applyBorder="1" applyAlignment="1">
      <alignment vertical="center" wrapText="1"/>
    </xf>
    <xf numFmtId="41" fontId="0" fillId="0" borderId="7" xfId="8" applyNumberFormat="1" applyFont="1" applyBorder="1"/>
    <xf numFmtId="167" fontId="0" fillId="0" borderId="7" xfId="8" applyNumberFormat="1" applyFont="1" applyBorder="1"/>
    <xf numFmtId="166" fontId="0" fillId="0" borderId="0" xfId="1" applyNumberFormat="1" applyFont="1"/>
    <xf numFmtId="0" fontId="7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4" fillId="0" borderId="1" xfId="1" applyNumberFormat="1" applyFont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166" fontId="20" fillId="6" borderId="1" xfId="0" applyNumberFormat="1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166" fontId="26" fillId="3" borderId="1" xfId="0" applyNumberFormat="1" applyFont="1" applyFill="1" applyBorder="1" applyAlignment="1">
      <alignment horizontal="center"/>
    </xf>
    <xf numFmtId="41" fontId="8" fillId="0" borderId="7" xfId="0" applyNumberFormat="1" applyFont="1" applyBorder="1"/>
    <xf numFmtId="41" fontId="8" fillId="0" borderId="0" xfId="0" applyNumberFormat="1" applyFont="1"/>
    <xf numFmtId="166" fontId="13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1" fontId="8" fillId="0" borderId="1" xfId="0" applyNumberFormat="1" applyFont="1" applyBorder="1" applyAlignment="1">
      <alignment horizontal="center"/>
    </xf>
    <xf numFmtId="9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169" fontId="8" fillId="0" borderId="1" xfId="0" quotePrefix="1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41" fontId="8" fillId="0" borderId="7" xfId="0" applyNumberFormat="1" applyFont="1" applyBorder="1" applyAlignment="1">
      <alignment horizontal="center"/>
    </xf>
    <xf numFmtId="41" fontId="8" fillId="0" borderId="0" xfId="0" applyNumberFormat="1" applyFont="1" applyAlignment="1">
      <alignment horizontal="center"/>
    </xf>
    <xf numFmtId="0" fontId="13" fillId="0" borderId="0" xfId="0" applyFont="1"/>
    <xf numFmtId="165" fontId="8" fillId="0" borderId="1" xfId="1" applyFont="1" applyBorder="1"/>
    <xf numFmtId="0" fontId="8" fillId="0" borderId="1" xfId="0" applyFont="1" applyBorder="1"/>
    <xf numFmtId="166" fontId="8" fillId="0" borderId="1" xfId="1" applyNumberFormat="1" applyFont="1" applyBorder="1" applyAlignment="1">
      <alignment vertical="center"/>
    </xf>
    <xf numFmtId="165" fontId="8" fillId="0" borderId="1" xfId="0" applyNumberFormat="1" applyFont="1" applyBorder="1"/>
    <xf numFmtId="165" fontId="9" fillId="4" borderId="1" xfId="0" applyNumberFormat="1" applyFont="1" applyFill="1" applyBorder="1"/>
    <xf numFmtId="0" fontId="0" fillId="0" borderId="0" xfId="0" applyAlignment="1">
      <alignment horizontal="center"/>
    </xf>
    <xf numFmtId="49" fontId="8" fillId="0" borderId="1" xfId="0" quotePrefix="1" applyNumberFormat="1" applyFont="1" applyBorder="1" applyAlignment="1">
      <alignment horizontal="left" vertical="center" wrapText="1"/>
    </xf>
    <xf numFmtId="0" fontId="8" fillId="0" borderId="0" xfId="0" quotePrefix="1" applyFont="1" applyAlignment="1">
      <alignment vertical="center"/>
    </xf>
    <xf numFmtId="166" fontId="8" fillId="0" borderId="1" xfId="1" applyNumberFormat="1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left" vertical="center" wrapText="1"/>
    </xf>
    <xf numFmtId="1" fontId="8" fillId="0" borderId="1" xfId="0" quotePrefix="1" applyNumberFormat="1" applyFont="1" applyBorder="1" applyAlignment="1">
      <alignment horizontal="center" vertical="center" wrapText="1"/>
    </xf>
    <xf numFmtId="166" fontId="29" fillId="0" borderId="1" xfId="1" applyNumberFormat="1" applyFont="1" applyFill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5" xfId="0" quotePrefix="1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2" fillId="0" borderId="15" xfId="0" quotePrefix="1" applyFont="1" applyBorder="1" applyAlignment="1">
      <alignment horizontal="center" vertical="center"/>
    </xf>
    <xf numFmtId="168" fontId="33" fillId="0" borderId="15" xfId="0" applyNumberFormat="1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0" fontId="7" fillId="0" borderId="0" xfId="0" quotePrefix="1" applyFont="1"/>
    <xf numFmtId="0" fontId="8" fillId="0" borderId="9" xfId="0" quotePrefix="1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166" fontId="8" fillId="0" borderId="0" xfId="1" applyNumberFormat="1" applyFont="1"/>
    <xf numFmtId="165" fontId="8" fillId="0" borderId="0" xfId="0" applyNumberFormat="1" applyFont="1"/>
    <xf numFmtId="10" fontId="8" fillId="0" borderId="0" xfId="15" applyNumberFormat="1" applyFont="1"/>
    <xf numFmtId="9" fontId="8" fillId="0" borderId="0" xfId="0" applyNumberFormat="1" applyFont="1"/>
    <xf numFmtId="10" fontId="8" fillId="0" borderId="0" xfId="0" applyNumberFormat="1" applyFont="1"/>
    <xf numFmtId="3" fontId="0" fillId="0" borderId="0" xfId="0" applyNumberFormat="1"/>
    <xf numFmtId="166" fontId="8" fillId="0" borderId="0" xfId="0" applyNumberFormat="1" applyFont="1" applyAlignment="1">
      <alignment vertical="center"/>
    </xf>
    <xf numFmtId="166" fontId="13" fillId="0" borderId="1" xfId="1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6" fontId="8" fillId="0" borderId="0" xfId="1" applyNumberFormat="1" applyFont="1" applyFill="1" applyBorder="1" applyAlignment="1">
      <alignment horizontal="center" vertical="center"/>
    </xf>
    <xf numFmtId="166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6" fontId="8" fillId="0" borderId="0" xfId="1" applyNumberFormat="1" applyFont="1" applyBorder="1" applyAlignment="1">
      <alignment horizontal="center" vertical="center"/>
    </xf>
    <xf numFmtId="166" fontId="0" fillId="0" borderId="1" xfId="1" applyNumberFormat="1" applyFont="1" applyBorder="1"/>
    <xf numFmtId="0" fontId="7" fillId="2" borderId="1" xfId="0" applyFont="1" applyFill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70" fontId="8" fillId="0" borderId="1" xfId="0" applyNumberFormat="1" applyFont="1" applyBorder="1" applyAlignment="1">
      <alignment horizontal="center"/>
    </xf>
    <xf numFmtId="0" fontId="14" fillId="2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10" fontId="0" fillId="0" borderId="0" xfId="0" applyNumberFormat="1"/>
    <xf numFmtId="0" fontId="23" fillId="0" borderId="0" xfId="0" applyFont="1"/>
    <xf numFmtId="0" fontId="3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41" fontId="23" fillId="0" borderId="0" xfId="0" applyNumberFormat="1" applyFont="1"/>
    <xf numFmtId="0" fontId="22" fillId="0" borderId="0" xfId="0" applyFont="1" applyAlignment="1">
      <alignment horizontal="left"/>
    </xf>
    <xf numFmtId="0" fontId="37" fillId="0" borderId="0" xfId="0" applyFont="1"/>
    <xf numFmtId="0" fontId="22" fillId="0" borderId="0" xfId="0" applyFont="1" applyAlignment="1">
      <alignment horizontal="left" vertical="center"/>
    </xf>
    <xf numFmtId="0" fontId="38" fillId="0" borderId="0" xfId="0" applyFont="1"/>
    <xf numFmtId="0" fontId="22" fillId="0" borderId="0" xfId="0" applyFont="1"/>
    <xf numFmtId="0" fontId="22" fillId="0" borderId="0" xfId="0" quotePrefix="1" applyFont="1" applyAlignment="1">
      <alignment horizontal="left"/>
    </xf>
    <xf numFmtId="41" fontId="37" fillId="0" borderId="0" xfId="0" applyNumberFormat="1" applyFont="1"/>
    <xf numFmtId="0" fontId="37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8" fillId="7" borderId="7" xfId="0" applyFont="1" applyFill="1" applyBorder="1" applyAlignment="1">
      <alignment horizontal="center" vertical="center" wrapText="1"/>
    </xf>
    <xf numFmtId="41" fontId="38" fillId="7" borderId="7" xfId="0" applyNumberFormat="1" applyFont="1" applyFill="1" applyBorder="1" applyAlignment="1">
      <alignment horizontal="center" vertical="center" wrapText="1"/>
    </xf>
    <xf numFmtId="0" fontId="38" fillId="8" borderId="7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38" fillId="9" borderId="17" xfId="0" applyFont="1" applyFill="1" applyBorder="1" applyAlignment="1">
      <alignment horizontal="center" vertical="center" wrapText="1"/>
    </xf>
    <xf numFmtId="41" fontId="38" fillId="9" borderId="7" xfId="0" applyNumberFormat="1" applyFont="1" applyFill="1" applyBorder="1" applyAlignment="1">
      <alignment horizontal="center" vertical="center" wrapText="1"/>
    </xf>
    <xf numFmtId="0" fontId="38" fillId="9" borderId="7" xfId="0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41" fontId="23" fillId="0" borderId="7" xfId="0" applyNumberFormat="1" applyFont="1" applyBorder="1" applyAlignment="1">
      <alignment horizontal="center" vertical="center" wrapText="1"/>
    </xf>
    <xf numFmtId="41" fontId="23" fillId="0" borderId="7" xfId="0" applyNumberFormat="1" applyFont="1" applyBorder="1" applyAlignment="1">
      <alignment horizontal="center" vertical="center"/>
    </xf>
    <xf numFmtId="41" fontId="31" fillId="0" borderId="7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41" fontId="22" fillId="0" borderId="7" xfId="0" applyNumberFormat="1" applyFont="1" applyBorder="1" applyAlignment="1">
      <alignment horizontal="center" vertical="center"/>
    </xf>
    <xf numFmtId="41" fontId="38" fillId="0" borderId="7" xfId="0" applyNumberFormat="1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23" fillId="0" borderId="18" xfId="0" applyFont="1" applyBorder="1" applyAlignment="1">
      <alignment vertical="center"/>
    </xf>
    <xf numFmtId="41" fontId="39" fillId="10" borderId="7" xfId="0" applyNumberFormat="1" applyFont="1" applyFill="1" applyBorder="1" applyAlignment="1">
      <alignment horizontal="center" vertical="center" wrapText="1"/>
    </xf>
    <xf numFmtId="41" fontId="39" fillId="10" borderId="7" xfId="0" applyNumberFormat="1" applyFont="1" applyFill="1" applyBorder="1" applyAlignment="1">
      <alignment vertical="center" wrapText="1"/>
    </xf>
    <xf numFmtId="0" fontId="23" fillId="0" borderId="0" xfId="0" applyFont="1" applyAlignment="1">
      <alignment vertical="center"/>
    </xf>
    <xf numFmtId="0" fontId="39" fillId="10" borderId="7" xfId="0" applyFont="1" applyFill="1" applyBorder="1" applyAlignment="1">
      <alignment horizontal="center" vertical="center"/>
    </xf>
    <xf numFmtId="171" fontId="0" fillId="0" borderId="1" xfId="16" applyNumberFormat="1" applyFont="1" applyBorder="1"/>
    <xf numFmtId="172" fontId="0" fillId="0" borderId="1" xfId="1" applyNumberFormat="1" applyFont="1" applyBorder="1"/>
    <xf numFmtId="171" fontId="0" fillId="0" borderId="0" xfId="0" applyNumberFormat="1"/>
    <xf numFmtId="0" fontId="7" fillId="0" borderId="0" xfId="0" quotePrefix="1" applyFont="1" applyAlignment="1">
      <alignment horizontal="center"/>
    </xf>
    <xf numFmtId="0" fontId="18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1" applyFont="1"/>
    <xf numFmtId="165" fontId="18" fillId="3" borderId="0" xfId="0" applyNumberFormat="1" applyFont="1" applyFill="1"/>
    <xf numFmtId="165" fontId="0" fillId="0" borderId="0" xfId="0" applyNumberFormat="1"/>
    <xf numFmtId="0" fontId="19" fillId="4" borderId="0" xfId="0" applyFont="1" applyFill="1" applyAlignment="1">
      <alignment horizontal="center"/>
    </xf>
    <xf numFmtId="165" fontId="19" fillId="4" borderId="0" xfId="0" applyNumberFormat="1" applyFont="1" applyFill="1"/>
    <xf numFmtId="0" fontId="19" fillId="4" borderId="0" xfId="0" applyFont="1" applyFill="1"/>
    <xf numFmtId="0" fontId="21" fillId="0" borderId="0" xfId="8"/>
    <xf numFmtId="0" fontId="7" fillId="0" borderId="0" xfId="8" applyFont="1" applyAlignment="1">
      <alignment horizontal="center" vertical="center" textRotation="90" wrapText="1"/>
    </xf>
    <xf numFmtId="0" fontId="17" fillId="0" borderId="19" xfId="8" applyFont="1" applyBorder="1"/>
    <xf numFmtId="0" fontId="17" fillId="0" borderId="20" xfId="8" applyFont="1" applyBorder="1"/>
    <xf numFmtId="0" fontId="14" fillId="0" borderId="0" xfId="8" applyFont="1"/>
    <xf numFmtId="0" fontId="5" fillId="12" borderId="0" xfId="8" applyFont="1" applyFill="1"/>
    <xf numFmtId="0" fontId="40" fillId="0" borderId="18" xfId="8" applyFont="1" applyBorder="1" applyAlignment="1">
      <alignment horizontal="left" vertical="center"/>
    </xf>
    <xf numFmtId="0" fontId="40" fillId="0" borderId="0" xfId="8" applyFont="1" applyAlignment="1">
      <alignment horizontal="left" vertical="center"/>
    </xf>
    <xf numFmtId="0" fontId="5" fillId="12" borderId="13" xfId="8" applyFont="1" applyFill="1" applyBorder="1" applyAlignment="1">
      <alignment horizontal="center"/>
    </xf>
    <xf numFmtId="0" fontId="5" fillId="12" borderId="0" xfId="8" applyFont="1" applyFill="1" applyAlignment="1">
      <alignment horizontal="center"/>
    </xf>
    <xf numFmtId="0" fontId="5" fillId="12" borderId="24" xfId="8" applyFont="1" applyFill="1" applyBorder="1" applyAlignment="1">
      <alignment horizontal="center"/>
    </xf>
    <xf numFmtId="0" fontId="16" fillId="0" borderId="18" xfId="8" applyFont="1" applyBorder="1" applyAlignment="1">
      <alignment horizontal="center" vertical="center" textRotation="90"/>
    </xf>
    <xf numFmtId="0" fontId="35" fillId="0" borderId="0" xfId="8" applyFont="1" applyAlignment="1">
      <alignment horizontal="center" vertical="top"/>
    </xf>
    <xf numFmtId="0" fontId="41" fillId="0" borderId="24" xfId="8" applyFont="1" applyBorder="1" applyAlignment="1">
      <alignment vertical="center" wrapText="1"/>
    </xf>
    <xf numFmtId="0" fontId="16" fillId="0" borderId="7" xfId="8" applyFont="1" applyBorder="1" applyAlignment="1">
      <alignment horizontal="center" vertical="center"/>
    </xf>
    <xf numFmtId="0" fontId="16" fillId="0" borderId="0" xfId="8" applyFont="1"/>
    <xf numFmtId="0" fontId="35" fillId="0" borderId="0" xfId="8" applyFont="1" applyAlignment="1">
      <alignment horizontal="center" vertical="top" wrapText="1"/>
    </xf>
    <xf numFmtId="0" fontId="17" fillId="0" borderId="0" xfId="8" applyFont="1" applyAlignment="1">
      <alignment vertical="center"/>
    </xf>
    <xf numFmtId="0" fontId="33" fillId="0" borderId="0" xfId="8" applyFont="1" applyAlignment="1">
      <alignment vertical="center" wrapText="1"/>
    </xf>
    <xf numFmtId="0" fontId="33" fillId="0" borderId="0" xfId="8" applyFont="1" applyAlignment="1">
      <alignment horizontal="center" vertical="center"/>
    </xf>
    <xf numFmtId="41" fontId="17" fillId="0" borderId="0" xfId="8" applyNumberFormat="1" applyFont="1" applyAlignment="1">
      <alignment vertical="center"/>
    </xf>
    <xf numFmtId="41" fontId="17" fillId="0" borderId="24" xfId="8" applyNumberFormat="1" applyFont="1" applyBorder="1" applyAlignment="1">
      <alignment vertical="center"/>
    </xf>
    <xf numFmtId="0" fontId="33" fillId="0" borderId="0" xfId="8" applyFont="1" applyAlignment="1">
      <alignment vertical="center"/>
    </xf>
    <xf numFmtId="0" fontId="16" fillId="0" borderId="0" xfId="8" applyFont="1" applyAlignment="1">
      <alignment vertical="top"/>
    </xf>
    <xf numFmtId="0" fontId="33" fillId="0" borderId="24" xfId="8" applyFont="1" applyBorder="1" applyAlignment="1">
      <alignment vertical="center" wrapText="1"/>
    </xf>
    <xf numFmtId="0" fontId="16" fillId="0" borderId="0" xfId="8" applyFont="1" applyAlignment="1">
      <alignment horizontal="center" vertical="center"/>
    </xf>
    <xf numFmtId="0" fontId="33" fillId="0" borderId="0" xfId="8" applyFont="1" applyAlignment="1">
      <alignment vertical="top"/>
    </xf>
    <xf numFmtId="0" fontId="32" fillId="0" borderId="24" xfId="8" applyFont="1" applyBorder="1" applyAlignment="1">
      <alignment vertical="top"/>
    </xf>
    <xf numFmtId="0" fontId="17" fillId="0" borderId="0" xfId="8" applyFont="1" applyAlignment="1">
      <alignment vertical="top"/>
    </xf>
    <xf numFmtId="0" fontId="41" fillId="0" borderId="0" xfId="8" applyFont="1" applyAlignment="1">
      <alignment vertical="top"/>
    </xf>
    <xf numFmtId="0" fontId="17" fillId="0" borderId="0" xfId="8" applyFont="1" applyAlignment="1">
      <alignment horizontal="center" vertical="center"/>
    </xf>
    <xf numFmtId="0" fontId="5" fillId="0" borderId="0" xfId="8" applyFont="1" applyAlignment="1">
      <alignment vertical="top"/>
    </xf>
    <xf numFmtId="0" fontId="32" fillId="0" borderId="0" xfId="8" applyFont="1" applyAlignment="1">
      <alignment vertical="top"/>
    </xf>
    <xf numFmtId="0" fontId="17" fillId="0" borderId="24" xfId="8" applyFont="1" applyBorder="1" applyAlignment="1">
      <alignment vertical="top"/>
    </xf>
    <xf numFmtId="0" fontId="16" fillId="0" borderId="0" xfId="8" applyFont="1" applyAlignment="1">
      <alignment horizontal="center" vertical="center" textRotation="90"/>
    </xf>
    <xf numFmtId="0" fontId="16" fillId="0" borderId="24" xfId="8" applyFont="1" applyBorder="1" applyAlignment="1">
      <alignment horizontal="center" vertical="center" textRotation="90"/>
    </xf>
    <xf numFmtId="0" fontId="16" fillId="0" borderId="21" xfId="8" applyFont="1" applyBorder="1" applyAlignment="1">
      <alignment horizontal="left" vertical="center" textRotation="90"/>
    </xf>
    <xf numFmtId="0" fontId="16" fillId="0" borderId="22" xfId="8" applyFont="1" applyBorder="1" applyAlignment="1">
      <alignment horizontal="left" vertical="center" textRotation="90"/>
    </xf>
    <xf numFmtId="0" fontId="16" fillId="0" borderId="23" xfId="8" applyFont="1" applyBorder="1" applyAlignment="1">
      <alignment horizontal="left" vertical="center" textRotation="90"/>
    </xf>
    <xf numFmtId="0" fontId="17" fillId="0" borderId="22" xfId="8" applyFont="1" applyBorder="1"/>
    <xf numFmtId="0" fontId="35" fillId="0" borderId="22" xfId="8" applyFont="1" applyBorder="1" applyAlignment="1">
      <alignment horizontal="center" vertical="top"/>
    </xf>
    <xf numFmtId="0" fontId="32" fillId="0" borderId="22" xfId="8" applyFont="1" applyBorder="1" applyAlignment="1">
      <alignment vertical="top"/>
    </xf>
    <xf numFmtId="0" fontId="33" fillId="0" borderId="22" xfId="8" applyFont="1" applyBorder="1"/>
    <xf numFmtId="0" fontId="16" fillId="0" borderId="22" xfId="8" applyFont="1" applyBorder="1" applyAlignment="1">
      <alignment horizontal="center" vertical="center"/>
    </xf>
    <xf numFmtId="41" fontId="17" fillId="0" borderId="22" xfId="8" applyNumberFormat="1" applyFont="1" applyBorder="1" applyAlignment="1">
      <alignment vertical="center"/>
    </xf>
    <xf numFmtId="41" fontId="17" fillId="0" borderId="23" xfId="8" applyNumberFormat="1" applyFont="1" applyBorder="1" applyAlignment="1">
      <alignment vertical="center"/>
    </xf>
    <xf numFmtId="0" fontId="14" fillId="0" borderId="0" xfId="8" applyFont="1" applyAlignment="1">
      <alignment horizontal="left"/>
    </xf>
    <xf numFmtId="0" fontId="16" fillId="0" borderId="18" xfId="8" applyFont="1" applyBorder="1"/>
    <xf numFmtId="0" fontId="16" fillId="0" borderId="24" xfId="8" applyFont="1" applyBorder="1"/>
    <xf numFmtId="0" fontId="35" fillId="0" borderId="0" xfId="8" applyFont="1" applyAlignment="1">
      <alignment horizontal="center"/>
    </xf>
    <xf numFmtId="0" fontId="17" fillId="0" borderId="0" xfId="8" applyFont="1" applyAlignment="1">
      <alignment horizontal="center"/>
    </xf>
    <xf numFmtId="0" fontId="17" fillId="0" borderId="22" xfId="8" applyFont="1" applyBorder="1" applyAlignment="1">
      <alignment vertical="center"/>
    </xf>
    <xf numFmtId="0" fontId="5" fillId="0" borderId="0" xfId="8" applyFont="1" applyAlignment="1">
      <alignment vertical="center"/>
    </xf>
    <xf numFmtId="0" fontId="32" fillId="0" borderId="0" xfId="8" applyFont="1" applyAlignment="1">
      <alignment horizontal="right" vertical="center"/>
    </xf>
    <xf numFmtId="0" fontId="42" fillId="0" borderId="34" xfId="8" applyFont="1" applyBorder="1" applyAlignment="1">
      <alignment horizontal="center" vertical="center"/>
    </xf>
    <xf numFmtId="0" fontId="17" fillId="0" borderId="34" xfId="8" applyFont="1" applyBorder="1" applyAlignment="1">
      <alignment horizontal="center" vertical="center"/>
    </xf>
    <xf numFmtId="0" fontId="32" fillId="0" borderId="34" xfId="8" applyFont="1" applyBorder="1" applyAlignment="1">
      <alignment horizontal="right" vertical="center"/>
    </xf>
    <xf numFmtId="0" fontId="32" fillId="0" borderId="0" xfId="8" applyFont="1" applyAlignment="1">
      <alignment vertical="center"/>
    </xf>
    <xf numFmtId="0" fontId="16" fillId="0" borderId="21" xfId="8" applyFont="1" applyBorder="1" applyAlignment="1">
      <alignment horizontal="center" vertical="center" textRotation="90" wrapText="1"/>
    </xf>
    <xf numFmtId="0" fontId="16" fillId="0" borderId="22" xfId="8" applyFont="1" applyBorder="1" applyAlignment="1">
      <alignment horizontal="center" vertical="center" textRotation="90" wrapText="1"/>
    </xf>
    <xf numFmtId="0" fontId="17" fillId="0" borderId="23" xfId="8" applyFont="1" applyBorder="1"/>
    <xf numFmtId="0" fontId="35" fillId="0" borderId="22" xfId="8" applyFont="1" applyBorder="1" applyAlignment="1">
      <alignment horizontal="center"/>
    </xf>
    <xf numFmtId="0" fontId="32" fillId="0" borderId="22" xfId="8" applyFont="1" applyBorder="1"/>
    <xf numFmtId="0" fontId="5" fillId="0" borderId="22" xfId="8" applyFont="1" applyBorder="1"/>
    <xf numFmtId="0" fontId="17" fillId="0" borderId="18" xfId="8" applyFont="1" applyBorder="1"/>
    <xf numFmtId="0" fontId="17" fillId="0" borderId="24" xfId="8" applyFont="1" applyBorder="1"/>
    <xf numFmtId="0" fontId="41" fillId="0" borderId="0" xfId="8" applyFont="1"/>
    <xf numFmtId="0" fontId="33" fillId="0" borderId="0" xfId="8" applyFont="1" applyAlignment="1">
      <alignment horizontal="center"/>
    </xf>
    <xf numFmtId="41" fontId="41" fillId="0" borderId="0" xfId="8" applyNumberFormat="1" applyFont="1" applyAlignment="1">
      <alignment vertical="center"/>
    </xf>
    <xf numFmtId="41" fontId="41" fillId="0" borderId="24" xfId="8" applyNumberFormat="1" applyFont="1" applyBorder="1" applyAlignment="1">
      <alignment vertical="center"/>
    </xf>
    <xf numFmtId="0" fontId="33" fillId="0" borderId="0" xfId="8" applyFont="1"/>
    <xf numFmtId="0" fontId="5" fillId="0" borderId="0" xfId="8" applyFont="1" applyAlignment="1">
      <alignment horizontal="left" vertical="top"/>
    </xf>
    <xf numFmtId="41" fontId="33" fillId="0" borderId="0" xfId="8" applyNumberFormat="1" applyFont="1" applyAlignment="1">
      <alignment vertical="center"/>
    </xf>
    <xf numFmtId="41" fontId="33" fillId="0" borderId="24" xfId="8" applyNumberFormat="1" applyFont="1" applyBorder="1" applyAlignment="1">
      <alignment vertical="center"/>
    </xf>
    <xf numFmtId="0" fontId="35" fillId="0" borderId="0" xfId="8" applyFont="1" applyAlignment="1">
      <alignment vertical="top"/>
    </xf>
    <xf numFmtId="0" fontId="35" fillId="0" borderId="22" xfId="8" applyFont="1" applyBorder="1" applyAlignment="1">
      <alignment horizontal="center" vertical="center"/>
    </xf>
    <xf numFmtId="0" fontId="32" fillId="0" borderId="22" xfId="8" applyFont="1" applyBorder="1" applyAlignment="1">
      <alignment vertical="center"/>
    </xf>
    <xf numFmtId="0" fontId="5" fillId="0" borderId="22" xfId="8" applyFont="1" applyBorder="1" applyAlignment="1">
      <alignment vertical="center"/>
    </xf>
    <xf numFmtId="0" fontId="33" fillId="0" borderId="22" xfId="8" applyFont="1" applyBorder="1" applyAlignment="1">
      <alignment vertical="center"/>
    </xf>
    <xf numFmtId="0" fontId="33" fillId="0" borderId="23" xfId="8" applyFont="1" applyBorder="1" applyAlignment="1">
      <alignment vertical="center"/>
    </xf>
    <xf numFmtId="0" fontId="35" fillId="0" borderId="0" xfId="8" applyFont="1" applyAlignment="1">
      <alignment horizontal="center" vertical="center"/>
    </xf>
    <xf numFmtId="0" fontId="41" fillId="0" borderId="0" xfId="8" applyFont="1" applyAlignment="1">
      <alignment vertical="center"/>
    </xf>
    <xf numFmtId="0" fontId="17" fillId="0" borderId="22" xfId="8" applyFont="1" applyBorder="1" applyAlignment="1">
      <alignment horizontal="center" vertical="center"/>
    </xf>
    <xf numFmtId="0" fontId="41" fillId="0" borderId="24" xfId="8" applyFont="1" applyBorder="1" applyAlignment="1">
      <alignment vertical="center"/>
    </xf>
    <xf numFmtId="0" fontId="33" fillId="0" borderId="0" xfId="8" applyFont="1" applyAlignment="1">
      <alignment horizontal="center" vertical="top"/>
    </xf>
    <xf numFmtId="0" fontId="33" fillId="0" borderId="7" xfId="8" applyFont="1" applyBorder="1" applyAlignment="1">
      <alignment horizontal="center" vertical="center"/>
    </xf>
    <xf numFmtId="0" fontId="17" fillId="0" borderId="22" xfId="8" applyFont="1" applyBorder="1" applyAlignment="1">
      <alignment vertical="top"/>
    </xf>
    <xf numFmtId="0" fontId="35" fillId="0" borderId="22" xfId="8" applyFont="1" applyBorder="1" applyAlignment="1">
      <alignment vertical="top"/>
    </xf>
    <xf numFmtId="0" fontId="16" fillId="0" borderId="19" xfId="8" applyFont="1" applyBorder="1" applyAlignment="1">
      <alignment vertical="top"/>
    </xf>
    <xf numFmtId="0" fontId="33" fillId="0" borderId="7" xfId="8" applyFont="1" applyBorder="1" applyAlignment="1">
      <alignment vertical="top"/>
    </xf>
    <xf numFmtId="0" fontId="32" fillId="0" borderId="0" xfId="8" applyFont="1"/>
    <xf numFmtId="0" fontId="16" fillId="0" borderId="0" xfId="8" applyFont="1" applyAlignment="1">
      <alignment horizontal="center" vertical="top"/>
    </xf>
    <xf numFmtId="0" fontId="16" fillId="0" borderId="21" xfId="8" applyFont="1" applyBorder="1" applyAlignment="1">
      <alignment horizontal="left" vertical="center" textRotation="90" wrapText="1"/>
    </xf>
    <xf numFmtId="0" fontId="16" fillId="0" borderId="22" xfId="8" applyFont="1" applyBorder="1" applyAlignment="1">
      <alignment horizontal="left" vertical="center" textRotation="90" wrapText="1"/>
    </xf>
    <xf numFmtId="0" fontId="16" fillId="0" borderId="22" xfId="8" applyFont="1" applyBorder="1" applyAlignment="1">
      <alignment horizontal="center" vertical="top"/>
    </xf>
    <xf numFmtId="41" fontId="33" fillId="0" borderId="22" xfId="8" applyNumberFormat="1" applyFont="1" applyBorder="1"/>
    <xf numFmtId="41" fontId="33" fillId="0" borderId="23" xfId="8" applyNumberFormat="1" applyFont="1" applyBorder="1"/>
    <xf numFmtId="0" fontId="5" fillId="0" borderId="19" xfId="8" applyFont="1" applyBorder="1" applyAlignment="1">
      <alignment vertical="center" textRotation="90" wrapText="1"/>
    </xf>
    <xf numFmtId="0" fontId="33" fillId="0" borderId="19" xfId="8" applyFont="1" applyBorder="1" applyAlignment="1">
      <alignment horizontal="center"/>
    </xf>
    <xf numFmtId="0" fontId="41" fillId="0" borderId="19" xfId="8" applyFont="1" applyBorder="1"/>
    <xf numFmtId="0" fontId="17" fillId="0" borderId="13" xfId="8" applyFont="1" applyBorder="1" applyAlignment="1">
      <alignment horizontal="center" vertical="top"/>
    </xf>
    <xf numFmtId="41" fontId="41" fillId="0" borderId="19" xfId="8" applyNumberFormat="1" applyFont="1" applyBorder="1"/>
    <xf numFmtId="41" fontId="41" fillId="0" borderId="20" xfId="8" applyNumberFormat="1" applyFont="1" applyBorder="1"/>
    <xf numFmtId="0" fontId="5" fillId="0" borderId="0" xfId="8" applyFont="1" applyAlignment="1">
      <alignment horizontal="center" vertical="top" wrapText="1"/>
    </xf>
    <xf numFmtId="0" fontId="33" fillId="0" borderId="34" xfId="8" applyFont="1" applyBorder="1" applyAlignment="1">
      <alignment horizontal="center" vertical="center"/>
    </xf>
    <xf numFmtId="0" fontId="33" fillId="0" borderId="29" xfId="8" applyFont="1" applyBorder="1" applyAlignment="1">
      <alignment vertical="center"/>
    </xf>
    <xf numFmtId="0" fontId="17" fillId="0" borderId="29" xfId="8" applyFont="1" applyBorder="1" applyAlignment="1">
      <alignment vertical="center"/>
    </xf>
    <xf numFmtId="0" fontId="33" fillId="0" borderId="7" xfId="8" applyFont="1" applyBorder="1" applyAlignment="1">
      <alignment vertical="center"/>
    </xf>
    <xf numFmtId="0" fontId="43" fillId="0" borderId="0" xfId="8" applyFont="1" applyAlignment="1">
      <alignment horizontal="center" vertical="center"/>
    </xf>
    <xf numFmtId="0" fontId="44" fillId="0" borderId="0" xfId="8" applyFont="1" applyAlignment="1">
      <alignment horizontal="center" vertical="center"/>
    </xf>
    <xf numFmtId="0" fontId="5" fillId="0" borderId="0" xfId="8" applyFont="1" applyAlignment="1">
      <alignment horizontal="center" vertical="center"/>
    </xf>
    <xf numFmtId="0" fontId="17" fillId="0" borderId="24" xfId="8" applyFont="1" applyBorder="1" applyAlignment="1">
      <alignment horizontal="center"/>
    </xf>
    <xf numFmtId="0" fontId="40" fillId="0" borderId="18" xfId="8" applyFont="1" applyBorder="1" applyAlignment="1">
      <alignment wrapText="1"/>
    </xf>
    <xf numFmtId="0" fontId="40" fillId="0" borderId="0" xfId="8" applyFont="1" applyAlignment="1">
      <alignment horizontal="left" wrapText="1"/>
    </xf>
    <xf numFmtId="0" fontId="16" fillId="0" borderId="0" xfId="8" applyFont="1" applyAlignment="1">
      <alignment horizontal="right" vertical="center"/>
    </xf>
    <xf numFmtId="0" fontId="40" fillId="0" borderId="0" xfId="8" applyFont="1" applyAlignment="1">
      <alignment vertical="center"/>
    </xf>
    <xf numFmtId="0" fontId="16" fillId="0" borderId="0" xfId="8" applyFont="1" applyAlignment="1">
      <alignment vertical="center" wrapText="1"/>
    </xf>
    <xf numFmtId="0" fontId="45" fillId="0" borderId="0" xfId="8" applyFont="1" applyAlignment="1">
      <alignment vertical="center" wrapText="1"/>
    </xf>
    <xf numFmtId="0" fontId="41" fillId="0" borderId="24" xfId="8" applyFont="1" applyBorder="1"/>
    <xf numFmtId="0" fontId="40" fillId="0" borderId="18" xfId="8" applyFont="1" applyBorder="1" applyAlignment="1">
      <alignment vertical="center"/>
    </xf>
    <xf numFmtId="173" fontId="40" fillId="0" borderId="18" xfId="8" applyNumberFormat="1" applyFont="1" applyBorder="1" applyAlignment="1">
      <alignment wrapText="1"/>
    </xf>
    <xf numFmtId="0" fontId="5" fillId="0" borderId="22" xfId="8" applyFont="1" applyBorder="1" applyAlignment="1">
      <alignment vertical="center" textRotation="90" wrapText="1"/>
    </xf>
    <xf numFmtId="0" fontId="41" fillId="0" borderId="22" xfId="8" applyFont="1" applyBorder="1" applyAlignment="1">
      <alignment vertical="top"/>
    </xf>
    <xf numFmtId="0" fontId="33" fillId="0" borderId="22" xfId="8" applyFont="1" applyBorder="1" applyAlignment="1">
      <alignment vertical="top"/>
    </xf>
    <xf numFmtId="0" fontId="45" fillId="0" borderId="22" xfId="8" applyFont="1" applyBorder="1" applyAlignment="1">
      <alignment horizontal="left" vertical="top"/>
    </xf>
    <xf numFmtId="0" fontId="45" fillId="0" borderId="22" xfId="8" applyFont="1" applyBorder="1" applyAlignment="1">
      <alignment vertical="top"/>
    </xf>
    <xf numFmtId="0" fontId="45" fillId="0" borderId="22" xfId="8" applyFont="1" applyBorder="1" applyAlignment="1">
      <alignment vertical="center" wrapText="1"/>
    </xf>
    <xf numFmtId="0" fontId="16" fillId="0" borderId="22" xfId="8" applyFont="1" applyBorder="1" applyAlignment="1">
      <alignment vertical="center" wrapText="1"/>
    </xf>
    <xf numFmtId="0" fontId="41" fillId="0" borderId="22" xfId="8" applyFont="1" applyBorder="1"/>
    <xf numFmtId="0" fontId="41" fillId="0" borderId="23" xfId="8" applyFont="1" applyBorder="1"/>
    <xf numFmtId="0" fontId="16" fillId="0" borderId="19" xfId="8" applyFont="1" applyBorder="1"/>
    <xf numFmtId="0" fontId="17" fillId="0" borderId="19" xfId="8" applyFont="1" applyBorder="1" applyAlignment="1">
      <alignment vertical="center"/>
    </xf>
    <xf numFmtId="0" fontId="5" fillId="0" borderId="19" xfId="8" applyFont="1" applyBorder="1" applyAlignment="1">
      <alignment vertical="center"/>
    </xf>
    <xf numFmtId="0" fontId="41" fillId="0" borderId="19" xfId="8" applyFont="1" applyBorder="1" applyAlignment="1">
      <alignment vertical="center"/>
    </xf>
    <xf numFmtId="0" fontId="16" fillId="0" borderId="19" xfId="8" applyFont="1" applyBorder="1" applyAlignment="1">
      <alignment horizontal="center" vertical="top"/>
    </xf>
    <xf numFmtId="0" fontId="42" fillId="0" borderId="0" xfId="8" applyFont="1"/>
    <xf numFmtId="0" fontId="17" fillId="0" borderId="7" xfId="8" applyFont="1" applyBorder="1" applyAlignment="1">
      <alignment horizontal="center" vertical="center"/>
    </xf>
    <xf numFmtId="16" fontId="32" fillId="0" borderId="0" xfId="8" applyNumberFormat="1" applyFont="1" applyAlignment="1">
      <alignment vertical="center"/>
    </xf>
    <xf numFmtId="0" fontId="46" fillId="0" borderId="0" xfId="8" applyFont="1"/>
    <xf numFmtId="0" fontId="46" fillId="0" borderId="0" xfId="8" applyFont="1" applyAlignment="1">
      <alignment vertical="center"/>
    </xf>
    <xf numFmtId="0" fontId="17" fillId="0" borderId="7" xfId="8" applyFont="1" applyBorder="1"/>
    <xf numFmtId="0" fontId="17" fillId="0" borderId="24" xfId="8" applyFont="1" applyBorder="1" applyAlignment="1">
      <alignment vertical="center"/>
    </xf>
    <xf numFmtId="0" fontId="46" fillId="0" borderId="22" xfId="8" applyFont="1" applyBorder="1"/>
    <xf numFmtId="0" fontId="46" fillId="0" borderId="22" xfId="8" applyFont="1" applyBorder="1" applyAlignment="1">
      <alignment vertical="center"/>
    </xf>
    <xf numFmtId="0" fontId="41" fillId="0" borderId="22" xfId="8" applyFont="1" applyBorder="1" applyAlignment="1">
      <alignment vertical="center"/>
    </xf>
    <xf numFmtId="0" fontId="17" fillId="0" borderId="23" xfId="8" applyFont="1" applyBorder="1" applyAlignment="1">
      <alignment vertical="center"/>
    </xf>
    <xf numFmtId="0" fontId="0" fillId="14" borderId="0" xfId="0" applyFill="1"/>
    <xf numFmtId="0" fontId="47" fillId="14" borderId="37" xfId="0" applyFont="1" applyFill="1" applyBorder="1" applyAlignment="1">
      <alignment horizontal="center" vertical="center"/>
    </xf>
    <xf numFmtId="0" fontId="47" fillId="14" borderId="37" xfId="0" applyFont="1" applyFill="1" applyBorder="1" applyAlignment="1">
      <alignment horizontal="left" vertical="center"/>
    </xf>
    <xf numFmtId="3" fontId="47" fillId="14" borderId="37" xfId="0" applyNumberFormat="1" applyFont="1" applyFill="1" applyBorder="1" applyAlignment="1">
      <alignment horizontal="right" vertical="center"/>
    </xf>
    <xf numFmtId="0" fontId="47" fillId="14" borderId="37" xfId="0" applyFont="1" applyFill="1" applyBorder="1" applyAlignment="1">
      <alignment horizontal="right" vertical="center"/>
    </xf>
    <xf numFmtId="3" fontId="47" fillId="14" borderId="38" xfId="0" applyNumberFormat="1" applyFont="1" applyFill="1" applyBorder="1" applyAlignment="1">
      <alignment horizontal="right" vertical="center"/>
    </xf>
    <xf numFmtId="0" fontId="47" fillId="15" borderId="37" xfId="0" applyFont="1" applyFill="1" applyBorder="1" applyAlignment="1">
      <alignment horizontal="left" vertical="center"/>
    </xf>
    <xf numFmtId="0" fontId="47" fillId="15" borderId="37" xfId="0" applyFont="1" applyFill="1" applyBorder="1" applyAlignment="1">
      <alignment horizontal="center" vertical="center"/>
    </xf>
    <xf numFmtId="3" fontId="47" fillId="15" borderId="37" xfId="0" applyNumberFormat="1" applyFont="1" applyFill="1" applyBorder="1" applyAlignment="1">
      <alignment horizontal="right" vertical="center"/>
    </xf>
    <xf numFmtId="0" fontId="47" fillId="15" borderId="37" xfId="0" applyFont="1" applyFill="1" applyBorder="1" applyAlignment="1">
      <alignment horizontal="right" vertical="center"/>
    </xf>
    <xf numFmtId="3" fontId="47" fillId="15" borderId="38" xfId="0" applyNumberFormat="1" applyFont="1" applyFill="1" applyBorder="1" applyAlignment="1">
      <alignment horizontal="right" vertical="center"/>
    </xf>
    <xf numFmtId="0" fontId="48" fillId="16" borderId="39" xfId="0" applyFont="1" applyFill="1" applyBorder="1" applyAlignment="1">
      <alignment horizontal="left" vertical="center"/>
    </xf>
    <xf numFmtId="0" fontId="48" fillId="16" borderId="39" xfId="0" applyFont="1" applyFill="1" applyBorder="1" applyAlignment="1">
      <alignment horizontal="center" vertical="center"/>
    </xf>
    <xf numFmtId="3" fontId="48" fillId="16" borderId="39" xfId="0" applyNumberFormat="1" applyFont="1" applyFill="1" applyBorder="1" applyAlignment="1">
      <alignment horizontal="right" vertical="center"/>
    </xf>
    <xf numFmtId="3" fontId="48" fillId="16" borderId="40" xfId="0" applyNumberFormat="1" applyFont="1" applyFill="1" applyBorder="1" applyAlignment="1">
      <alignment horizontal="right" vertical="center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172" fontId="0" fillId="0" borderId="46" xfId="1" applyNumberFormat="1" applyFont="1" applyBorder="1"/>
    <xf numFmtId="171" fontId="0" fillId="0" borderId="0" xfId="16" applyNumberFormat="1" applyFont="1" applyBorder="1"/>
    <xf numFmtId="172" fontId="0" fillId="0" borderId="0" xfId="0" applyNumberFormat="1"/>
    <xf numFmtId="172" fontId="0" fillId="0" borderId="45" xfId="0" applyNumberFormat="1" applyBorder="1"/>
    <xf numFmtId="171" fontId="0" fillId="0" borderId="45" xfId="0" applyNumberFormat="1" applyBorder="1"/>
    <xf numFmtId="10" fontId="0" fillId="0" borderId="44" xfId="0" applyNumberFormat="1" applyBorder="1"/>
    <xf numFmtId="166" fontId="0" fillId="0" borderId="0" xfId="1" applyNumberFormat="1" applyFont="1" applyBorder="1"/>
    <xf numFmtId="10" fontId="0" fillId="0" borderId="47" xfId="0" applyNumberFormat="1" applyBorder="1"/>
    <xf numFmtId="0" fontId="0" fillId="0" borderId="48" xfId="0" applyBorder="1"/>
    <xf numFmtId="166" fontId="0" fillId="0" borderId="48" xfId="1" applyNumberFormat="1" applyFont="1" applyBorder="1"/>
    <xf numFmtId="0" fontId="0" fillId="0" borderId="49" xfId="0" applyBorder="1"/>
    <xf numFmtId="0" fontId="0" fillId="0" borderId="0" xfId="0" pivotButton="1"/>
    <xf numFmtId="0" fontId="0" fillId="0" borderId="0" xfId="0" applyAlignment="1">
      <alignment horizontal="left"/>
    </xf>
    <xf numFmtId="171" fontId="0" fillId="0" borderId="46" xfId="16" applyNumberFormat="1" applyFont="1" applyBorder="1"/>
    <xf numFmtId="171" fontId="0" fillId="0" borderId="45" xfId="16" applyNumberFormat="1" applyFont="1" applyBorder="1"/>
    <xf numFmtId="0" fontId="0" fillId="0" borderId="47" xfId="0" applyBorder="1"/>
    <xf numFmtId="171" fontId="20" fillId="4" borderId="0" xfId="16" applyNumberFormat="1" applyFont="1" applyFill="1" applyBorder="1"/>
    <xf numFmtId="172" fontId="20" fillId="4" borderId="0" xfId="0" applyNumberFormat="1" applyFont="1" applyFill="1"/>
    <xf numFmtId="172" fontId="20" fillId="4" borderId="45" xfId="0" applyNumberFormat="1" applyFont="1" applyFill="1" applyBorder="1"/>
    <xf numFmtId="166" fontId="20" fillId="4" borderId="0" xfId="1" applyNumberFormat="1" applyFont="1" applyFill="1" applyBorder="1"/>
    <xf numFmtId="171" fontId="20" fillId="4" borderId="0" xfId="0" applyNumberFormat="1" applyFont="1" applyFill="1"/>
    <xf numFmtId="171" fontId="20" fillId="4" borderId="1" xfId="16" applyNumberFormat="1" applyFont="1" applyFill="1" applyBorder="1"/>
    <xf numFmtId="166" fontId="0" fillId="0" borderId="1" xfId="1" applyNumberFormat="1" applyFont="1" applyFill="1" applyBorder="1"/>
    <xf numFmtId="166" fontId="20" fillId="4" borderId="0" xfId="0" applyNumberFormat="1" applyFont="1" applyFill="1"/>
    <xf numFmtId="166" fontId="20" fillId="4" borderId="1" xfId="0" applyNumberFormat="1" applyFont="1" applyFill="1" applyBorder="1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/>
    <xf numFmtId="0" fontId="19" fillId="4" borderId="1" xfId="0" applyFont="1" applyFill="1" applyBorder="1" applyAlignment="1">
      <alignment horizontal="center" vertical="center"/>
    </xf>
    <xf numFmtId="0" fontId="19" fillId="4" borderId="1" xfId="0" applyFont="1" applyFill="1" applyBorder="1"/>
    <xf numFmtId="167" fontId="0" fillId="0" borderId="0" xfId="0" applyNumberFormat="1"/>
    <xf numFmtId="167" fontId="20" fillId="4" borderId="0" xfId="0" applyNumberFormat="1" applyFont="1" applyFill="1"/>
    <xf numFmtId="166" fontId="20" fillId="4" borderId="0" xfId="1" applyNumberFormat="1" applyFont="1" applyFill="1"/>
    <xf numFmtId="0" fontId="20" fillId="4" borderId="0" xfId="0" applyFont="1" applyFill="1"/>
    <xf numFmtId="166" fontId="20" fillId="4" borderId="1" xfId="1" applyNumberFormat="1" applyFont="1" applyFill="1" applyBorder="1"/>
    <xf numFmtId="166" fontId="0" fillId="0" borderId="1" xfId="0" applyNumberFormat="1" applyBorder="1"/>
    <xf numFmtId="41" fontId="0" fillId="0" borderId="1" xfId="0" applyNumberFormat="1" applyBorder="1"/>
    <xf numFmtId="3" fontId="18" fillId="17" borderId="1" xfId="0" applyNumberFormat="1" applyFont="1" applyFill="1" applyBorder="1" applyAlignment="1">
      <alignment horizontal="center"/>
    </xf>
    <xf numFmtId="166" fontId="0" fillId="17" borderId="1" xfId="1" applyNumberFormat="1" applyFont="1" applyFill="1" applyBorder="1"/>
    <xf numFmtId="0" fontId="20" fillId="5" borderId="0" xfId="0" applyFont="1" applyFill="1"/>
    <xf numFmtId="166" fontId="20" fillId="5" borderId="0" xfId="0" applyNumberFormat="1" applyFont="1" applyFill="1"/>
    <xf numFmtId="0" fontId="18" fillId="11" borderId="41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166" fontId="49" fillId="0" borderId="0" xfId="1" applyNumberFormat="1" applyFont="1"/>
    <xf numFmtId="0" fontId="18" fillId="0" borderId="50" xfId="0" applyFont="1" applyBorder="1" applyAlignment="1">
      <alignment horizontal="center" vertical="center"/>
    </xf>
    <xf numFmtId="0" fontId="19" fillId="4" borderId="50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41" fontId="7" fillId="0" borderId="7" xfId="0" applyNumberFormat="1" applyFont="1" applyBorder="1"/>
    <xf numFmtId="0" fontId="52" fillId="0" borderId="0" xfId="0" applyFont="1"/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40" fillId="0" borderId="15" xfId="8" applyFont="1" applyBorder="1" applyAlignment="1">
      <alignment horizontal="left" vertical="center"/>
    </xf>
    <xf numFmtId="0" fontId="11" fillId="0" borderId="19" xfId="8" applyFont="1" applyBorder="1"/>
    <xf numFmtId="0" fontId="11" fillId="0" borderId="20" xfId="8" applyFont="1" applyBorder="1"/>
    <xf numFmtId="0" fontId="11" fillId="0" borderId="21" xfId="8" applyFont="1" applyBorder="1"/>
    <xf numFmtId="0" fontId="11" fillId="0" borderId="22" xfId="8" applyFont="1" applyBorder="1"/>
    <xf numFmtId="0" fontId="11" fillId="0" borderId="23" xfId="8" applyFont="1" applyBorder="1"/>
    <xf numFmtId="0" fontId="5" fillId="12" borderId="21" xfId="8" applyFont="1" applyFill="1" applyBorder="1" applyAlignment="1">
      <alignment horizontal="center"/>
    </xf>
    <xf numFmtId="0" fontId="16" fillId="0" borderId="18" xfId="8" applyFont="1" applyBorder="1" applyAlignment="1">
      <alignment horizontal="center" vertical="center" textRotation="90"/>
    </xf>
    <xf numFmtId="0" fontId="21" fillId="0" borderId="0" xfId="8"/>
    <xf numFmtId="0" fontId="11" fillId="0" borderId="24" xfId="8" applyFont="1" applyBorder="1"/>
    <xf numFmtId="0" fontId="11" fillId="0" borderId="18" xfId="8" applyFont="1" applyBorder="1"/>
    <xf numFmtId="0" fontId="41" fillId="0" borderId="0" xfId="8" applyFont="1" applyAlignment="1">
      <alignment horizontal="left" vertical="center" wrapText="1"/>
    </xf>
    <xf numFmtId="41" fontId="17" fillId="0" borderId="25" xfId="8" applyNumberFormat="1" applyFont="1" applyBorder="1" applyAlignment="1">
      <alignment horizontal="center" vertical="center"/>
    </xf>
    <xf numFmtId="0" fontId="11" fillId="0" borderId="26" xfId="8" applyFont="1" applyBorder="1"/>
    <xf numFmtId="0" fontId="11" fillId="0" borderId="27" xfId="8" applyFont="1" applyBorder="1"/>
    <xf numFmtId="0" fontId="33" fillId="0" borderId="0" xfId="8" applyFont="1" applyAlignment="1">
      <alignment horizontal="left" vertical="center" wrapText="1"/>
    </xf>
    <xf numFmtId="0" fontId="33" fillId="0" borderId="0" xfId="8" applyFont="1" applyAlignment="1">
      <alignment vertical="top"/>
    </xf>
    <xf numFmtId="0" fontId="33" fillId="0" borderId="0" xfId="8" applyFont="1" applyAlignment="1">
      <alignment horizontal="left" vertical="top"/>
    </xf>
    <xf numFmtId="0" fontId="16" fillId="0" borderId="14" xfId="8" applyFont="1" applyBorder="1" applyAlignment="1">
      <alignment horizontal="center" vertical="center"/>
    </xf>
    <xf numFmtId="0" fontId="11" fillId="0" borderId="17" xfId="8" applyFont="1" applyBorder="1"/>
    <xf numFmtId="0" fontId="16" fillId="0" borderId="18" xfId="8" applyFont="1" applyBorder="1" applyAlignment="1">
      <alignment horizontal="center" vertical="center" textRotation="90" wrapText="1"/>
    </xf>
    <xf numFmtId="41" fontId="17" fillId="0" borderId="28" xfId="8" applyNumberFormat="1" applyFont="1" applyBorder="1" applyAlignment="1">
      <alignment horizontal="center" vertical="center"/>
    </xf>
    <xf numFmtId="0" fontId="11" fillId="0" borderId="29" xfId="8" applyFont="1" applyBorder="1"/>
    <xf numFmtId="0" fontId="11" fillId="0" borderId="30" xfId="8" applyFont="1" applyBorder="1"/>
    <xf numFmtId="0" fontId="11" fillId="0" borderId="31" xfId="8" applyFont="1" applyBorder="1"/>
    <xf numFmtId="0" fontId="11" fillId="0" borderId="32" xfId="8" applyFont="1" applyBorder="1"/>
    <xf numFmtId="0" fontId="11" fillId="0" borderId="33" xfId="8" applyFont="1" applyBorder="1"/>
    <xf numFmtId="0" fontId="33" fillId="0" borderId="0" xfId="8" applyFont="1" applyAlignment="1">
      <alignment vertical="top" wrapText="1"/>
    </xf>
    <xf numFmtId="41" fontId="33" fillId="0" borderId="25" xfId="8" applyNumberFormat="1" applyFont="1" applyBorder="1" applyAlignment="1">
      <alignment horizontal="center" vertical="center"/>
    </xf>
    <xf numFmtId="0" fontId="33" fillId="0" borderId="0" xfId="8" applyFont="1" applyAlignment="1">
      <alignment horizontal="left" vertical="top" wrapText="1"/>
    </xf>
    <xf numFmtId="0" fontId="35" fillId="0" borderId="0" xfId="8" applyFont="1" applyAlignment="1">
      <alignment horizontal="center" vertical="top"/>
    </xf>
    <xf numFmtId="0" fontId="40" fillId="0" borderId="15" xfId="8" applyFont="1" applyBorder="1" applyAlignment="1">
      <alignment horizontal="center" vertical="center" textRotation="90" wrapText="1"/>
    </xf>
    <xf numFmtId="0" fontId="35" fillId="0" borderId="0" xfId="8" applyFont="1" applyAlignment="1">
      <alignment horizontal="center" vertical="center"/>
    </xf>
    <xf numFmtId="0" fontId="5" fillId="0" borderId="0" xfId="8" quotePrefix="1" applyFont="1" applyAlignment="1">
      <alignment horizontal="center" vertical="center"/>
    </xf>
    <xf numFmtId="0" fontId="5" fillId="0" borderId="0" xfId="8" applyFont="1" applyAlignment="1">
      <alignment horizontal="center" vertical="top" wrapText="1"/>
    </xf>
    <xf numFmtId="0" fontId="11" fillId="0" borderId="36" xfId="8" applyFont="1" applyBorder="1"/>
    <xf numFmtId="0" fontId="43" fillId="0" borderId="0" xfId="8" applyFont="1" applyAlignment="1">
      <alignment horizontal="center" vertical="center"/>
    </xf>
    <xf numFmtId="41" fontId="17" fillId="0" borderId="12" xfId="8" applyNumberFormat="1" applyFont="1" applyBorder="1" applyAlignment="1">
      <alignment horizontal="center" vertical="center"/>
    </xf>
    <xf numFmtId="0" fontId="11" fillId="0" borderId="13" xfId="8" applyFont="1" applyBorder="1"/>
    <xf numFmtId="0" fontId="11" fillId="0" borderId="35" xfId="8" applyFont="1" applyBorder="1"/>
    <xf numFmtId="0" fontId="16" fillId="0" borderId="24" xfId="8" applyFont="1" applyBorder="1" applyAlignment="1">
      <alignment horizontal="center" vertical="center"/>
    </xf>
    <xf numFmtId="0" fontId="33" fillId="0" borderId="14" xfId="8" applyFont="1" applyBorder="1" applyAlignment="1">
      <alignment horizontal="center" vertical="center"/>
    </xf>
    <xf numFmtId="0" fontId="40" fillId="0" borderId="18" xfId="8" applyFont="1" applyBorder="1" applyAlignment="1">
      <alignment horizontal="left" vertical="center"/>
    </xf>
    <xf numFmtId="0" fontId="16" fillId="0" borderId="24" xfId="8" applyFont="1" applyBorder="1" applyAlignment="1">
      <alignment horizontal="center" vertical="center" wrapText="1"/>
    </xf>
    <xf numFmtId="0" fontId="40" fillId="0" borderId="14" xfId="8" applyFont="1" applyBorder="1" applyAlignment="1">
      <alignment horizontal="center" wrapText="1"/>
    </xf>
    <xf numFmtId="0" fontId="40" fillId="0" borderId="0" xfId="8" applyFont="1" applyAlignment="1">
      <alignment horizontal="left" wrapText="1"/>
    </xf>
    <xf numFmtId="0" fontId="33" fillId="13" borderId="14" xfId="8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 wrapText="1"/>
    </xf>
    <xf numFmtId="1" fontId="14" fillId="2" borderId="5" xfId="0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0" fillId="0" borderId="0" xfId="0"/>
    <xf numFmtId="0" fontId="36" fillId="0" borderId="0" xfId="0" applyFont="1" applyAlignment="1">
      <alignment horizontal="center"/>
    </xf>
    <xf numFmtId="0" fontId="18" fillId="3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28" fillId="3" borderId="5" xfId="0" applyFont="1" applyFill="1" applyBorder="1" applyAlignment="1">
      <alignment horizontal="center" vertical="center" wrapText="1"/>
    </xf>
    <xf numFmtId="0" fontId="27" fillId="4" borderId="11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18" fillId="2" borderId="50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</cellXfs>
  <cellStyles count="17">
    <cellStyle name="Comma" xfId="1" builtinId="3"/>
    <cellStyle name="Comma [0] 2" xfId="3" xr:uid="{45C3C7EF-B490-408E-86AF-112A53217086}"/>
    <cellStyle name="Comma [0] 3" xfId="10" xr:uid="{F28B4559-F978-42E6-851A-3F30AB020EBC}"/>
    <cellStyle name="Comma [0] 4" xfId="13" xr:uid="{076BB115-DA8F-4849-BACB-2700956EC4B7}"/>
    <cellStyle name="Comma 2" xfId="4" xr:uid="{FC972BF8-9F08-4F0F-831B-6F23AEEAE44A}"/>
    <cellStyle name="Comma 2 2" xfId="11" xr:uid="{2399F798-C646-43B4-B6F0-29D1D033E702}"/>
    <cellStyle name="Comma 3" xfId="9" xr:uid="{6888ACBB-A2F8-4444-8107-97D35231EE40}"/>
    <cellStyle name="Currency" xfId="16" builtinId="4"/>
    <cellStyle name="Normal" xfId="0" builtinId="0"/>
    <cellStyle name="Normal 2" xfId="2" xr:uid="{2D5EED1A-3E72-4A41-B723-ACCC863882DC}"/>
    <cellStyle name="Normal 3" xfId="5" xr:uid="{52EA5247-C203-429F-9309-8E023352D3F9}"/>
    <cellStyle name="Normal 3 2" xfId="7" xr:uid="{97E74D99-DC1A-47D5-B1ED-7627F83FD96C}"/>
    <cellStyle name="Normal 4" xfId="8" xr:uid="{C28C65E5-8D10-4D34-8ADE-6D52AA0CB7A0}"/>
    <cellStyle name="Normal 5" xfId="12" xr:uid="{6DED1F39-F22A-451A-B5A4-01A073103B4F}"/>
    <cellStyle name="Normal 5 2" xfId="14" xr:uid="{5C385583-99A8-4F27-B16A-26A12EBA96FF}"/>
    <cellStyle name="Percent" xfId="15" builtinId="5"/>
    <cellStyle name="Percent 2" xfId="6" xr:uid="{6C7E4954-B1B2-4399-A127-9DD79F386639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9.739584953706" createdVersion="8" refreshedVersion="8" minRefreshableVersion="3" recordCount="45" xr:uid="{DC078D61-3C06-4AC8-8CCD-1EBB12577878}">
  <cacheSource type="worksheet">
    <worksheetSource ref="C6:J51" sheet="KAS"/>
  </cacheSource>
  <cacheFields count="8">
    <cacheField name="DESKRIPSI" numFmtId="0">
      <sharedItems containsBlank="1" count="5">
        <m/>
        <s v="TABUNGAN"/>
        <s v="DEPOSITO"/>
        <s v="SETARA KAS LAINNYA"/>
        <s v="UANG TUNAI"/>
      </sharedItems>
    </cacheField>
    <cacheField name="NOMOR AKUN" numFmtId="0">
      <sharedItems containsBlank="1" containsMixedTypes="1" containsNumber="1" containsInteger="1" minValue="6309003261" maxValue="6309003261"/>
    </cacheField>
    <cacheField name="ATAS NAMA" numFmtId="0">
      <sharedItems containsBlank="1"/>
    </cacheField>
    <cacheField name="NAMA BANK/INSTITUSI " numFmtId="0">
      <sharedItems containsBlank="1" count="14">
        <m/>
        <s v="STANDARD CHARTERED BANK"/>
        <s v="BANK MEGA"/>
        <s v="BANK CENTRAL ASIA"/>
        <s v="BANK PAN INDONESIA"/>
        <s v="BANK CIMB NIAGA"/>
        <s v="BANK OCBC NISP"/>
        <s v="BANK MANDIRI"/>
        <s v="BANK HSBC INDONESIA"/>
        <s v="BANK MAYBANK INDONESIA"/>
        <s v="BANK DBS INDONESIA"/>
        <s v="BANK UOB INDONESIA"/>
        <s v="-"/>
        <s v="VALAS US DOLAR"/>
      </sharedItems>
    </cacheField>
    <cacheField name="LOKASI HARTA" numFmtId="0">
      <sharedItems containsBlank="1"/>
    </cacheField>
    <cacheField name="KURS" numFmtId="0">
      <sharedItems containsBlank="1" count="3">
        <m/>
        <s v="IDR"/>
        <s v="USD"/>
      </sharedItems>
    </cacheField>
    <cacheField name="TAHUN PEROLEHAN" numFmtId="0">
      <sharedItems containsString="0" containsBlank="1" containsNumber="1" containsInteger="1" minValue="2021" maxValue="2025"/>
    </cacheField>
    <cacheField name="SALDO SAAT INI_x000a_(2025)" numFmtId="0">
      <sharedItems containsString="0" containsBlank="1" containsNumber="1" containsInteger="1" minValue="234878" maxValue="21147661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m/>
    <m/>
    <x v="0"/>
    <m/>
    <x v="0"/>
    <m/>
    <m/>
  </r>
  <r>
    <x v="1"/>
    <s v="30610081702"/>
    <s v="SINDJAJA JONANY"/>
    <x v="1"/>
    <s v="Indonesia"/>
    <x v="1"/>
    <n v="2025"/>
    <n v="395266344"/>
  </r>
  <r>
    <x v="1"/>
    <s v="30607686992"/>
    <s v="SINDJAJA JONANY"/>
    <x v="1"/>
    <s v="Indonesia"/>
    <x v="1"/>
    <n v="2025"/>
    <n v="76528563"/>
  </r>
  <r>
    <x v="1"/>
    <s v="306812112560"/>
    <s v="ROSALINA CHANDRA"/>
    <x v="1"/>
    <s v="Indonesia"/>
    <x v="2"/>
    <n v="2025"/>
    <n v="7314772"/>
  </r>
  <r>
    <x v="1"/>
    <s v="010210020072665"/>
    <s v="SINDJAJA JONANY"/>
    <x v="2"/>
    <s v="Indonesia"/>
    <x v="1"/>
    <n v="2025"/>
    <n v="129148067"/>
  </r>
  <r>
    <x v="1"/>
    <s v="010210020079229"/>
    <s v="ROSALINA CHANDRA"/>
    <x v="2"/>
    <s v="Indonesia"/>
    <x v="1"/>
    <n v="2025"/>
    <n v="121185719"/>
  </r>
  <r>
    <x v="1"/>
    <s v="010212029003270"/>
    <s v="SINDJAJA JONANY"/>
    <x v="2"/>
    <s v="Indonesia"/>
    <x v="2"/>
    <n v="2025"/>
    <n v="38368999"/>
  </r>
  <r>
    <x v="1"/>
    <s v="010210036010740"/>
    <s v="SINDJAJA JONANY"/>
    <x v="2"/>
    <s v="Indonesia"/>
    <x v="1"/>
    <n v="2025"/>
    <n v="2114766133"/>
  </r>
  <r>
    <x v="2"/>
    <s v="0102100200360006730"/>
    <s v="ROSALINA CHANDRA"/>
    <x v="2"/>
    <s v="Indonesia"/>
    <x v="1"/>
    <n v="2025"/>
    <n v="1576324773"/>
  </r>
  <r>
    <x v="2"/>
    <s v="010210036007967"/>
    <s v="ROSALINA CHANDRA"/>
    <x v="2"/>
    <s v="Indonesia"/>
    <x v="1"/>
    <n v="2025"/>
    <n v="500000000"/>
  </r>
  <r>
    <x v="1"/>
    <s v="5910502699"/>
    <s v="SINDJAJA JONANY"/>
    <x v="3"/>
    <s v="Indonesia"/>
    <x v="1"/>
    <n v="2025"/>
    <n v="623690638"/>
  </r>
  <r>
    <x v="1"/>
    <s v="8740285689"/>
    <s v="SINDJAJA JONANY"/>
    <x v="3"/>
    <s v="Indonesia"/>
    <x v="1"/>
    <n v="2025"/>
    <n v="298564906"/>
  </r>
  <r>
    <x v="1"/>
    <s v="8740530683"/>
    <s v="SINDJAJA JONANY"/>
    <x v="3"/>
    <s v="Indonesia"/>
    <x v="2"/>
    <n v="2025"/>
    <n v="279018287"/>
  </r>
  <r>
    <x v="1"/>
    <s v="8740185668"/>
    <s v="ROSALINA CHANDRA"/>
    <x v="3"/>
    <s v="Indonesia"/>
    <x v="1"/>
    <n v="2025"/>
    <n v="158216505"/>
  </r>
  <r>
    <x v="1"/>
    <s v="8740351711"/>
    <s v="ROSALINA CHANDRA"/>
    <x v="3"/>
    <s v="Indonesia"/>
    <x v="1"/>
    <n v="2025"/>
    <n v="769467459"/>
  </r>
  <r>
    <x v="1"/>
    <s v="5910700598"/>
    <s v="ROSALINA CHANDRA"/>
    <x v="3"/>
    <s v="Indonesia"/>
    <x v="2"/>
    <n v="2025"/>
    <n v="169179268"/>
  </r>
  <r>
    <x v="1"/>
    <s v="0702102299"/>
    <s v="SINDJAJA JONANY"/>
    <x v="4"/>
    <s v="Indonesia"/>
    <x v="1"/>
    <n v="2025"/>
    <n v="117449710"/>
  </r>
  <r>
    <x v="1"/>
    <s v="0704400221"/>
    <s v="SINDJAJA JONANY"/>
    <x v="4"/>
    <s v="Indonesia"/>
    <x v="2"/>
    <n v="2025"/>
    <n v="280679210"/>
  </r>
  <r>
    <x v="1"/>
    <s v="0702013221"/>
    <s v="ROSALINA CHANDRA"/>
    <x v="4"/>
    <s v="Indonesia"/>
    <x v="1"/>
    <n v="2025"/>
    <n v="122172254"/>
  </r>
  <r>
    <x v="1"/>
    <s v="702531238600"/>
    <s v="SINDJAJA JONANY"/>
    <x v="5"/>
    <s v="Indonesia"/>
    <x v="1"/>
    <n v="2025"/>
    <n v="629283803"/>
  </r>
  <r>
    <x v="1"/>
    <s v="700884870600"/>
    <s v="SINDJAJA JONANY"/>
    <x v="5"/>
    <s v="Indonesia"/>
    <x v="1"/>
    <n v="2025"/>
    <n v="53819698"/>
  </r>
  <r>
    <x v="1"/>
    <s v="701031763000"/>
    <s v="ROSALINA CHANDRA"/>
    <x v="5"/>
    <s v="Indonesia"/>
    <x v="1"/>
    <n v="2025"/>
    <n v="19949834"/>
  </r>
  <r>
    <x v="1"/>
    <s v="27810193121"/>
    <s v="ROSALINA CHANDRA"/>
    <x v="6"/>
    <s v="Indonesia"/>
    <x v="1"/>
    <n v="2025"/>
    <n v="282662537"/>
  </r>
  <r>
    <x v="1"/>
    <s v="1680011168885"/>
    <s v="ROSALINA CHANDRA"/>
    <x v="7"/>
    <s v="Indonesia"/>
    <x v="1"/>
    <n v="2025"/>
    <n v="69884414"/>
  </r>
  <r>
    <x v="1"/>
    <s v="016077380800"/>
    <s v="SINDJAJA JONANY OR ROSALINA CHANDRA"/>
    <x v="8"/>
    <s v="Indonesia"/>
    <x v="2"/>
    <n v="2025"/>
    <n v="76737998"/>
  </r>
  <r>
    <x v="1"/>
    <s v=" 016075723808"/>
    <s v="SINDJAJA JONANY"/>
    <x v="8"/>
    <s v="Indonesia"/>
    <x v="1"/>
    <n v="2025"/>
    <n v="1031955"/>
  </r>
  <r>
    <x v="1"/>
    <s v="016060519835"/>
    <s v="ROSALINA CHANDRA"/>
    <x v="8"/>
    <s v="Indonesia"/>
    <x v="1"/>
    <n v="2025"/>
    <n v="5105020"/>
  </r>
  <r>
    <x v="1"/>
    <s v="016075723800 "/>
    <s v="SINDJAJA JONANY"/>
    <x v="8"/>
    <s v="Indonesia"/>
    <x v="2"/>
    <n v="2025"/>
    <n v="234878"/>
  </r>
  <r>
    <x v="1"/>
    <s v="016060519808"/>
    <s v="ROSALINA CHANDRA"/>
    <x v="8"/>
    <s v="Indonesia"/>
    <x v="1"/>
    <n v="2025"/>
    <n v="144021615"/>
  </r>
  <r>
    <x v="1"/>
    <s v="1080101218"/>
    <s v="SINDJAJA JONANY"/>
    <x v="9"/>
    <s v="Indonesia"/>
    <x v="1"/>
    <n v="2025"/>
    <n v="189680120"/>
  </r>
  <r>
    <x v="1"/>
    <s v="1080109987"/>
    <s v="ROSALINA CHANDRA"/>
    <x v="9"/>
    <s v="Indonesia"/>
    <x v="1"/>
    <n v="2025"/>
    <n v="99440095"/>
  </r>
  <r>
    <x v="1"/>
    <s v="1120093790"/>
    <s v="SINDJAJA JONANY"/>
    <x v="10"/>
    <s v="Indonesia"/>
    <x v="1"/>
    <n v="2025"/>
    <n v="6958452"/>
  </r>
  <r>
    <x v="1"/>
    <s v="1120616713"/>
    <s v="ROSALINA CHANDRA"/>
    <x v="10"/>
    <s v="Indonesia"/>
    <x v="1"/>
    <n v="2025"/>
    <n v="79419949"/>
  </r>
  <r>
    <x v="1"/>
    <s v="1120239370"/>
    <s v="SINDJAJA JONANY"/>
    <x v="10"/>
    <s v="Indonesia"/>
    <x v="2"/>
    <n v="2025"/>
    <n v="1224721"/>
  </r>
  <r>
    <x v="1"/>
    <s v="1121191105"/>
    <s v="ROSALINA CHANDRA"/>
    <x v="10"/>
    <s v="Indonesia"/>
    <x v="2"/>
    <n v="2025"/>
    <n v="9378343"/>
  </r>
  <r>
    <x v="1"/>
    <s v="6309001432"/>
    <s v="ROSALINA CHANDRA"/>
    <x v="11"/>
    <s v="Indonesia"/>
    <x v="2"/>
    <n v="2025"/>
    <n v="257208187"/>
  </r>
  <r>
    <x v="1"/>
    <s v="6303009415"/>
    <s v="ROSALINA CHANDRA"/>
    <x v="11"/>
    <s v="Indonesia"/>
    <x v="1"/>
    <n v="2025"/>
    <n v="48408235"/>
  </r>
  <r>
    <x v="1"/>
    <s v="6419000709"/>
    <s v="SINDJAJA JONANY"/>
    <x v="11"/>
    <s v="Indonesia"/>
    <x v="2"/>
    <n v="2025"/>
    <n v="15401286"/>
  </r>
  <r>
    <x v="1"/>
    <n v="6309003261"/>
    <s v="SINDJAJA JONANY"/>
    <x v="11"/>
    <s v="Indonesia"/>
    <x v="1"/>
    <n v="2025"/>
    <n v="563263882"/>
  </r>
  <r>
    <x v="1"/>
    <s v="6419000059"/>
    <s v="SINDJAJA JONANY"/>
    <x v="11"/>
    <s v="Indonesia"/>
    <x v="2"/>
    <n v="2025"/>
    <n v="73382598"/>
  </r>
  <r>
    <x v="1"/>
    <s v="6309003831"/>
    <s v="ROSALINA CHANDRA"/>
    <x v="11"/>
    <s v="Indonesia"/>
    <x v="1"/>
    <n v="2025"/>
    <n v="88959334"/>
  </r>
  <r>
    <x v="1"/>
    <s v="6309001742"/>
    <s v="ROSALINA CHANDRA"/>
    <x v="11"/>
    <s v="Indonesia"/>
    <x v="2"/>
    <n v="2025"/>
    <n v="83029373"/>
  </r>
  <r>
    <x v="3"/>
    <s v="-"/>
    <s v="SINDJAJA JONANY"/>
    <x v="12"/>
    <s v="Indonesia"/>
    <x v="1"/>
    <n v="2025"/>
    <n v="1050000000"/>
  </r>
  <r>
    <x v="4"/>
    <s v="-"/>
    <s v="SINDJAJA JONANY"/>
    <x v="13"/>
    <s v="Indonesia"/>
    <x v="1"/>
    <n v="2021"/>
    <n v="590000000"/>
  </r>
  <r>
    <x v="4"/>
    <s v="-"/>
    <s v="SINDJAJA JONANY"/>
    <x v="12"/>
    <s v="Indonesia"/>
    <x v="1"/>
    <n v="2021"/>
    <n v="37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4EC4F-745A-4689-A9A2-2AE310DB9A9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0" firstHeaderRow="1" firstDataRow="3" firstDataCol="1"/>
  <pivotFields count="8">
    <pivotField axis="axisCol"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axis="axisRow" showAll="0">
      <items count="15">
        <item x="12"/>
        <item x="3"/>
        <item x="5"/>
        <item x="10"/>
        <item x="8"/>
        <item x="7"/>
        <item x="9"/>
        <item x="2"/>
        <item x="6"/>
        <item x="4"/>
        <item x="11"/>
        <item x="1"/>
        <item x="13"/>
        <item x="0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dataField="1"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0"/>
    <field x="5"/>
  </colFields>
  <colItems count="12">
    <i>
      <x/>
      <x/>
    </i>
    <i t="default">
      <x/>
    </i>
    <i>
      <x v="1"/>
      <x/>
    </i>
    <i t="default">
      <x v="1"/>
    </i>
    <i>
      <x v="2"/>
      <x/>
    </i>
    <i r="1">
      <x v="1"/>
    </i>
    <i t="default">
      <x v="2"/>
    </i>
    <i>
      <x v="3"/>
      <x/>
    </i>
    <i t="default">
      <x v="3"/>
    </i>
    <i>
      <x v="4"/>
      <x v="2"/>
    </i>
    <i t="default">
      <x v="4"/>
    </i>
    <i t="grand">
      <x/>
    </i>
  </colItems>
  <dataFields count="1">
    <dataField name="Sum of SALDO SAAT INI_x000a_(2025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72BC-D17A-4472-9215-22253BB2BFCB}">
  <sheetPr codeName="Sheet2"/>
  <dimension ref="A1:V6"/>
  <sheetViews>
    <sheetView workbookViewId="0">
      <selection activeCell="A4" sqref="A1:XFD1048576"/>
    </sheetView>
  </sheetViews>
  <sheetFormatPr baseColWidth="10" defaultColWidth="8.83203125" defaultRowHeight="15" x14ac:dyDescent="0.2"/>
  <sheetData>
    <row r="1" spans="1:22" s="3" customFormat="1" ht="30" customHeight="1" x14ac:dyDescent="0.2">
      <c r="A1" s="4">
        <v>56</v>
      </c>
      <c r="B1" s="4" t="e">
        <v>#N/A</v>
      </c>
      <c r="C1" s="4" t="s">
        <v>16</v>
      </c>
      <c r="D1" s="5" t="s">
        <v>381</v>
      </c>
      <c r="E1" s="4" t="s">
        <v>373</v>
      </c>
      <c r="F1" s="5" t="s">
        <v>380</v>
      </c>
      <c r="G1" s="4" t="s">
        <v>225</v>
      </c>
      <c r="H1" s="4" t="s">
        <v>376</v>
      </c>
      <c r="I1" s="4">
        <v>2023</v>
      </c>
      <c r="J1" s="56">
        <v>0</v>
      </c>
      <c r="K1" s="94"/>
      <c r="L1" s="94">
        <v>1</v>
      </c>
      <c r="M1" s="4"/>
      <c r="N1" s="78">
        <v>522954440</v>
      </c>
      <c r="O1" s="11">
        <v>423213224</v>
      </c>
      <c r="P1" s="11">
        <v>0</v>
      </c>
      <c r="Q1" s="11">
        <v>0</v>
      </c>
      <c r="R1" s="11">
        <v>0</v>
      </c>
      <c r="T1" s="24"/>
      <c r="U1" s="25"/>
      <c r="V1" s="24"/>
    </row>
    <row r="2" spans="1:22" s="3" customFormat="1" ht="30" customHeight="1" x14ac:dyDescent="0.2">
      <c r="A2" s="4">
        <v>57</v>
      </c>
      <c r="B2" s="4" t="e">
        <v>#N/A</v>
      </c>
      <c r="C2" s="4" t="s">
        <v>16</v>
      </c>
      <c r="D2" s="5" t="s">
        <v>381</v>
      </c>
      <c r="E2" s="4" t="s">
        <v>373</v>
      </c>
      <c r="F2" s="5" t="s">
        <v>380</v>
      </c>
      <c r="G2" s="4" t="s">
        <v>225</v>
      </c>
      <c r="H2" s="4" t="s">
        <v>376</v>
      </c>
      <c r="I2" s="4">
        <v>2023</v>
      </c>
      <c r="J2" s="56">
        <v>0</v>
      </c>
      <c r="K2" s="94"/>
      <c r="L2" s="94">
        <v>1</v>
      </c>
      <c r="M2" s="4"/>
      <c r="N2" s="78">
        <v>519743666</v>
      </c>
      <c r="O2" s="11">
        <v>575000000</v>
      </c>
      <c r="P2" s="11">
        <v>0</v>
      </c>
      <c r="Q2" s="11">
        <v>0</v>
      </c>
      <c r="R2" s="11">
        <v>0</v>
      </c>
      <c r="T2" s="24"/>
      <c r="U2" s="25"/>
      <c r="V2" s="24"/>
    </row>
    <row r="3" spans="1:22" s="3" customFormat="1" ht="30" customHeight="1" x14ac:dyDescent="0.2">
      <c r="A3" s="4">
        <v>58</v>
      </c>
      <c r="B3" s="4" t="e">
        <v>#N/A</v>
      </c>
      <c r="C3" s="4" t="s">
        <v>16</v>
      </c>
      <c r="D3" s="5" t="s">
        <v>381</v>
      </c>
      <c r="E3" s="4" t="s">
        <v>373</v>
      </c>
      <c r="F3" s="5" t="s">
        <v>380</v>
      </c>
      <c r="G3" s="4" t="s">
        <v>225</v>
      </c>
      <c r="H3" s="4" t="s">
        <v>376</v>
      </c>
      <c r="I3" s="4">
        <v>2023</v>
      </c>
      <c r="J3" s="56">
        <v>0</v>
      </c>
      <c r="K3" s="94"/>
      <c r="L3" s="94">
        <v>1</v>
      </c>
      <c r="M3" s="4"/>
      <c r="N3" s="78">
        <v>514030503</v>
      </c>
      <c r="O3" s="11">
        <v>848290027</v>
      </c>
      <c r="P3" s="11">
        <v>0</v>
      </c>
      <c r="Q3" s="11">
        <v>0</v>
      </c>
      <c r="R3" s="11">
        <v>0</v>
      </c>
      <c r="T3" s="24"/>
      <c r="U3" s="25"/>
      <c r="V3" s="24"/>
    </row>
    <row r="4" spans="1:22" s="3" customFormat="1" ht="30" customHeight="1" x14ac:dyDescent="0.2">
      <c r="A4" s="4">
        <v>59</v>
      </c>
      <c r="B4" s="4" t="e">
        <v>#N/A</v>
      </c>
      <c r="C4" s="4" t="s">
        <v>16</v>
      </c>
      <c r="D4" s="5" t="s">
        <v>382</v>
      </c>
      <c r="E4" s="4" t="s">
        <v>373</v>
      </c>
      <c r="F4" s="5" t="s">
        <v>380</v>
      </c>
      <c r="G4" s="4" t="s">
        <v>225</v>
      </c>
      <c r="H4" s="4" t="s">
        <v>376</v>
      </c>
      <c r="I4" s="4">
        <v>2024</v>
      </c>
      <c r="J4" s="56">
        <v>0</v>
      </c>
      <c r="K4" s="94"/>
      <c r="L4" s="94">
        <v>1</v>
      </c>
      <c r="M4" s="4"/>
      <c r="N4" s="78">
        <v>514030503</v>
      </c>
      <c r="O4" s="11">
        <v>0</v>
      </c>
      <c r="P4" s="11">
        <v>0</v>
      </c>
      <c r="Q4" s="11">
        <v>0</v>
      </c>
      <c r="R4" s="11">
        <v>0</v>
      </c>
      <c r="T4" s="24"/>
      <c r="U4" s="25"/>
      <c r="V4" s="24"/>
    </row>
    <row r="5" spans="1:22" s="3" customFormat="1" ht="30" customHeight="1" x14ac:dyDescent="0.2">
      <c r="A5" s="4">
        <v>60</v>
      </c>
      <c r="B5" s="4" t="e">
        <v>#N/A</v>
      </c>
      <c r="C5" s="4" t="s">
        <v>16</v>
      </c>
      <c r="D5" s="5" t="s">
        <v>382</v>
      </c>
      <c r="E5" s="4" t="s">
        <v>373</v>
      </c>
      <c r="F5" s="5" t="s">
        <v>380</v>
      </c>
      <c r="G5" s="4" t="s">
        <v>225</v>
      </c>
      <c r="H5" s="4" t="s">
        <v>376</v>
      </c>
      <c r="I5" s="4">
        <v>2024</v>
      </c>
      <c r="J5" s="56">
        <v>0</v>
      </c>
      <c r="K5" s="94"/>
      <c r="L5" s="94">
        <v>1</v>
      </c>
      <c r="M5" s="4"/>
      <c r="N5" s="78">
        <v>505847387</v>
      </c>
      <c r="O5" s="11">
        <v>0</v>
      </c>
      <c r="P5" s="11">
        <v>0</v>
      </c>
      <c r="Q5" s="11">
        <v>0</v>
      </c>
      <c r="R5" s="11">
        <v>0</v>
      </c>
      <c r="T5" s="24"/>
      <c r="U5" s="25"/>
      <c r="V5" s="24"/>
    </row>
    <row r="6" spans="1:22" s="3" customFormat="1" ht="30" customHeight="1" x14ac:dyDescent="0.2">
      <c r="A6" s="4">
        <v>61</v>
      </c>
      <c r="B6" s="4" t="e">
        <v>#N/A</v>
      </c>
      <c r="C6" s="4" t="s">
        <v>16</v>
      </c>
      <c r="D6" s="5" t="s">
        <v>382</v>
      </c>
      <c r="E6" s="4" t="s">
        <v>373</v>
      </c>
      <c r="F6" s="5" t="s">
        <v>380</v>
      </c>
      <c r="G6" s="4" t="s">
        <v>225</v>
      </c>
      <c r="H6" s="4" t="s">
        <v>376</v>
      </c>
      <c r="I6" s="4">
        <v>2024</v>
      </c>
      <c r="J6" s="56">
        <v>0</v>
      </c>
      <c r="K6" s="94"/>
      <c r="L6" s="94">
        <v>1</v>
      </c>
      <c r="M6" s="4"/>
      <c r="N6" s="78">
        <v>1011694773</v>
      </c>
      <c r="O6" s="11">
        <v>0</v>
      </c>
      <c r="P6" s="11">
        <v>0</v>
      </c>
      <c r="Q6" s="11">
        <v>0</v>
      </c>
      <c r="R6" s="11">
        <v>0</v>
      </c>
      <c r="T6" s="24"/>
      <c r="U6" s="25"/>
      <c r="V6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65AF-6EB6-42C7-9727-2C0A0C055FAA}">
  <sheetPr>
    <pageSetUpPr fitToPage="1"/>
  </sheetPr>
  <dimension ref="A1:AP938"/>
  <sheetViews>
    <sheetView showGridLines="0" view="pageBreakPreview" zoomScale="85" zoomScaleNormal="100" zoomScaleSheetLayoutView="85" workbookViewId="0">
      <selection activeCell="AG30" sqref="AG30:AO30"/>
    </sheetView>
  </sheetViews>
  <sheetFormatPr baseColWidth="10" defaultColWidth="12.5" defaultRowHeight="15" customHeight="1" x14ac:dyDescent="0.2"/>
  <cols>
    <col min="1" max="1" width="3.6640625" style="165" customWidth="1"/>
    <col min="2" max="2" width="3" style="165" customWidth="1"/>
    <col min="3" max="3" width="3.33203125" style="165" customWidth="1"/>
    <col min="4" max="4" width="0.83203125" style="165" customWidth="1"/>
    <col min="5" max="5" width="3.33203125" style="165" customWidth="1"/>
    <col min="6" max="6" width="0.5" style="165" customWidth="1"/>
    <col min="7" max="7" width="3.5" style="165" customWidth="1"/>
    <col min="8" max="8" width="0.83203125" style="165" customWidth="1"/>
    <col min="9" max="10" width="3.6640625" style="165" customWidth="1"/>
    <col min="11" max="11" width="4" style="165" customWidth="1"/>
    <col min="12" max="12" width="2.6640625" style="165" customWidth="1"/>
    <col min="13" max="39" width="3.6640625" style="165" customWidth="1"/>
    <col min="40" max="40" width="3.83203125" style="165" customWidth="1"/>
    <col min="41" max="41" width="1.33203125" style="165" customWidth="1"/>
    <col min="42" max="42" width="3.6640625" style="165" customWidth="1"/>
    <col min="43" max="45" width="2.83203125" style="165" customWidth="1"/>
    <col min="46" max="16384" width="12.5" style="165"/>
  </cols>
  <sheetData>
    <row r="1" spans="1:42" ht="3" customHeight="1" x14ac:dyDescent="0.2">
      <c r="B1" s="166"/>
      <c r="C1" s="166"/>
      <c r="D1" s="166"/>
    </row>
    <row r="2" spans="1:42" ht="5.25" customHeight="1" x14ac:dyDescent="0.2">
      <c r="B2" s="387" t="s">
        <v>949</v>
      </c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88"/>
      <c r="AC2" s="388"/>
      <c r="AD2" s="388"/>
      <c r="AE2" s="389"/>
      <c r="AF2" s="167"/>
      <c r="AG2" s="167"/>
      <c r="AH2" s="167"/>
      <c r="AI2" s="167"/>
      <c r="AJ2" s="167"/>
      <c r="AK2" s="167"/>
      <c r="AL2" s="167"/>
      <c r="AM2" s="167"/>
      <c r="AN2" s="167"/>
      <c r="AO2" s="168"/>
    </row>
    <row r="3" spans="1:42" ht="10.5" customHeight="1" x14ac:dyDescent="0.2">
      <c r="A3" s="169"/>
      <c r="B3" s="390"/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1"/>
      <c r="V3" s="391"/>
      <c r="W3" s="391"/>
      <c r="X3" s="391"/>
      <c r="Y3" s="391"/>
      <c r="Z3" s="391"/>
      <c r="AA3" s="391"/>
      <c r="AB3" s="391"/>
      <c r="AC3" s="391"/>
      <c r="AD3" s="391"/>
      <c r="AE3" s="392"/>
      <c r="AF3" s="393" t="s">
        <v>950</v>
      </c>
      <c r="AG3" s="391"/>
      <c r="AH3" s="391"/>
      <c r="AI3" s="391"/>
      <c r="AJ3" s="391"/>
      <c r="AK3" s="391"/>
      <c r="AL3" s="391"/>
      <c r="AM3" s="391"/>
      <c r="AN3" s="391"/>
      <c r="AO3" s="392"/>
      <c r="AP3" s="170"/>
    </row>
    <row r="4" spans="1:42" ht="1.5" customHeight="1" x14ac:dyDescent="0.2">
      <c r="A4" s="169"/>
      <c r="B4" s="171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3"/>
      <c r="AG4" s="174"/>
      <c r="AH4" s="174"/>
      <c r="AI4" s="174"/>
      <c r="AJ4" s="174"/>
      <c r="AK4" s="174"/>
      <c r="AL4" s="174"/>
      <c r="AM4" s="174"/>
      <c r="AN4" s="174"/>
      <c r="AO4" s="175"/>
      <c r="AP4" s="170"/>
    </row>
    <row r="5" spans="1:42" ht="24" customHeight="1" x14ac:dyDescent="0.2">
      <c r="B5" s="394" t="s">
        <v>951</v>
      </c>
      <c r="C5" s="395"/>
      <c r="D5" s="395"/>
      <c r="E5" s="396"/>
      <c r="G5" s="177" t="s">
        <v>952</v>
      </c>
      <c r="I5" s="398" t="s">
        <v>953</v>
      </c>
      <c r="J5" s="395"/>
      <c r="K5" s="395"/>
      <c r="L5" s="395"/>
      <c r="M5" s="395"/>
      <c r="N5" s="395"/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  <c r="Z5" s="395"/>
      <c r="AA5" s="395"/>
      <c r="AB5" s="395"/>
      <c r="AC5" s="395"/>
      <c r="AD5" s="395"/>
      <c r="AE5" s="178"/>
      <c r="AF5" s="179">
        <v>1</v>
      </c>
      <c r="AG5" s="399">
        <f>BUPOT!F10</f>
        <v>52925263</v>
      </c>
      <c r="AH5" s="400"/>
      <c r="AI5" s="400"/>
      <c r="AJ5" s="400"/>
      <c r="AK5" s="400"/>
      <c r="AL5" s="400"/>
      <c r="AM5" s="400"/>
      <c r="AN5" s="400"/>
      <c r="AO5" s="401"/>
    </row>
    <row r="6" spans="1:42" ht="3" customHeight="1" x14ac:dyDescent="0.2">
      <c r="A6" s="180"/>
      <c r="B6" s="397"/>
      <c r="C6" s="395"/>
      <c r="D6" s="395"/>
      <c r="E6" s="396"/>
      <c r="G6" s="181"/>
      <c r="I6" s="182"/>
      <c r="J6" s="182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4"/>
      <c r="AE6" s="184"/>
      <c r="AF6" s="182"/>
      <c r="AG6" s="185"/>
      <c r="AH6" s="185"/>
      <c r="AI6" s="185"/>
      <c r="AJ6" s="185"/>
      <c r="AK6" s="185"/>
      <c r="AL6" s="185"/>
      <c r="AM6" s="185"/>
      <c r="AN6" s="185"/>
      <c r="AO6" s="186"/>
    </row>
    <row r="7" spans="1:42" ht="24" customHeight="1" x14ac:dyDescent="0.2">
      <c r="B7" s="397"/>
      <c r="C7" s="395"/>
      <c r="D7" s="395"/>
      <c r="E7" s="396"/>
      <c r="G7" s="177" t="s">
        <v>954</v>
      </c>
      <c r="I7" s="402" t="s">
        <v>955</v>
      </c>
      <c r="J7" s="395"/>
      <c r="K7" s="395"/>
      <c r="L7" s="395"/>
      <c r="M7" s="395"/>
      <c r="N7" s="395"/>
      <c r="O7" s="395"/>
      <c r="P7" s="395"/>
      <c r="Q7" s="395"/>
      <c r="R7" s="395"/>
      <c r="S7" s="395"/>
      <c r="T7" s="395"/>
      <c r="U7" s="395"/>
      <c r="V7" s="395"/>
      <c r="W7" s="395"/>
      <c r="X7" s="395"/>
      <c r="Y7" s="395"/>
      <c r="Z7" s="395"/>
      <c r="AA7" s="395"/>
      <c r="AB7" s="395"/>
      <c r="AC7" s="395"/>
      <c r="AD7" s="395"/>
      <c r="AE7" s="396"/>
      <c r="AF7" s="179">
        <v>2</v>
      </c>
      <c r="AG7" s="399">
        <f>BUPOT!F15</f>
        <v>111150000</v>
      </c>
      <c r="AH7" s="400"/>
      <c r="AI7" s="400"/>
      <c r="AJ7" s="400"/>
      <c r="AK7" s="400"/>
      <c r="AL7" s="400"/>
      <c r="AM7" s="400"/>
      <c r="AN7" s="400"/>
      <c r="AO7" s="401"/>
    </row>
    <row r="8" spans="1:42" ht="3" customHeight="1" x14ac:dyDescent="0.2">
      <c r="A8" s="180"/>
      <c r="B8" s="397"/>
      <c r="C8" s="395"/>
      <c r="D8" s="395"/>
      <c r="E8" s="396"/>
      <c r="G8" s="177"/>
      <c r="I8" s="182"/>
      <c r="J8" s="182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4"/>
      <c r="AE8" s="184"/>
      <c r="AF8" s="182"/>
      <c r="AG8" s="185"/>
      <c r="AH8" s="185"/>
      <c r="AI8" s="185"/>
      <c r="AJ8" s="185"/>
      <c r="AK8" s="185"/>
      <c r="AL8" s="185"/>
      <c r="AM8" s="185"/>
      <c r="AN8" s="185"/>
      <c r="AO8" s="186"/>
    </row>
    <row r="9" spans="1:42" ht="24" customHeight="1" x14ac:dyDescent="0.2">
      <c r="B9" s="397"/>
      <c r="C9" s="395"/>
      <c r="D9" s="395"/>
      <c r="E9" s="396"/>
      <c r="G9" s="177" t="s">
        <v>956</v>
      </c>
      <c r="I9" s="398" t="s">
        <v>957</v>
      </c>
      <c r="J9" s="395"/>
      <c r="K9" s="395"/>
      <c r="L9" s="395"/>
      <c r="M9" s="395"/>
      <c r="N9" s="395"/>
      <c r="O9" s="395"/>
      <c r="P9" s="395"/>
      <c r="Q9" s="395"/>
      <c r="R9" s="395"/>
      <c r="S9" s="395"/>
      <c r="T9" s="395"/>
      <c r="U9" s="395"/>
      <c r="V9" s="395"/>
      <c r="W9" s="395"/>
      <c r="X9" s="395"/>
      <c r="Y9" s="395"/>
      <c r="Z9" s="395"/>
      <c r="AA9" s="395"/>
      <c r="AB9" s="395"/>
      <c r="AC9" s="395"/>
      <c r="AD9" s="395"/>
      <c r="AE9" s="178"/>
      <c r="AF9" s="179">
        <v>3</v>
      </c>
      <c r="AG9" s="399">
        <v>0</v>
      </c>
      <c r="AH9" s="400"/>
      <c r="AI9" s="400"/>
      <c r="AJ9" s="400"/>
      <c r="AK9" s="400"/>
      <c r="AL9" s="400"/>
      <c r="AM9" s="400"/>
      <c r="AN9" s="400"/>
      <c r="AO9" s="401"/>
    </row>
    <row r="10" spans="1:42" ht="1.5" customHeight="1" x14ac:dyDescent="0.2">
      <c r="A10" s="188">
        <v>4</v>
      </c>
      <c r="B10" s="397"/>
      <c r="C10" s="395"/>
      <c r="D10" s="395"/>
      <c r="E10" s="396"/>
      <c r="G10" s="181"/>
      <c r="I10" s="182"/>
      <c r="J10" s="182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7"/>
      <c r="AB10" s="187"/>
      <c r="AC10" s="187"/>
      <c r="AD10" s="184"/>
      <c r="AE10" s="184"/>
      <c r="AF10" s="182"/>
      <c r="AG10" s="185"/>
      <c r="AH10" s="185"/>
      <c r="AI10" s="185"/>
      <c r="AJ10" s="185"/>
      <c r="AK10" s="185"/>
      <c r="AL10" s="185"/>
      <c r="AM10" s="185"/>
      <c r="AN10" s="185"/>
      <c r="AO10" s="186"/>
    </row>
    <row r="11" spans="1:42" ht="24.75" customHeight="1" x14ac:dyDescent="0.2">
      <c r="A11" s="188"/>
      <c r="B11" s="397"/>
      <c r="C11" s="395"/>
      <c r="D11" s="395"/>
      <c r="E11" s="396"/>
      <c r="G11" s="181" t="s">
        <v>958</v>
      </c>
      <c r="I11" s="402" t="s">
        <v>959</v>
      </c>
      <c r="J11" s="395"/>
      <c r="K11" s="395"/>
      <c r="L11" s="395"/>
      <c r="M11" s="395"/>
      <c r="N11" s="395"/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  <c r="AA11" s="395"/>
      <c r="AB11" s="395"/>
      <c r="AC11" s="395"/>
      <c r="AD11" s="395"/>
      <c r="AE11" s="189"/>
      <c r="AF11" s="179">
        <v>4</v>
      </c>
      <c r="AG11" s="399">
        <v>0</v>
      </c>
      <c r="AH11" s="400"/>
      <c r="AI11" s="400"/>
      <c r="AJ11" s="400"/>
      <c r="AK11" s="400"/>
      <c r="AL11" s="400"/>
      <c r="AM11" s="400"/>
      <c r="AN11" s="400"/>
      <c r="AO11" s="401"/>
    </row>
    <row r="12" spans="1:42" ht="2.25" customHeight="1" x14ac:dyDescent="0.2">
      <c r="A12" s="180"/>
      <c r="B12" s="397"/>
      <c r="C12" s="395"/>
      <c r="D12" s="395"/>
      <c r="E12" s="396"/>
      <c r="G12" s="181"/>
      <c r="I12" s="182"/>
      <c r="J12" s="182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7"/>
      <c r="Y12" s="187"/>
      <c r="Z12" s="187"/>
      <c r="AA12" s="187"/>
      <c r="AB12" s="187"/>
      <c r="AC12" s="187"/>
      <c r="AD12" s="182"/>
      <c r="AE12" s="182"/>
      <c r="AF12" s="190"/>
      <c r="AG12" s="185"/>
      <c r="AH12" s="185"/>
      <c r="AI12" s="185"/>
      <c r="AJ12" s="185"/>
      <c r="AK12" s="185"/>
      <c r="AL12" s="185"/>
      <c r="AM12" s="185"/>
      <c r="AN12" s="185"/>
      <c r="AO12" s="186"/>
    </row>
    <row r="13" spans="1:42" ht="24.75" customHeight="1" x14ac:dyDescent="0.2">
      <c r="B13" s="397"/>
      <c r="C13" s="395"/>
      <c r="D13" s="395"/>
      <c r="E13" s="396"/>
      <c r="G13" s="177" t="s">
        <v>960</v>
      </c>
      <c r="I13" s="403" t="s">
        <v>961</v>
      </c>
      <c r="J13" s="395"/>
      <c r="K13" s="395"/>
      <c r="L13" s="395"/>
      <c r="M13" s="395"/>
      <c r="N13" s="395"/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  <c r="AA13" s="395"/>
      <c r="AB13" s="395"/>
      <c r="AC13" s="395"/>
      <c r="AD13" s="395"/>
      <c r="AE13" s="192"/>
      <c r="AF13" s="179">
        <v>5</v>
      </c>
      <c r="AG13" s="399">
        <f>AG5+AG7+AG9+AG11</f>
        <v>164075263</v>
      </c>
      <c r="AH13" s="400"/>
      <c r="AI13" s="400"/>
      <c r="AJ13" s="400"/>
      <c r="AK13" s="400"/>
      <c r="AL13" s="400"/>
      <c r="AM13" s="400"/>
      <c r="AN13" s="400"/>
      <c r="AO13" s="401"/>
    </row>
    <row r="14" spans="1:42" ht="2.25" customHeight="1" x14ac:dyDescent="0.2">
      <c r="A14" s="180"/>
      <c r="B14" s="397"/>
      <c r="C14" s="395"/>
      <c r="D14" s="395"/>
      <c r="E14" s="396"/>
      <c r="G14" s="177"/>
      <c r="I14" s="193"/>
      <c r="J14" s="193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4" t="s">
        <v>962</v>
      </c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5"/>
      <c r="AG14" s="185"/>
      <c r="AH14" s="185"/>
      <c r="AI14" s="185"/>
      <c r="AJ14" s="185"/>
      <c r="AK14" s="185"/>
      <c r="AL14" s="185"/>
      <c r="AM14" s="185"/>
      <c r="AN14" s="185"/>
      <c r="AO14" s="186"/>
    </row>
    <row r="15" spans="1:42" ht="24" customHeight="1" x14ac:dyDescent="0.2">
      <c r="B15" s="397"/>
      <c r="C15" s="395"/>
      <c r="D15" s="395"/>
      <c r="E15" s="396"/>
      <c r="G15" s="177" t="s">
        <v>963</v>
      </c>
      <c r="I15" s="404" t="s">
        <v>964</v>
      </c>
      <c r="J15" s="395"/>
      <c r="K15" s="395"/>
      <c r="L15" s="395"/>
      <c r="M15" s="395"/>
      <c r="N15" s="395"/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  <c r="AA15" s="395"/>
      <c r="AB15" s="395"/>
      <c r="AC15" s="395"/>
      <c r="AD15" s="395"/>
      <c r="AE15" s="396"/>
      <c r="AF15" s="179">
        <v>6</v>
      </c>
      <c r="AG15" s="399">
        <v>0</v>
      </c>
      <c r="AH15" s="400"/>
      <c r="AI15" s="400"/>
      <c r="AJ15" s="400"/>
      <c r="AK15" s="400"/>
      <c r="AL15" s="400"/>
      <c r="AM15" s="400"/>
      <c r="AN15" s="400"/>
      <c r="AO15" s="401"/>
    </row>
    <row r="16" spans="1:42" ht="3" customHeight="1" x14ac:dyDescent="0.2">
      <c r="A16" s="188"/>
      <c r="B16" s="397"/>
      <c r="C16" s="395"/>
      <c r="D16" s="395"/>
      <c r="E16" s="396"/>
      <c r="G16" s="177"/>
      <c r="I16" s="193"/>
      <c r="J16" s="193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1"/>
      <c r="V16" s="191"/>
      <c r="W16" s="191"/>
      <c r="X16" s="191"/>
      <c r="Y16" s="191"/>
      <c r="Z16" s="191"/>
      <c r="AA16" s="191"/>
      <c r="AB16" s="191"/>
      <c r="AC16" s="191"/>
      <c r="AD16" s="193"/>
      <c r="AE16" s="193"/>
      <c r="AF16" s="190"/>
      <c r="AG16" s="185"/>
      <c r="AH16" s="185"/>
      <c r="AI16" s="185"/>
      <c r="AJ16" s="185"/>
      <c r="AK16" s="185"/>
      <c r="AL16" s="185"/>
      <c r="AM16" s="185"/>
      <c r="AN16" s="185"/>
      <c r="AO16" s="186"/>
    </row>
    <row r="17" spans="1:42" ht="12" customHeight="1" x14ac:dyDescent="0.2">
      <c r="B17" s="397"/>
      <c r="C17" s="395"/>
      <c r="D17" s="395"/>
      <c r="E17" s="396"/>
      <c r="G17" s="177" t="s">
        <v>965</v>
      </c>
      <c r="I17" s="191" t="s">
        <v>966</v>
      </c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3"/>
      <c r="AB17" s="193"/>
      <c r="AC17" s="193"/>
      <c r="AD17" s="193"/>
      <c r="AE17" s="198"/>
      <c r="AF17" s="405">
        <v>7</v>
      </c>
      <c r="AG17" s="408">
        <f>AG13-AG15</f>
        <v>164075263</v>
      </c>
      <c r="AH17" s="409"/>
      <c r="AI17" s="409"/>
      <c r="AJ17" s="409"/>
      <c r="AK17" s="409"/>
      <c r="AL17" s="409"/>
      <c r="AM17" s="409"/>
      <c r="AN17" s="409"/>
      <c r="AO17" s="410"/>
    </row>
    <row r="18" spans="1:42" ht="12" customHeight="1" x14ac:dyDescent="0.2">
      <c r="B18" s="176"/>
      <c r="C18" s="199"/>
      <c r="D18" s="199"/>
      <c r="E18" s="200"/>
      <c r="G18" s="177"/>
      <c r="I18" s="191" t="s">
        <v>967</v>
      </c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3"/>
      <c r="AF18" s="406"/>
      <c r="AG18" s="411"/>
      <c r="AH18" s="412"/>
      <c r="AI18" s="412"/>
      <c r="AJ18" s="412"/>
      <c r="AK18" s="412"/>
      <c r="AL18" s="412"/>
      <c r="AM18" s="412"/>
      <c r="AN18" s="412"/>
      <c r="AO18" s="413"/>
    </row>
    <row r="19" spans="1:42" ht="4.5" customHeight="1" x14ac:dyDescent="0.2">
      <c r="B19" s="201"/>
      <c r="C19" s="202"/>
      <c r="D19" s="202"/>
      <c r="E19" s="203"/>
      <c r="F19" s="204"/>
      <c r="G19" s="205"/>
      <c r="H19" s="204"/>
      <c r="I19" s="206"/>
      <c r="J19" s="206"/>
      <c r="K19" s="204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4"/>
      <c r="AE19" s="204"/>
      <c r="AF19" s="208"/>
      <c r="AG19" s="209"/>
      <c r="AH19" s="209"/>
      <c r="AI19" s="209"/>
      <c r="AJ19" s="209"/>
      <c r="AK19" s="209"/>
      <c r="AL19" s="209"/>
      <c r="AM19" s="209"/>
      <c r="AN19" s="209"/>
      <c r="AO19" s="210"/>
    </row>
    <row r="20" spans="1:42" ht="3.75" customHeight="1" x14ac:dyDescent="0.2">
      <c r="A20" s="211"/>
      <c r="B20" s="212"/>
      <c r="C20" s="180"/>
      <c r="D20" s="180"/>
      <c r="E20" s="213"/>
      <c r="H20" s="214"/>
      <c r="I20" s="180"/>
      <c r="J20" s="180"/>
      <c r="K20" s="180"/>
      <c r="L20" s="180"/>
      <c r="M20" s="180"/>
      <c r="N20" s="180"/>
      <c r="O20" s="180"/>
      <c r="AD20" s="215"/>
      <c r="AE20" s="215"/>
      <c r="AF20" s="216"/>
      <c r="AG20" s="185"/>
      <c r="AH20" s="185"/>
      <c r="AI20" s="185"/>
      <c r="AJ20" s="185"/>
      <c r="AK20" s="185"/>
      <c r="AL20" s="185"/>
      <c r="AM20" s="185"/>
      <c r="AN20" s="185"/>
      <c r="AO20" s="186"/>
    </row>
    <row r="21" spans="1:42" ht="23.25" customHeight="1" x14ac:dyDescent="0.2">
      <c r="B21" s="407" t="s">
        <v>968</v>
      </c>
      <c r="C21" s="395"/>
      <c r="D21" s="395"/>
      <c r="E21" s="396"/>
      <c r="G21" s="177" t="s">
        <v>969</v>
      </c>
      <c r="I21" s="403" t="s">
        <v>970</v>
      </c>
      <c r="J21" s="395"/>
      <c r="K21" s="395"/>
      <c r="L21" s="395"/>
      <c r="M21" s="395"/>
      <c r="N21" s="395"/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  <c r="AA21" s="395"/>
      <c r="AB21" s="395"/>
      <c r="AC21" s="395"/>
      <c r="AD21" s="395"/>
      <c r="AE21" s="396"/>
      <c r="AF21" s="179">
        <v>8</v>
      </c>
      <c r="AG21" s="399">
        <v>0</v>
      </c>
      <c r="AH21" s="400"/>
      <c r="AI21" s="400"/>
      <c r="AJ21" s="400"/>
      <c r="AK21" s="400"/>
      <c r="AL21" s="400"/>
      <c r="AM21" s="400"/>
      <c r="AN21" s="400"/>
      <c r="AO21" s="401"/>
    </row>
    <row r="22" spans="1:42" ht="3.75" customHeight="1" x14ac:dyDescent="0.2">
      <c r="B22" s="397"/>
      <c r="C22" s="395"/>
      <c r="D22" s="395"/>
      <c r="E22" s="396"/>
      <c r="G22" s="177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217"/>
      <c r="V22" s="217"/>
      <c r="W22" s="217"/>
      <c r="X22" s="217"/>
      <c r="Y22" s="217"/>
      <c r="Z22" s="217"/>
      <c r="AA22" s="217"/>
      <c r="AB22" s="217"/>
      <c r="AC22" s="187"/>
      <c r="AD22" s="182"/>
      <c r="AE22" s="182"/>
      <c r="AF22" s="190"/>
      <c r="AG22" s="185"/>
      <c r="AH22" s="185"/>
      <c r="AI22" s="185"/>
      <c r="AJ22" s="185"/>
      <c r="AK22" s="185"/>
      <c r="AL22" s="185"/>
      <c r="AM22" s="185"/>
      <c r="AN22" s="185"/>
      <c r="AO22" s="186"/>
    </row>
    <row r="23" spans="1:42" ht="24" customHeight="1" x14ac:dyDescent="0.2">
      <c r="B23" s="397"/>
      <c r="C23" s="395"/>
      <c r="D23" s="395"/>
      <c r="E23" s="396"/>
      <c r="G23" s="177" t="s">
        <v>971</v>
      </c>
      <c r="I23" s="403" t="s">
        <v>972</v>
      </c>
      <c r="J23" s="395"/>
      <c r="K23" s="395"/>
      <c r="L23" s="395"/>
      <c r="M23" s="395"/>
      <c r="N23" s="395"/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  <c r="AA23" s="395"/>
      <c r="AB23" s="395"/>
      <c r="AC23" s="395"/>
      <c r="AD23" s="395"/>
      <c r="AE23" s="396"/>
      <c r="AF23" s="179">
        <v>9</v>
      </c>
      <c r="AG23" s="399">
        <f>AG17-AG21</f>
        <v>164075263</v>
      </c>
      <c r="AH23" s="400"/>
      <c r="AI23" s="400"/>
      <c r="AJ23" s="400"/>
      <c r="AK23" s="400"/>
      <c r="AL23" s="400"/>
      <c r="AM23" s="400"/>
      <c r="AN23" s="400"/>
      <c r="AO23" s="401"/>
    </row>
    <row r="24" spans="1:42" ht="3" customHeight="1" x14ac:dyDescent="0.2">
      <c r="B24" s="397"/>
      <c r="C24" s="395"/>
      <c r="D24" s="395"/>
      <c r="E24" s="396"/>
      <c r="G24" s="177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217"/>
      <c r="V24" s="217"/>
      <c r="W24" s="217"/>
      <c r="X24" s="217"/>
      <c r="Y24" s="217"/>
      <c r="Z24" s="217"/>
      <c r="AA24" s="217"/>
      <c r="AB24" s="217"/>
      <c r="AC24" s="187"/>
      <c r="AD24" s="182"/>
      <c r="AE24" s="182"/>
      <c r="AF24" s="190"/>
      <c r="AG24" s="185"/>
      <c r="AH24" s="185"/>
      <c r="AI24" s="185"/>
      <c r="AJ24" s="185"/>
      <c r="AK24" s="185"/>
      <c r="AL24" s="185"/>
      <c r="AM24" s="185"/>
      <c r="AN24" s="185"/>
      <c r="AO24" s="186"/>
    </row>
    <row r="25" spans="1:42" ht="22.5" customHeight="1" x14ac:dyDescent="0.2">
      <c r="B25" s="397"/>
      <c r="C25" s="395"/>
      <c r="D25" s="395"/>
      <c r="E25" s="396"/>
      <c r="G25" s="177" t="s">
        <v>973</v>
      </c>
      <c r="I25" s="191" t="s">
        <v>974</v>
      </c>
      <c r="J25" s="197"/>
      <c r="K25" s="193"/>
      <c r="L25" s="197"/>
      <c r="M25" s="197"/>
      <c r="N25" s="193"/>
      <c r="O25" s="193"/>
      <c r="P25" s="197"/>
      <c r="Q25" s="218" t="s">
        <v>975</v>
      </c>
      <c r="R25" s="219"/>
      <c r="S25" s="218"/>
      <c r="T25" s="218" t="s">
        <v>976</v>
      </c>
      <c r="U25" s="220">
        <v>1</v>
      </c>
      <c r="V25" s="218"/>
      <c r="W25" s="218" t="s">
        <v>977</v>
      </c>
      <c r="X25" s="221"/>
      <c r="Y25" s="218"/>
      <c r="Z25" s="218"/>
      <c r="AA25" s="218"/>
      <c r="AB25" s="218"/>
      <c r="AC25" s="218"/>
      <c r="AD25" s="218"/>
      <c r="AE25" s="222"/>
      <c r="AF25" s="179">
        <v>10</v>
      </c>
      <c r="AG25" s="399">
        <v>63000000</v>
      </c>
      <c r="AH25" s="400"/>
      <c r="AI25" s="400"/>
      <c r="AJ25" s="400"/>
      <c r="AK25" s="400"/>
      <c r="AL25" s="400"/>
      <c r="AM25" s="400"/>
      <c r="AN25" s="400"/>
      <c r="AO25" s="401"/>
    </row>
    <row r="26" spans="1:42" ht="3" customHeight="1" x14ac:dyDescent="0.2">
      <c r="B26" s="397"/>
      <c r="C26" s="395"/>
      <c r="D26" s="395"/>
      <c r="E26" s="396"/>
      <c r="G26" s="177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217"/>
      <c r="V26" s="217"/>
      <c r="W26" s="217"/>
      <c r="X26" s="217"/>
      <c r="Y26" s="217"/>
      <c r="Z26" s="217"/>
      <c r="AA26" s="217"/>
      <c r="AB26" s="217"/>
      <c r="AC26" s="187"/>
      <c r="AD26" s="182"/>
      <c r="AE26" s="182"/>
      <c r="AF26" s="190"/>
      <c r="AG26" s="185"/>
      <c r="AH26" s="185"/>
      <c r="AI26" s="185"/>
      <c r="AJ26" s="185"/>
      <c r="AK26" s="185"/>
      <c r="AL26" s="185"/>
      <c r="AM26" s="185"/>
      <c r="AN26" s="185"/>
      <c r="AO26" s="186"/>
    </row>
    <row r="27" spans="1:42" ht="24.75" customHeight="1" x14ac:dyDescent="0.2">
      <c r="B27" s="397"/>
      <c r="C27" s="395"/>
      <c r="D27" s="395"/>
      <c r="E27" s="396"/>
      <c r="G27" s="177" t="s">
        <v>978</v>
      </c>
      <c r="I27" s="403" t="s">
        <v>979</v>
      </c>
      <c r="J27" s="395"/>
      <c r="K27" s="395"/>
      <c r="L27" s="395"/>
      <c r="M27" s="395"/>
      <c r="N27" s="395"/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  <c r="AA27" s="395"/>
      <c r="AB27" s="395"/>
      <c r="AC27" s="395"/>
      <c r="AD27" s="395"/>
      <c r="AE27" s="396"/>
      <c r="AF27" s="179">
        <v>11</v>
      </c>
      <c r="AG27" s="399">
        <f>AG23-AG25</f>
        <v>101075263</v>
      </c>
      <c r="AH27" s="400"/>
      <c r="AI27" s="400"/>
      <c r="AJ27" s="400"/>
      <c r="AK27" s="400"/>
      <c r="AL27" s="400"/>
      <c r="AM27" s="400"/>
      <c r="AN27" s="400"/>
      <c r="AO27" s="401"/>
    </row>
    <row r="28" spans="1:42" ht="5.25" customHeight="1" x14ac:dyDescent="0.2">
      <c r="B28" s="223"/>
      <c r="C28" s="224"/>
      <c r="D28" s="224"/>
      <c r="E28" s="225"/>
      <c r="F28" s="204"/>
      <c r="G28" s="226"/>
      <c r="H28" s="204"/>
      <c r="I28" s="227"/>
      <c r="J28" s="227"/>
      <c r="K28" s="204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07"/>
      <c r="AD28" s="204"/>
      <c r="AE28" s="204"/>
      <c r="AF28" s="208"/>
      <c r="AG28" s="209"/>
      <c r="AH28" s="209"/>
      <c r="AI28" s="209"/>
      <c r="AJ28" s="209"/>
      <c r="AK28" s="209"/>
      <c r="AL28" s="209"/>
      <c r="AM28" s="209"/>
      <c r="AN28" s="209"/>
      <c r="AO28" s="210"/>
    </row>
    <row r="29" spans="1:42" ht="3.75" customHeight="1" x14ac:dyDescent="0.2">
      <c r="A29" s="180"/>
      <c r="B29" s="229"/>
      <c r="E29" s="230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2"/>
      <c r="AE29" s="232"/>
      <c r="AF29" s="216"/>
      <c r="AG29" s="233"/>
      <c r="AH29" s="233"/>
      <c r="AI29" s="233"/>
      <c r="AJ29" s="233"/>
      <c r="AK29" s="233"/>
      <c r="AL29" s="233"/>
      <c r="AM29" s="233"/>
      <c r="AN29" s="233"/>
      <c r="AO29" s="234"/>
      <c r="AP29" s="231"/>
    </row>
    <row r="30" spans="1:42" ht="24.75" customHeight="1" x14ac:dyDescent="0.2">
      <c r="B30" s="407" t="s">
        <v>980</v>
      </c>
      <c r="C30" s="395"/>
      <c r="D30" s="395"/>
      <c r="E30" s="396"/>
      <c r="G30" s="177" t="s">
        <v>981</v>
      </c>
      <c r="H30" s="182"/>
      <c r="I30" s="416" t="s">
        <v>982</v>
      </c>
      <c r="J30" s="395"/>
      <c r="K30" s="395"/>
      <c r="L30" s="395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  <c r="AA30" s="395"/>
      <c r="AB30" s="395"/>
      <c r="AC30" s="395"/>
      <c r="AD30" s="395"/>
      <c r="AE30" s="396"/>
      <c r="AF30" s="179">
        <v>12</v>
      </c>
      <c r="AG30" s="399">
        <f t="array" ref="AG30">MAX(({5;15;25;30}%*(ROUNDDOWN($AG$27,-3))-{0;6000000;31000000;56000000}))</f>
        <v>9161250</v>
      </c>
      <c r="AH30" s="400"/>
      <c r="AI30" s="400"/>
      <c r="AJ30" s="400"/>
      <c r="AK30" s="400"/>
      <c r="AL30" s="400"/>
      <c r="AM30" s="400"/>
      <c r="AN30" s="400"/>
      <c r="AO30" s="401"/>
      <c r="AP30" s="235"/>
    </row>
    <row r="31" spans="1:42" ht="2.25" customHeight="1" x14ac:dyDescent="0.2">
      <c r="A31" s="188"/>
      <c r="B31" s="397"/>
      <c r="C31" s="395"/>
      <c r="D31" s="395"/>
      <c r="E31" s="396"/>
      <c r="G31" s="177"/>
      <c r="H31" s="182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17"/>
      <c r="Z31" s="217"/>
      <c r="AA31" s="187"/>
      <c r="AB31" s="187"/>
      <c r="AC31" s="187"/>
      <c r="AD31" s="182"/>
      <c r="AE31" s="182"/>
      <c r="AF31" s="190"/>
      <c r="AG31" s="237"/>
      <c r="AH31" s="237"/>
      <c r="AI31" s="237"/>
      <c r="AJ31" s="237"/>
      <c r="AK31" s="237"/>
      <c r="AL31" s="237"/>
      <c r="AM31" s="237"/>
      <c r="AN31" s="237"/>
      <c r="AO31" s="238"/>
      <c r="AP31" s="235"/>
    </row>
    <row r="32" spans="1:42" ht="12" customHeight="1" x14ac:dyDescent="0.2">
      <c r="B32" s="397"/>
      <c r="C32" s="395"/>
      <c r="D32" s="395"/>
      <c r="E32" s="396"/>
      <c r="G32" s="417" t="s">
        <v>983</v>
      </c>
      <c r="H32" s="182"/>
      <c r="I32" s="403" t="s">
        <v>984</v>
      </c>
      <c r="J32" s="395"/>
      <c r="K32" s="395"/>
      <c r="L32" s="395"/>
      <c r="M32" s="395"/>
      <c r="N32" s="395"/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  <c r="AA32" s="395"/>
      <c r="AB32" s="395"/>
      <c r="AC32" s="395"/>
      <c r="AD32" s="395"/>
      <c r="AE32" s="396"/>
      <c r="AF32" s="405">
        <v>13</v>
      </c>
      <c r="AG32" s="408">
        <v>0</v>
      </c>
      <c r="AH32" s="409"/>
      <c r="AI32" s="409"/>
      <c r="AJ32" s="409"/>
      <c r="AK32" s="409"/>
      <c r="AL32" s="409"/>
      <c r="AM32" s="409"/>
      <c r="AN32" s="409"/>
      <c r="AO32" s="410"/>
      <c r="AP32" s="235"/>
    </row>
    <row r="33" spans="1:42" ht="13.5" customHeight="1" x14ac:dyDescent="0.2">
      <c r="A33" s="235"/>
      <c r="B33" s="397"/>
      <c r="C33" s="395"/>
      <c r="D33" s="395"/>
      <c r="E33" s="396"/>
      <c r="G33" s="395"/>
      <c r="H33" s="182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217"/>
      <c r="Z33" s="217"/>
      <c r="AA33" s="187"/>
      <c r="AB33" s="187"/>
      <c r="AC33" s="187"/>
      <c r="AD33" s="182"/>
      <c r="AE33" s="182"/>
      <c r="AF33" s="406"/>
      <c r="AG33" s="411"/>
      <c r="AH33" s="412"/>
      <c r="AI33" s="412"/>
      <c r="AJ33" s="412"/>
      <c r="AK33" s="412"/>
      <c r="AL33" s="412"/>
      <c r="AM33" s="412"/>
      <c r="AN33" s="412"/>
      <c r="AO33" s="413"/>
      <c r="AP33" s="235"/>
    </row>
    <row r="34" spans="1:42" ht="2.25" customHeight="1" x14ac:dyDescent="0.2">
      <c r="B34" s="397"/>
      <c r="C34" s="395"/>
      <c r="D34" s="395"/>
      <c r="E34" s="396"/>
      <c r="H34" s="182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17"/>
      <c r="Z34" s="217"/>
      <c r="AA34" s="187"/>
      <c r="AB34" s="187"/>
      <c r="AC34" s="187"/>
      <c r="AD34" s="182"/>
      <c r="AE34" s="182"/>
      <c r="AF34" s="190"/>
      <c r="AG34" s="237"/>
      <c r="AH34" s="237"/>
      <c r="AI34" s="237"/>
      <c r="AJ34" s="237"/>
      <c r="AK34" s="237"/>
      <c r="AL34" s="237"/>
      <c r="AM34" s="237"/>
      <c r="AN34" s="237"/>
      <c r="AO34" s="238"/>
      <c r="AP34" s="235"/>
    </row>
    <row r="35" spans="1:42" ht="24" customHeight="1" x14ac:dyDescent="0.2">
      <c r="B35" s="397"/>
      <c r="C35" s="395"/>
      <c r="D35" s="395"/>
      <c r="E35" s="396"/>
      <c r="G35" s="239" t="s">
        <v>985</v>
      </c>
      <c r="H35" s="182"/>
      <c r="I35" s="404" t="s">
        <v>986</v>
      </c>
      <c r="J35" s="395"/>
      <c r="K35" s="395"/>
      <c r="L35" s="395"/>
      <c r="M35" s="395"/>
      <c r="N35" s="395"/>
      <c r="O35" s="395"/>
      <c r="P35" s="395"/>
      <c r="Q35" s="395"/>
      <c r="R35" s="395"/>
      <c r="S35" s="395"/>
      <c r="T35" s="395"/>
      <c r="U35" s="395"/>
      <c r="V35" s="395"/>
      <c r="W35" s="395"/>
      <c r="X35" s="395"/>
      <c r="Y35" s="395"/>
      <c r="Z35" s="395"/>
      <c r="AA35" s="395"/>
      <c r="AB35" s="395"/>
      <c r="AC35" s="395"/>
      <c r="AD35" s="395"/>
      <c r="AE35" s="396"/>
      <c r="AF35" s="179">
        <v>14</v>
      </c>
      <c r="AG35" s="399">
        <f>AG30+AG32</f>
        <v>9161250</v>
      </c>
      <c r="AH35" s="400"/>
      <c r="AI35" s="400"/>
      <c r="AJ35" s="400"/>
      <c r="AK35" s="400"/>
      <c r="AL35" s="400"/>
      <c r="AM35" s="400"/>
      <c r="AN35" s="400"/>
      <c r="AO35" s="401"/>
      <c r="AP35" s="235"/>
    </row>
    <row r="36" spans="1:42" ht="5.25" customHeight="1" x14ac:dyDescent="0.2">
      <c r="B36" s="223"/>
      <c r="C36" s="224"/>
      <c r="D36" s="224"/>
      <c r="E36" s="225"/>
      <c r="F36" s="204"/>
      <c r="G36" s="240"/>
      <c r="H36" s="216"/>
      <c r="I36" s="241"/>
      <c r="J36" s="241"/>
      <c r="K36" s="216"/>
      <c r="L36" s="242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  <c r="Y36" s="242"/>
      <c r="Z36" s="242"/>
      <c r="AA36" s="243"/>
      <c r="AB36" s="243"/>
      <c r="AC36" s="243"/>
      <c r="AD36" s="216"/>
      <c r="AE36" s="216"/>
      <c r="AF36" s="208"/>
      <c r="AG36" s="243"/>
      <c r="AH36" s="243"/>
      <c r="AI36" s="243"/>
      <c r="AJ36" s="243"/>
      <c r="AK36" s="243"/>
      <c r="AL36" s="243"/>
      <c r="AM36" s="243"/>
      <c r="AN36" s="243"/>
      <c r="AO36" s="244"/>
      <c r="AP36" s="235"/>
    </row>
    <row r="37" spans="1:42" ht="3.75" customHeight="1" x14ac:dyDescent="0.2">
      <c r="A37" s="169"/>
      <c r="B37" s="229"/>
      <c r="C37" s="169"/>
      <c r="D37" s="169"/>
      <c r="E37" s="230"/>
      <c r="G37" s="182"/>
      <c r="H37" s="245"/>
      <c r="I37" s="246"/>
      <c r="J37" s="246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182"/>
      <c r="AE37" s="182"/>
      <c r="AF37" s="247"/>
      <c r="AG37" s="246"/>
      <c r="AH37" s="246"/>
      <c r="AI37" s="246"/>
      <c r="AJ37" s="246"/>
      <c r="AK37" s="246"/>
      <c r="AL37" s="246"/>
      <c r="AM37" s="246"/>
      <c r="AN37" s="246"/>
      <c r="AO37" s="248"/>
      <c r="AP37" s="231"/>
    </row>
    <row r="38" spans="1:42" ht="24.75" customHeight="1" x14ac:dyDescent="0.2">
      <c r="B38" s="407" t="s">
        <v>987</v>
      </c>
      <c r="C38" s="395"/>
      <c r="D38" s="395"/>
      <c r="E38" s="396"/>
      <c r="G38" s="177" t="s">
        <v>988</v>
      </c>
      <c r="H38" s="182"/>
      <c r="I38" s="416" t="s">
        <v>989</v>
      </c>
      <c r="J38" s="395"/>
      <c r="K38" s="395"/>
      <c r="L38" s="395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179">
        <v>15</v>
      </c>
      <c r="AG38" s="424">
        <f>BUPOT!G16</f>
        <v>7687526</v>
      </c>
      <c r="AH38" s="425"/>
      <c r="AI38" s="425"/>
      <c r="AJ38" s="425"/>
      <c r="AK38" s="425"/>
      <c r="AL38" s="425"/>
      <c r="AM38" s="425"/>
      <c r="AN38" s="425"/>
      <c r="AO38" s="426"/>
    </row>
    <row r="39" spans="1:42" ht="3.75" customHeight="1" x14ac:dyDescent="0.2">
      <c r="A39" s="188"/>
      <c r="B39" s="397"/>
      <c r="C39" s="395"/>
      <c r="D39" s="395"/>
      <c r="E39" s="396"/>
      <c r="G39" s="249"/>
      <c r="H39" s="182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87"/>
      <c r="Y39" s="187"/>
      <c r="Z39" s="187"/>
      <c r="AA39" s="187"/>
      <c r="AB39" s="187"/>
      <c r="AC39" s="187"/>
      <c r="AD39" s="182"/>
      <c r="AE39" s="182"/>
      <c r="AF39" s="195"/>
      <c r="AG39" s="237"/>
      <c r="AH39" s="237"/>
      <c r="AI39" s="237"/>
      <c r="AJ39" s="237"/>
      <c r="AK39" s="233"/>
      <c r="AL39" s="233"/>
      <c r="AM39" s="233"/>
      <c r="AN39" s="233"/>
      <c r="AO39" s="234"/>
      <c r="AP39" s="231"/>
    </row>
    <row r="40" spans="1:42" ht="15" customHeight="1" x14ac:dyDescent="0.2">
      <c r="B40" s="397"/>
      <c r="C40" s="395"/>
      <c r="D40" s="395"/>
      <c r="E40" s="396"/>
      <c r="G40" s="177" t="s">
        <v>990</v>
      </c>
      <c r="H40" s="182"/>
      <c r="I40" s="250" t="s">
        <v>991</v>
      </c>
      <c r="J40" s="191"/>
      <c r="K40" s="188" t="s">
        <v>992</v>
      </c>
      <c r="L40" s="206" t="s">
        <v>993</v>
      </c>
      <c r="M40" s="206"/>
      <c r="N40" s="251"/>
      <c r="O40" s="251"/>
      <c r="P40" s="251"/>
      <c r="Q40" s="251"/>
      <c r="R40" s="251"/>
      <c r="S40" s="252"/>
      <c r="T40" s="252"/>
      <c r="U40" s="420" t="s">
        <v>994</v>
      </c>
      <c r="V40" s="395"/>
      <c r="W40" s="194"/>
      <c r="X40" s="182"/>
      <c r="Y40" s="182"/>
      <c r="Z40" s="182"/>
      <c r="AA40" s="182"/>
      <c r="AB40" s="182"/>
      <c r="AC40" s="182"/>
      <c r="AD40" s="182"/>
      <c r="AE40" s="182"/>
      <c r="AF40" s="405">
        <v>16</v>
      </c>
      <c r="AG40" s="408">
        <f>AG35-AG38</f>
        <v>1473724</v>
      </c>
      <c r="AH40" s="409"/>
      <c r="AI40" s="409"/>
      <c r="AJ40" s="409"/>
      <c r="AK40" s="409"/>
      <c r="AL40" s="409"/>
      <c r="AM40" s="409"/>
      <c r="AN40" s="409"/>
      <c r="AO40" s="410"/>
      <c r="AP40" s="235"/>
    </row>
    <row r="41" spans="1:42" ht="2.25" customHeight="1" x14ac:dyDescent="0.2">
      <c r="A41" s="188"/>
      <c r="B41" s="397"/>
      <c r="C41" s="395"/>
      <c r="D41" s="395"/>
      <c r="E41" s="396"/>
      <c r="G41" s="249"/>
      <c r="H41" s="182"/>
      <c r="I41" s="188"/>
      <c r="J41" s="188"/>
      <c r="K41" s="188"/>
      <c r="L41" s="253"/>
      <c r="M41" s="253"/>
      <c r="N41" s="253"/>
      <c r="O41" s="253"/>
      <c r="P41" s="253"/>
      <c r="Q41" s="253"/>
      <c r="R41" s="253"/>
      <c r="S41" s="253"/>
      <c r="T41" s="253"/>
      <c r="U41" s="395"/>
      <c r="V41" s="395"/>
      <c r="W41" s="193"/>
      <c r="X41" s="182"/>
      <c r="Y41" s="182"/>
      <c r="Z41" s="182"/>
      <c r="AA41" s="182"/>
      <c r="AB41" s="182"/>
      <c r="AC41" s="182"/>
      <c r="AD41" s="182"/>
      <c r="AE41" s="182"/>
      <c r="AF41" s="422"/>
      <c r="AG41" s="397"/>
      <c r="AH41" s="395"/>
      <c r="AI41" s="395"/>
      <c r="AJ41" s="395"/>
      <c r="AK41" s="395"/>
      <c r="AL41" s="395"/>
      <c r="AM41" s="395"/>
      <c r="AN41" s="395"/>
      <c r="AO41" s="396"/>
      <c r="AP41" s="235"/>
    </row>
    <row r="42" spans="1:42" ht="13.5" customHeight="1" x14ac:dyDescent="0.2">
      <c r="A42" s="188"/>
      <c r="B42" s="397"/>
      <c r="C42" s="395"/>
      <c r="D42" s="395"/>
      <c r="E42" s="396"/>
      <c r="G42" s="249"/>
      <c r="H42" s="182"/>
      <c r="I42" s="254"/>
      <c r="J42" s="191"/>
      <c r="K42" s="188" t="s">
        <v>995</v>
      </c>
      <c r="L42" s="197" t="s">
        <v>996</v>
      </c>
      <c r="M42" s="197"/>
      <c r="N42" s="193"/>
      <c r="O42" s="193"/>
      <c r="P42" s="193"/>
      <c r="Q42" s="193"/>
      <c r="R42" s="193"/>
      <c r="S42" s="239"/>
      <c r="T42" s="239"/>
      <c r="U42" s="395"/>
      <c r="V42" s="395"/>
      <c r="W42" s="193"/>
      <c r="X42" s="182"/>
      <c r="Y42" s="182"/>
      <c r="Z42" s="182"/>
      <c r="AA42" s="182"/>
      <c r="AB42" s="182"/>
      <c r="AC42" s="182"/>
      <c r="AD42" s="182"/>
      <c r="AE42" s="182"/>
      <c r="AF42" s="406"/>
      <c r="AG42" s="411"/>
      <c r="AH42" s="412"/>
      <c r="AI42" s="412"/>
      <c r="AJ42" s="412"/>
      <c r="AK42" s="412"/>
      <c r="AL42" s="412"/>
      <c r="AM42" s="412"/>
      <c r="AN42" s="412"/>
      <c r="AO42" s="413"/>
      <c r="AP42" s="235"/>
    </row>
    <row r="43" spans="1:42" ht="3.75" customHeight="1" x14ac:dyDescent="0.2">
      <c r="A43" s="188"/>
      <c r="B43" s="397"/>
      <c r="C43" s="395"/>
      <c r="D43" s="395"/>
      <c r="E43" s="396"/>
      <c r="G43" s="249"/>
      <c r="H43" s="182"/>
      <c r="I43" s="197"/>
      <c r="J43" s="197"/>
      <c r="K43" s="197"/>
      <c r="L43" s="197"/>
      <c r="M43" s="197"/>
      <c r="N43" s="197"/>
      <c r="O43" s="197"/>
      <c r="P43" s="197"/>
      <c r="Q43" s="249"/>
      <c r="R43" s="249"/>
      <c r="S43" s="249"/>
      <c r="T43" s="191"/>
      <c r="U43" s="191"/>
      <c r="V43" s="191"/>
      <c r="W43" s="191"/>
      <c r="X43" s="187"/>
      <c r="Y43" s="187"/>
      <c r="Z43" s="184"/>
      <c r="AA43" s="187"/>
      <c r="AB43" s="187"/>
      <c r="AC43" s="187"/>
      <c r="AD43" s="245"/>
      <c r="AE43" s="245"/>
      <c r="AF43" s="182"/>
      <c r="AG43" s="237"/>
      <c r="AH43" s="237"/>
      <c r="AI43" s="237"/>
      <c r="AJ43" s="237"/>
      <c r="AK43" s="237"/>
      <c r="AL43" s="237"/>
      <c r="AM43" s="237"/>
      <c r="AN43" s="237"/>
      <c r="AO43" s="238"/>
      <c r="AP43" s="235"/>
    </row>
    <row r="44" spans="1:42" ht="24" customHeight="1" x14ac:dyDescent="0.2">
      <c r="B44" s="397"/>
      <c r="C44" s="395"/>
      <c r="D44" s="395"/>
      <c r="E44" s="396"/>
      <c r="G44" s="177" t="s">
        <v>997</v>
      </c>
      <c r="H44" s="182"/>
      <c r="I44" s="414" t="s">
        <v>998</v>
      </c>
      <c r="J44" s="395"/>
      <c r="K44" s="395"/>
      <c r="L44" s="395"/>
      <c r="M44" s="395"/>
      <c r="N44" s="395"/>
      <c r="O44" s="395"/>
      <c r="P44" s="188" t="s">
        <v>992</v>
      </c>
      <c r="Q44" s="403" t="s">
        <v>999</v>
      </c>
      <c r="R44" s="395"/>
      <c r="S44" s="395"/>
      <c r="T44" s="395"/>
      <c r="U44" s="395"/>
      <c r="V44" s="395"/>
      <c r="W44" s="395"/>
      <c r="X44" s="395"/>
      <c r="Y44" s="395"/>
      <c r="Z44" s="395"/>
      <c r="AA44" s="395"/>
      <c r="AB44" s="395"/>
      <c r="AC44" s="395"/>
      <c r="AD44" s="395"/>
      <c r="AE44" s="396"/>
      <c r="AF44" s="179" t="s">
        <v>1000</v>
      </c>
      <c r="AG44" s="415">
        <v>0</v>
      </c>
      <c r="AH44" s="400"/>
      <c r="AI44" s="400"/>
      <c r="AJ44" s="400"/>
      <c r="AK44" s="400"/>
      <c r="AL44" s="400"/>
      <c r="AM44" s="400"/>
      <c r="AN44" s="400"/>
      <c r="AO44" s="401"/>
      <c r="AP44" s="235"/>
    </row>
    <row r="45" spans="1:42" ht="2.25" customHeight="1" x14ac:dyDescent="0.2">
      <c r="A45" s="235"/>
      <c r="B45" s="397"/>
      <c r="C45" s="395"/>
      <c r="D45" s="395"/>
      <c r="E45" s="396"/>
      <c r="F45" s="235"/>
      <c r="G45" s="191"/>
      <c r="H45" s="187"/>
      <c r="I45" s="191"/>
      <c r="J45" s="191"/>
      <c r="K45" s="191"/>
      <c r="L45" s="197"/>
      <c r="M45" s="188"/>
      <c r="N45" s="197"/>
      <c r="O45" s="197"/>
      <c r="P45" s="197"/>
      <c r="Q45" s="197"/>
      <c r="R45" s="193"/>
      <c r="S45" s="193"/>
      <c r="T45" s="197"/>
      <c r="U45" s="197"/>
      <c r="V45" s="197"/>
      <c r="W45" s="197"/>
      <c r="X45" s="222"/>
      <c r="Y45" s="222"/>
      <c r="Z45" s="187"/>
      <c r="AA45" s="187"/>
      <c r="AB45" s="187"/>
      <c r="AC45" s="187"/>
      <c r="AD45" s="182"/>
      <c r="AE45" s="182"/>
      <c r="AF45" s="190"/>
      <c r="AG45" s="237"/>
      <c r="AH45" s="237"/>
      <c r="AI45" s="237"/>
      <c r="AJ45" s="237"/>
      <c r="AK45" s="237"/>
      <c r="AL45" s="237"/>
      <c r="AM45" s="237"/>
      <c r="AN45" s="237"/>
      <c r="AO45" s="238"/>
      <c r="AP45" s="235"/>
    </row>
    <row r="46" spans="1:42" ht="24" customHeight="1" x14ac:dyDescent="0.2">
      <c r="A46" s="235"/>
      <c r="B46" s="397"/>
      <c r="C46" s="395"/>
      <c r="D46" s="395"/>
      <c r="E46" s="396"/>
      <c r="F46" s="235"/>
      <c r="G46" s="191"/>
      <c r="H46" s="187"/>
      <c r="I46" s="191"/>
      <c r="J46" s="191"/>
      <c r="K46" s="191"/>
      <c r="L46" s="193"/>
      <c r="M46" s="193"/>
      <c r="N46" s="193"/>
      <c r="O46" s="197"/>
      <c r="P46" s="188" t="s">
        <v>995</v>
      </c>
      <c r="Q46" s="403" t="s">
        <v>1001</v>
      </c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6"/>
      <c r="AF46" s="179" t="s">
        <v>1002</v>
      </c>
      <c r="AG46" s="415"/>
      <c r="AH46" s="400"/>
      <c r="AI46" s="400"/>
      <c r="AJ46" s="400"/>
      <c r="AK46" s="400"/>
      <c r="AL46" s="400"/>
      <c r="AM46" s="400"/>
      <c r="AN46" s="400"/>
      <c r="AO46" s="401"/>
      <c r="AP46" s="235"/>
    </row>
    <row r="47" spans="1:42" ht="3" customHeight="1" x14ac:dyDescent="0.2">
      <c r="A47" s="235"/>
      <c r="B47" s="397"/>
      <c r="C47" s="395"/>
      <c r="D47" s="395"/>
      <c r="E47" s="396"/>
      <c r="F47" s="235"/>
      <c r="G47" s="191"/>
      <c r="H47" s="187"/>
      <c r="I47" s="191"/>
      <c r="J47" s="191"/>
      <c r="K47" s="191"/>
      <c r="L47" s="188"/>
      <c r="M47" s="193"/>
      <c r="N47" s="197"/>
      <c r="O47" s="197"/>
      <c r="P47" s="197"/>
      <c r="Q47" s="197"/>
      <c r="R47" s="193"/>
      <c r="S47" s="193"/>
      <c r="T47" s="197"/>
      <c r="U47" s="197"/>
      <c r="V47" s="197"/>
      <c r="W47" s="197"/>
      <c r="X47" s="222"/>
      <c r="Y47" s="222"/>
      <c r="Z47" s="187"/>
      <c r="AA47" s="187"/>
      <c r="AB47" s="187"/>
      <c r="AC47" s="187"/>
      <c r="AD47" s="182"/>
      <c r="AE47" s="182"/>
      <c r="AF47" s="190"/>
      <c r="AG47" s="237"/>
      <c r="AH47" s="237"/>
      <c r="AI47" s="237"/>
      <c r="AJ47" s="237"/>
      <c r="AK47" s="237"/>
      <c r="AL47" s="237"/>
      <c r="AM47" s="237"/>
      <c r="AN47" s="237"/>
      <c r="AO47" s="238"/>
      <c r="AP47" s="235"/>
    </row>
    <row r="48" spans="1:42" ht="3" customHeight="1" x14ac:dyDescent="0.2">
      <c r="A48" s="235"/>
      <c r="B48" s="397"/>
      <c r="C48" s="395"/>
      <c r="D48" s="395"/>
      <c r="E48" s="396"/>
      <c r="F48" s="235"/>
      <c r="G48" s="191"/>
      <c r="H48" s="235"/>
      <c r="I48" s="191"/>
      <c r="J48" s="191"/>
      <c r="K48" s="191"/>
      <c r="L48" s="191"/>
      <c r="M48" s="188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255"/>
      <c r="Y48" s="255"/>
      <c r="Z48" s="235"/>
      <c r="AA48" s="235"/>
      <c r="AB48" s="235"/>
      <c r="AC48" s="235"/>
      <c r="AF48" s="256"/>
      <c r="AG48" s="237"/>
      <c r="AH48" s="237"/>
      <c r="AI48" s="237"/>
      <c r="AJ48" s="237"/>
      <c r="AK48" s="237"/>
      <c r="AL48" s="237"/>
      <c r="AM48" s="237"/>
      <c r="AN48" s="237"/>
      <c r="AO48" s="238"/>
      <c r="AP48" s="235"/>
    </row>
    <row r="49" spans="1:42" ht="24" customHeight="1" x14ac:dyDescent="0.2">
      <c r="B49" s="397"/>
      <c r="C49" s="395"/>
      <c r="D49" s="395"/>
      <c r="E49" s="396"/>
      <c r="G49" s="177" t="s">
        <v>1003</v>
      </c>
      <c r="H49" s="182"/>
      <c r="I49" s="403" t="s">
        <v>1004</v>
      </c>
      <c r="J49" s="395"/>
      <c r="K49" s="395"/>
      <c r="L49" s="395"/>
      <c r="M49" s="395"/>
      <c r="N49" s="395"/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  <c r="AA49" s="395"/>
      <c r="AB49" s="395"/>
      <c r="AC49" s="395"/>
      <c r="AD49" s="395"/>
      <c r="AE49" s="396"/>
      <c r="AF49" s="179">
        <v>18</v>
      </c>
      <c r="AG49" s="415">
        <f>AG44+AG46</f>
        <v>0</v>
      </c>
      <c r="AH49" s="400"/>
      <c r="AI49" s="400"/>
      <c r="AJ49" s="400"/>
      <c r="AK49" s="400"/>
      <c r="AL49" s="400"/>
      <c r="AM49" s="400"/>
      <c r="AN49" s="400"/>
      <c r="AO49" s="401"/>
      <c r="AP49" s="235"/>
    </row>
    <row r="50" spans="1:42" ht="3.75" customHeight="1" x14ac:dyDescent="0.2">
      <c r="B50" s="257"/>
      <c r="C50" s="258"/>
      <c r="D50" s="258"/>
      <c r="E50" s="225"/>
      <c r="F50" s="204"/>
      <c r="G50" s="240"/>
      <c r="H50" s="204"/>
      <c r="I50" s="241"/>
      <c r="J50" s="241"/>
      <c r="K50" s="241"/>
      <c r="L50" s="204"/>
      <c r="M50" s="207"/>
      <c r="N50" s="204"/>
      <c r="O50" s="228"/>
      <c r="P50" s="204"/>
      <c r="Q50" s="204"/>
      <c r="R50" s="204"/>
      <c r="S50" s="204"/>
      <c r="T50" s="204"/>
      <c r="U50" s="204"/>
      <c r="V50" s="204"/>
      <c r="W50" s="204"/>
      <c r="X50" s="228"/>
      <c r="Y50" s="228"/>
      <c r="Z50" s="207"/>
      <c r="AA50" s="207"/>
      <c r="AB50" s="207"/>
      <c r="AC50" s="207"/>
      <c r="AD50" s="204"/>
      <c r="AE50" s="204"/>
      <c r="AF50" s="259"/>
      <c r="AG50" s="260"/>
      <c r="AH50" s="260"/>
      <c r="AI50" s="260"/>
      <c r="AJ50" s="260"/>
      <c r="AK50" s="260"/>
      <c r="AL50" s="260"/>
      <c r="AM50" s="260"/>
      <c r="AN50" s="260"/>
      <c r="AO50" s="261"/>
      <c r="AP50" s="235"/>
    </row>
    <row r="51" spans="1:42" ht="6.75" customHeight="1" x14ac:dyDescent="0.2">
      <c r="A51" s="169"/>
      <c r="B51" s="418" t="s">
        <v>1005</v>
      </c>
      <c r="C51" s="388"/>
      <c r="D51" s="388"/>
      <c r="E51" s="389"/>
      <c r="F51" s="262"/>
      <c r="G51" s="262"/>
      <c r="H51" s="263"/>
      <c r="I51" s="167"/>
      <c r="J51" s="167"/>
      <c r="K51" s="167"/>
      <c r="L51" s="167"/>
      <c r="M51" s="167"/>
      <c r="N51" s="264"/>
      <c r="O51" s="264"/>
      <c r="P51" s="264"/>
      <c r="Q51" s="264"/>
      <c r="R51" s="264"/>
      <c r="S51" s="264"/>
      <c r="T51" s="264"/>
      <c r="U51" s="264"/>
      <c r="V51" s="264"/>
      <c r="W51" s="264"/>
      <c r="X51" s="264"/>
      <c r="Y51" s="264"/>
      <c r="Z51" s="264"/>
      <c r="AA51" s="264"/>
      <c r="AB51" s="264"/>
      <c r="AC51" s="264"/>
      <c r="AD51" s="167"/>
      <c r="AE51" s="167"/>
      <c r="AF51" s="265"/>
      <c r="AG51" s="266"/>
      <c r="AH51" s="266"/>
      <c r="AI51" s="266"/>
      <c r="AJ51" s="266"/>
      <c r="AK51" s="266"/>
      <c r="AL51" s="266"/>
      <c r="AM51" s="266"/>
      <c r="AN51" s="266"/>
      <c r="AO51" s="267"/>
      <c r="AP51" s="231"/>
    </row>
    <row r="52" spans="1:42" ht="15" customHeight="1" x14ac:dyDescent="0.2">
      <c r="B52" s="397"/>
      <c r="C52" s="395"/>
      <c r="D52" s="395"/>
      <c r="E52" s="396"/>
      <c r="G52" s="419" t="s">
        <v>1006</v>
      </c>
      <c r="H52" s="182"/>
      <c r="I52" s="190" t="s">
        <v>992</v>
      </c>
      <c r="J52" s="250" t="s">
        <v>991</v>
      </c>
      <c r="K52" s="241" t="s">
        <v>1007</v>
      </c>
      <c r="L52" s="204"/>
      <c r="M52" s="204"/>
      <c r="N52" s="243"/>
      <c r="O52" s="243"/>
      <c r="P52" s="216"/>
      <c r="Q52" s="216"/>
      <c r="R52" s="216"/>
      <c r="S52" s="216"/>
      <c r="T52" s="243"/>
      <c r="U52" s="420" t="s">
        <v>1008</v>
      </c>
      <c r="V52" s="395"/>
      <c r="W52" s="421" t="s">
        <v>1009</v>
      </c>
      <c r="X52" s="395"/>
      <c r="Y52" s="269">
        <v>3</v>
      </c>
      <c r="Z52" s="269">
        <v>1</v>
      </c>
      <c r="AA52" s="220">
        <v>0</v>
      </c>
      <c r="AB52" s="269">
        <v>3</v>
      </c>
      <c r="AC52" s="269">
        <v>2</v>
      </c>
      <c r="AD52" s="220">
        <v>6</v>
      </c>
      <c r="AE52" s="195"/>
      <c r="AF52" s="405">
        <v>19</v>
      </c>
      <c r="AG52" s="408">
        <f>AG40-AG49</f>
        <v>1473724</v>
      </c>
      <c r="AH52" s="409"/>
      <c r="AI52" s="409"/>
      <c r="AJ52" s="409"/>
      <c r="AK52" s="409"/>
      <c r="AL52" s="409"/>
      <c r="AM52" s="409"/>
      <c r="AN52" s="409"/>
      <c r="AO52" s="410"/>
    </row>
    <row r="53" spans="1:42" ht="1.5" customHeight="1" x14ac:dyDescent="0.2">
      <c r="B53" s="397"/>
      <c r="C53" s="395"/>
      <c r="D53" s="395"/>
      <c r="E53" s="396"/>
      <c r="G53" s="395"/>
      <c r="H53" s="182"/>
      <c r="I53" s="187"/>
      <c r="J53" s="187" t="s">
        <v>1010</v>
      </c>
      <c r="L53" s="190"/>
      <c r="M53" s="182"/>
      <c r="N53" s="187"/>
      <c r="O53" s="187"/>
      <c r="P53" s="182"/>
      <c r="Q53" s="182"/>
      <c r="R53" s="182"/>
      <c r="S53" s="182"/>
      <c r="T53" s="187"/>
      <c r="U53" s="395"/>
      <c r="V53" s="395"/>
      <c r="W53" s="395"/>
      <c r="X53" s="395"/>
      <c r="Y53" s="270"/>
      <c r="Z53" s="270"/>
      <c r="AA53" s="270"/>
      <c r="AB53" s="270"/>
      <c r="AC53" s="270"/>
      <c r="AD53" s="271"/>
      <c r="AE53" s="182"/>
      <c r="AF53" s="422"/>
      <c r="AG53" s="397"/>
      <c r="AH53" s="395"/>
      <c r="AI53" s="395"/>
      <c r="AJ53" s="395"/>
      <c r="AK53" s="395"/>
      <c r="AL53" s="395"/>
      <c r="AM53" s="395"/>
      <c r="AN53" s="395"/>
      <c r="AO53" s="396"/>
    </row>
    <row r="54" spans="1:42" ht="14.25" customHeight="1" x14ac:dyDescent="0.2">
      <c r="A54" s="235"/>
      <c r="B54" s="397"/>
      <c r="C54" s="395"/>
      <c r="D54" s="395"/>
      <c r="E54" s="396"/>
      <c r="G54" s="184"/>
      <c r="H54" s="182"/>
      <c r="I54" s="190" t="s">
        <v>995</v>
      </c>
      <c r="J54" s="272"/>
      <c r="K54" s="222" t="s">
        <v>1011</v>
      </c>
      <c r="N54" s="187"/>
      <c r="O54" s="187"/>
      <c r="P54" s="182"/>
      <c r="Q54" s="182"/>
      <c r="R54" s="182"/>
      <c r="S54" s="182"/>
      <c r="T54" s="187"/>
      <c r="U54" s="395"/>
      <c r="V54" s="395"/>
      <c r="W54" s="395"/>
      <c r="X54" s="395"/>
      <c r="Y54" s="423" t="s">
        <v>1012</v>
      </c>
      <c r="Z54" s="395"/>
      <c r="AA54" s="423" t="s">
        <v>1013</v>
      </c>
      <c r="AB54" s="395"/>
      <c r="AC54" s="423" t="s">
        <v>1014</v>
      </c>
      <c r="AD54" s="395"/>
      <c r="AE54" s="274"/>
      <c r="AF54" s="406"/>
      <c r="AG54" s="411"/>
      <c r="AH54" s="412"/>
      <c r="AI54" s="412"/>
      <c r="AJ54" s="412"/>
      <c r="AK54" s="412"/>
      <c r="AL54" s="412"/>
      <c r="AM54" s="412"/>
      <c r="AN54" s="412"/>
      <c r="AO54" s="413"/>
    </row>
    <row r="55" spans="1:42" ht="3" customHeight="1" x14ac:dyDescent="0.2">
      <c r="A55" s="235"/>
      <c r="B55" s="397"/>
      <c r="C55" s="395"/>
      <c r="D55" s="395"/>
      <c r="E55" s="396"/>
      <c r="G55" s="184"/>
      <c r="H55" s="182"/>
      <c r="I55" s="190"/>
      <c r="J55" s="187"/>
      <c r="K55" s="222"/>
      <c r="N55" s="187"/>
      <c r="O55" s="187"/>
      <c r="P55" s="182"/>
      <c r="Q55" s="182"/>
      <c r="R55" s="182"/>
      <c r="S55" s="182"/>
      <c r="T55" s="187"/>
      <c r="U55" s="275"/>
      <c r="V55" s="275"/>
      <c r="W55" s="268"/>
      <c r="X55" s="268"/>
      <c r="Y55" s="273"/>
      <c r="Z55" s="273"/>
      <c r="AA55" s="273"/>
      <c r="AB55" s="273"/>
      <c r="AC55" s="273"/>
      <c r="AD55" s="273"/>
      <c r="AE55" s="274"/>
      <c r="AF55" s="190"/>
      <c r="AG55" s="215"/>
      <c r="AH55" s="215"/>
      <c r="AI55" s="215"/>
      <c r="AJ55" s="215"/>
      <c r="AK55" s="215"/>
      <c r="AL55" s="215"/>
      <c r="AM55" s="215"/>
      <c r="AN55" s="215"/>
      <c r="AO55" s="276"/>
    </row>
    <row r="56" spans="1:42" ht="9.75" customHeight="1" x14ac:dyDescent="0.2">
      <c r="A56" s="235"/>
      <c r="B56" s="397"/>
      <c r="C56" s="395"/>
      <c r="D56" s="395"/>
      <c r="E56" s="396"/>
      <c r="G56" s="245" t="s">
        <v>1015</v>
      </c>
      <c r="H56" s="182"/>
      <c r="I56" s="222" t="s">
        <v>1016</v>
      </c>
      <c r="J56" s="222"/>
      <c r="K56" s="246"/>
      <c r="L56" s="246"/>
      <c r="M56" s="246"/>
      <c r="N56" s="246"/>
      <c r="O56" s="248"/>
      <c r="P56" s="182"/>
      <c r="Q56" s="182"/>
      <c r="R56" s="182"/>
      <c r="V56" s="427" t="s">
        <v>992</v>
      </c>
      <c r="W56" s="428"/>
      <c r="X56" s="429" t="s">
        <v>1017</v>
      </c>
      <c r="Y56" s="395"/>
      <c r="Z56" s="395"/>
      <c r="AA56" s="395"/>
      <c r="AB56" s="395"/>
      <c r="AC56" s="430" t="s">
        <v>1018</v>
      </c>
      <c r="AD56" s="431"/>
      <c r="AE56" s="277"/>
      <c r="AF56" s="432" t="s">
        <v>1019</v>
      </c>
      <c r="AG56" s="395"/>
      <c r="AH56" s="395"/>
      <c r="AI56" s="395"/>
      <c r="AJ56" s="395"/>
      <c r="AK56" s="395"/>
      <c r="AL56" s="395"/>
      <c r="AM56" s="395"/>
      <c r="AN56" s="395"/>
      <c r="AO56" s="396"/>
      <c r="AP56" s="231"/>
    </row>
    <row r="57" spans="1:42" ht="9.75" customHeight="1" x14ac:dyDescent="0.2">
      <c r="A57" s="235"/>
      <c r="B57" s="397"/>
      <c r="C57" s="395"/>
      <c r="D57" s="395"/>
      <c r="E57" s="396"/>
      <c r="G57" s="245"/>
      <c r="H57" s="182"/>
      <c r="I57" s="222"/>
      <c r="J57" s="222"/>
      <c r="K57" s="246"/>
      <c r="L57" s="246"/>
      <c r="M57" s="246"/>
      <c r="N57" s="246"/>
      <c r="O57" s="246"/>
      <c r="P57" s="182"/>
      <c r="Q57" s="182"/>
      <c r="R57" s="182"/>
      <c r="V57" s="396"/>
      <c r="W57" s="406"/>
      <c r="X57" s="397"/>
      <c r="Y57" s="395"/>
      <c r="Z57" s="395"/>
      <c r="AA57" s="395"/>
      <c r="AB57" s="395"/>
      <c r="AC57" s="396"/>
      <c r="AD57" s="406"/>
      <c r="AE57" s="277"/>
      <c r="AF57" s="395"/>
      <c r="AG57" s="395"/>
      <c r="AH57" s="395"/>
      <c r="AI57" s="395"/>
      <c r="AJ57" s="395"/>
      <c r="AK57" s="395"/>
      <c r="AL57" s="395"/>
      <c r="AM57" s="395"/>
      <c r="AN57" s="395"/>
      <c r="AO57" s="396"/>
      <c r="AP57" s="231"/>
    </row>
    <row r="58" spans="1:42" ht="3" customHeight="1" x14ac:dyDescent="0.2">
      <c r="A58" s="235"/>
      <c r="B58" s="397"/>
      <c r="C58" s="395"/>
      <c r="D58" s="395"/>
      <c r="E58" s="396"/>
      <c r="G58" s="245"/>
      <c r="H58" s="182"/>
      <c r="I58" s="222"/>
      <c r="J58" s="222"/>
      <c r="K58" s="246"/>
      <c r="L58" s="246"/>
      <c r="M58" s="246"/>
      <c r="N58" s="246"/>
      <c r="O58" s="246"/>
      <c r="P58" s="182"/>
      <c r="Q58" s="182"/>
      <c r="R58" s="182"/>
      <c r="V58" s="279"/>
      <c r="W58" s="187"/>
      <c r="X58" s="280"/>
      <c r="Y58" s="279"/>
      <c r="Z58" s="187"/>
      <c r="AA58" s="278"/>
      <c r="AB58" s="278"/>
      <c r="AC58" s="278"/>
      <c r="AD58" s="278"/>
      <c r="AE58" s="278"/>
      <c r="AF58" s="281"/>
      <c r="AG58" s="282"/>
      <c r="AH58" s="231"/>
      <c r="AI58" s="231"/>
      <c r="AJ58" s="231"/>
      <c r="AK58" s="231"/>
      <c r="AL58" s="231"/>
      <c r="AM58" s="231"/>
      <c r="AN58" s="231"/>
      <c r="AO58" s="283"/>
      <c r="AP58" s="231"/>
    </row>
    <row r="59" spans="1:42" ht="9.75" customHeight="1" x14ac:dyDescent="0.2">
      <c r="A59" s="235"/>
      <c r="B59" s="397"/>
      <c r="C59" s="395"/>
      <c r="D59" s="395"/>
      <c r="E59" s="396"/>
      <c r="G59" s="245"/>
      <c r="H59" s="182"/>
      <c r="I59" s="222"/>
      <c r="J59" s="222"/>
      <c r="K59" s="246"/>
      <c r="L59" s="246"/>
      <c r="M59" s="246"/>
      <c r="N59" s="246"/>
      <c r="O59" s="246"/>
      <c r="P59" s="182"/>
      <c r="Q59" s="182"/>
      <c r="R59" s="182"/>
      <c r="V59" s="427" t="s">
        <v>995</v>
      </c>
      <c r="W59" s="433"/>
      <c r="X59" s="284" t="s">
        <v>1020</v>
      </c>
      <c r="Y59" s="280"/>
      <c r="Z59" s="187"/>
      <c r="AA59" s="278"/>
      <c r="AB59" s="278"/>
      <c r="AC59" s="430" t="s">
        <v>1021</v>
      </c>
      <c r="AD59" s="431"/>
      <c r="AE59" s="277"/>
      <c r="AF59" s="432" t="s">
        <v>1022</v>
      </c>
      <c r="AG59" s="395"/>
      <c r="AH59" s="395"/>
      <c r="AI59" s="395"/>
      <c r="AJ59" s="395"/>
      <c r="AK59" s="395"/>
      <c r="AL59" s="395"/>
      <c r="AM59" s="395"/>
      <c r="AN59" s="395"/>
      <c r="AO59" s="396"/>
      <c r="AP59" s="231"/>
    </row>
    <row r="60" spans="1:42" ht="9.75" customHeight="1" x14ac:dyDescent="0.2">
      <c r="A60" s="235"/>
      <c r="B60" s="397"/>
      <c r="C60" s="395"/>
      <c r="D60" s="395"/>
      <c r="E60" s="396"/>
      <c r="G60" s="245"/>
      <c r="H60" s="182"/>
      <c r="I60" s="222"/>
      <c r="J60" s="222"/>
      <c r="K60" s="246"/>
      <c r="L60" s="246"/>
      <c r="M60" s="246"/>
      <c r="N60" s="246"/>
      <c r="O60" s="246"/>
      <c r="P60" s="182"/>
      <c r="Q60" s="182"/>
      <c r="R60" s="182"/>
      <c r="V60" s="396"/>
      <c r="W60" s="406"/>
      <c r="X60" s="284" t="s">
        <v>1023</v>
      </c>
      <c r="Y60" s="280"/>
      <c r="Z60" s="187"/>
      <c r="AA60" s="278"/>
      <c r="AB60" s="278"/>
      <c r="AC60" s="396"/>
      <c r="AD60" s="406"/>
      <c r="AE60" s="285"/>
      <c r="AF60" s="395"/>
      <c r="AG60" s="395"/>
      <c r="AH60" s="395"/>
      <c r="AI60" s="395"/>
      <c r="AJ60" s="395"/>
      <c r="AK60" s="395"/>
      <c r="AL60" s="395"/>
      <c r="AM60" s="395"/>
      <c r="AN60" s="395"/>
      <c r="AO60" s="396"/>
      <c r="AP60" s="231"/>
    </row>
    <row r="61" spans="1:42" ht="7.5" customHeight="1" x14ac:dyDescent="0.2">
      <c r="A61" s="235"/>
      <c r="B61" s="390"/>
      <c r="C61" s="391"/>
      <c r="D61" s="391"/>
      <c r="E61" s="392"/>
      <c r="F61" s="286"/>
      <c r="G61" s="286"/>
      <c r="H61" s="226"/>
      <c r="I61" s="206"/>
      <c r="J61" s="206"/>
      <c r="K61" s="287"/>
      <c r="L61" s="287"/>
      <c r="M61" s="287"/>
      <c r="N61" s="287"/>
      <c r="O61" s="287"/>
      <c r="P61" s="251"/>
      <c r="Q61" s="251"/>
      <c r="R61" s="251"/>
      <c r="S61" s="251"/>
      <c r="T61" s="288"/>
      <c r="U61" s="289"/>
      <c r="V61" s="289"/>
      <c r="W61" s="289"/>
      <c r="X61" s="288"/>
      <c r="Y61" s="290"/>
      <c r="Z61" s="291"/>
      <c r="AA61" s="291"/>
      <c r="AB61" s="291"/>
      <c r="AC61" s="291"/>
      <c r="AD61" s="291"/>
      <c r="AE61" s="291"/>
      <c r="AF61" s="292"/>
      <c r="AG61" s="291"/>
      <c r="AH61" s="293"/>
      <c r="AI61" s="293"/>
      <c r="AJ61" s="293"/>
      <c r="AK61" s="293"/>
      <c r="AL61" s="293"/>
      <c r="AM61" s="293"/>
      <c r="AN61" s="293"/>
      <c r="AO61" s="294"/>
      <c r="AP61" s="231"/>
    </row>
    <row r="62" spans="1:42" ht="6" customHeight="1" x14ac:dyDescent="0.2">
      <c r="A62" s="169"/>
      <c r="B62" s="418" t="s">
        <v>1024</v>
      </c>
      <c r="C62" s="388"/>
      <c r="D62" s="388"/>
      <c r="E62" s="389"/>
      <c r="F62" s="295"/>
      <c r="G62" s="167"/>
      <c r="H62" s="296"/>
      <c r="I62" s="167"/>
      <c r="J62" s="297"/>
      <c r="K62" s="296"/>
      <c r="L62" s="296"/>
      <c r="M62" s="296"/>
      <c r="N62" s="296"/>
      <c r="O62" s="296"/>
      <c r="P62" s="167"/>
      <c r="Q62" s="167"/>
      <c r="R62" s="296"/>
      <c r="S62" s="298"/>
      <c r="T62" s="298"/>
      <c r="U62" s="298"/>
      <c r="V62" s="298"/>
      <c r="W62" s="298"/>
      <c r="X62" s="298"/>
      <c r="Y62" s="298"/>
      <c r="Z62" s="296"/>
      <c r="AA62" s="296"/>
      <c r="AB62" s="296"/>
      <c r="AC62" s="167"/>
      <c r="AD62" s="167"/>
      <c r="AE62" s="167"/>
      <c r="AF62" s="299"/>
      <c r="AG62" s="167"/>
      <c r="AH62" s="167"/>
      <c r="AI62" s="167"/>
      <c r="AJ62" s="167"/>
      <c r="AK62" s="167"/>
      <c r="AL62" s="167"/>
      <c r="AM62" s="167"/>
      <c r="AN62" s="167"/>
      <c r="AO62" s="168"/>
    </row>
    <row r="63" spans="1:42" ht="6" customHeight="1" x14ac:dyDescent="0.2">
      <c r="A63" s="169"/>
      <c r="B63" s="397"/>
      <c r="C63" s="395"/>
      <c r="D63" s="395"/>
      <c r="E63" s="396"/>
      <c r="F63" s="180"/>
      <c r="G63" s="417" t="s">
        <v>1025</v>
      </c>
      <c r="H63" s="182"/>
      <c r="I63" s="404" t="s">
        <v>1026</v>
      </c>
      <c r="J63" s="395"/>
      <c r="K63" s="395"/>
      <c r="L63" s="395"/>
      <c r="M63" s="395"/>
      <c r="N63" s="395"/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  <c r="AA63" s="395"/>
      <c r="AB63" s="395"/>
      <c r="AC63" s="395"/>
      <c r="AD63" s="395"/>
      <c r="AE63" s="396"/>
      <c r="AF63" s="405">
        <v>21</v>
      </c>
      <c r="AG63" s="408"/>
      <c r="AH63" s="409"/>
      <c r="AI63" s="409"/>
      <c r="AJ63" s="409"/>
      <c r="AK63" s="409"/>
      <c r="AL63" s="409"/>
      <c r="AM63" s="409"/>
      <c r="AN63" s="409"/>
      <c r="AO63" s="410"/>
    </row>
    <row r="64" spans="1:42" ht="14.25" customHeight="1" x14ac:dyDescent="0.2">
      <c r="A64" s="300"/>
      <c r="B64" s="397"/>
      <c r="C64" s="395"/>
      <c r="D64" s="395"/>
      <c r="E64" s="396"/>
      <c r="G64" s="395"/>
      <c r="H64" s="182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  <c r="AB64" s="395"/>
      <c r="AC64" s="395"/>
      <c r="AD64" s="395"/>
      <c r="AE64" s="396"/>
      <c r="AF64" s="406"/>
      <c r="AG64" s="411"/>
      <c r="AH64" s="412"/>
      <c r="AI64" s="412"/>
      <c r="AJ64" s="412"/>
      <c r="AK64" s="412"/>
      <c r="AL64" s="412"/>
      <c r="AM64" s="412"/>
      <c r="AN64" s="412"/>
      <c r="AO64" s="413"/>
      <c r="AP64" s="231"/>
    </row>
    <row r="65" spans="1:42" ht="7.5" customHeight="1" x14ac:dyDescent="0.2">
      <c r="A65" s="300"/>
      <c r="B65" s="397"/>
      <c r="C65" s="395"/>
      <c r="D65" s="395"/>
      <c r="E65" s="396"/>
      <c r="G65" s="245"/>
      <c r="H65" s="182"/>
      <c r="I65" s="187" t="s">
        <v>1027</v>
      </c>
      <c r="N65" s="182"/>
      <c r="P65" s="187"/>
      <c r="R65" s="187"/>
      <c r="U65" s="182"/>
      <c r="V65" s="182"/>
      <c r="W65" s="182"/>
      <c r="X65" s="182"/>
      <c r="Y65" s="187"/>
      <c r="Z65" s="187"/>
      <c r="AA65" s="187"/>
      <c r="AB65" s="187"/>
      <c r="AC65" s="235"/>
      <c r="AD65" s="235"/>
      <c r="AE65" s="235"/>
      <c r="AF65" s="177"/>
      <c r="AG65" s="231"/>
      <c r="AH65" s="231"/>
      <c r="AI65" s="231"/>
      <c r="AJ65" s="231"/>
      <c r="AK65" s="231"/>
      <c r="AL65" s="231"/>
      <c r="AM65" s="231"/>
      <c r="AN65" s="231"/>
      <c r="AO65" s="283"/>
      <c r="AP65" s="231"/>
    </row>
    <row r="66" spans="1:42" ht="7.5" customHeight="1" x14ac:dyDescent="0.2">
      <c r="A66" s="300"/>
      <c r="B66" s="397"/>
      <c r="C66" s="395"/>
      <c r="D66" s="395"/>
      <c r="E66" s="396"/>
      <c r="G66" s="245"/>
      <c r="H66" s="182"/>
      <c r="I66" s="187"/>
      <c r="N66" s="182"/>
      <c r="P66" s="187"/>
      <c r="R66" s="187"/>
      <c r="U66" s="182"/>
      <c r="V66" s="182"/>
      <c r="W66" s="182"/>
      <c r="X66" s="182"/>
      <c r="Y66" s="187"/>
      <c r="Z66" s="187"/>
      <c r="AA66" s="187"/>
      <c r="AB66" s="187"/>
      <c r="AC66" s="235"/>
      <c r="AD66" s="235"/>
      <c r="AE66" s="235"/>
      <c r="AF66" s="177"/>
      <c r="AG66" s="231"/>
      <c r="AH66" s="231"/>
      <c r="AI66" s="231"/>
      <c r="AJ66" s="231"/>
      <c r="AK66" s="231"/>
      <c r="AL66" s="231"/>
      <c r="AM66" s="231"/>
      <c r="AN66" s="231"/>
      <c r="AO66" s="283"/>
      <c r="AP66" s="231"/>
    </row>
    <row r="67" spans="1:42" ht="19.5" customHeight="1" x14ac:dyDescent="0.2">
      <c r="A67" s="300"/>
      <c r="B67" s="397"/>
      <c r="C67" s="395"/>
      <c r="D67" s="395"/>
      <c r="E67" s="396"/>
      <c r="G67" s="245"/>
      <c r="H67" s="182"/>
      <c r="I67" s="190" t="s">
        <v>992</v>
      </c>
      <c r="J67" s="301"/>
      <c r="K67" s="302" t="s">
        <v>1028</v>
      </c>
      <c r="N67" s="182"/>
      <c r="P67" s="187"/>
      <c r="R67" s="187"/>
      <c r="U67" s="182"/>
      <c r="V67" s="182"/>
      <c r="W67" s="182"/>
      <c r="X67" s="182"/>
      <c r="Y67" s="187"/>
      <c r="Z67" s="190" t="s">
        <v>1018</v>
      </c>
      <c r="AA67" s="272"/>
      <c r="AB67" s="222" t="s">
        <v>1029</v>
      </c>
      <c r="AC67" s="235"/>
      <c r="AD67" s="235"/>
      <c r="AE67" s="235"/>
      <c r="AF67" s="177"/>
      <c r="AG67" s="231"/>
      <c r="AH67" s="231"/>
      <c r="AI67" s="231"/>
      <c r="AJ67" s="231"/>
      <c r="AK67" s="231"/>
      <c r="AL67" s="231"/>
      <c r="AM67" s="231"/>
      <c r="AN67" s="231"/>
      <c r="AO67" s="283"/>
      <c r="AP67" s="231"/>
    </row>
    <row r="68" spans="1:42" ht="4.5" customHeight="1" x14ac:dyDescent="0.2">
      <c r="A68" s="300"/>
      <c r="B68" s="397"/>
      <c r="C68" s="395"/>
      <c r="D68" s="395"/>
      <c r="E68" s="396"/>
      <c r="G68" s="245"/>
      <c r="H68" s="182"/>
      <c r="I68" s="275"/>
      <c r="N68" s="182"/>
      <c r="P68" s="187"/>
      <c r="R68" s="187"/>
      <c r="U68" s="182"/>
      <c r="V68" s="182"/>
      <c r="W68" s="182"/>
      <c r="X68" s="182"/>
      <c r="Y68" s="187"/>
      <c r="Z68" s="187"/>
      <c r="AA68" s="187"/>
      <c r="AB68" s="187"/>
      <c r="AC68" s="235"/>
      <c r="AD68" s="235"/>
      <c r="AE68" s="235"/>
      <c r="AF68" s="177"/>
      <c r="AG68" s="231"/>
      <c r="AH68" s="231"/>
      <c r="AI68" s="231"/>
      <c r="AJ68" s="231"/>
      <c r="AK68" s="231"/>
      <c r="AL68" s="231"/>
      <c r="AM68" s="231"/>
      <c r="AN68" s="231"/>
      <c r="AO68" s="283"/>
      <c r="AP68" s="231"/>
    </row>
    <row r="69" spans="1:42" ht="19.5" customHeight="1" x14ac:dyDescent="0.2">
      <c r="A69" s="300"/>
      <c r="B69" s="397"/>
      <c r="C69" s="395"/>
      <c r="D69" s="395"/>
      <c r="E69" s="396"/>
      <c r="F69" s="303"/>
      <c r="G69" s="304"/>
      <c r="H69" s="182"/>
      <c r="I69" s="190" t="s">
        <v>995</v>
      </c>
      <c r="J69" s="305"/>
      <c r="K69" s="222" t="s">
        <v>1030</v>
      </c>
      <c r="L69" s="246"/>
      <c r="M69" s="182"/>
      <c r="N69" s="279"/>
      <c r="O69" s="187"/>
      <c r="P69" s="222"/>
      <c r="U69" s="182"/>
      <c r="V69" s="279"/>
      <c r="W69" s="279"/>
      <c r="Y69" s="22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  <c r="AM69" s="182"/>
      <c r="AN69" s="182"/>
      <c r="AO69" s="306"/>
      <c r="AP69" s="182"/>
    </row>
    <row r="70" spans="1:42" ht="4.5" customHeight="1" x14ac:dyDescent="0.2">
      <c r="A70" s="300"/>
      <c r="B70" s="390"/>
      <c r="C70" s="391"/>
      <c r="D70" s="391"/>
      <c r="E70" s="392"/>
      <c r="F70" s="307"/>
      <c r="G70" s="308"/>
      <c r="H70" s="216"/>
      <c r="I70" s="309"/>
      <c r="J70" s="309"/>
      <c r="K70" s="309"/>
      <c r="L70" s="309"/>
      <c r="M70" s="216"/>
      <c r="N70" s="216"/>
      <c r="O70" s="216"/>
      <c r="P70" s="243"/>
      <c r="Q70" s="309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  <c r="AI70" s="216"/>
      <c r="AJ70" s="216"/>
      <c r="AK70" s="216"/>
      <c r="AL70" s="216"/>
      <c r="AM70" s="216"/>
      <c r="AN70" s="216"/>
      <c r="AO70" s="310"/>
      <c r="AP70" s="182"/>
    </row>
    <row r="71" spans="1:42" ht="12.75" customHeight="1" x14ac:dyDescent="0.2"/>
    <row r="72" spans="1:42" ht="12.75" customHeight="1" x14ac:dyDescent="0.2"/>
    <row r="73" spans="1:42" ht="8.25" customHeight="1" x14ac:dyDescent="0.2"/>
    <row r="74" spans="1:42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</sheetData>
  <mergeCells count="72">
    <mergeCell ref="B62:E70"/>
    <mergeCell ref="G63:G64"/>
    <mergeCell ref="I63:AE64"/>
    <mergeCell ref="AF63:AF64"/>
    <mergeCell ref="AG63:AO64"/>
    <mergeCell ref="AF56:AO57"/>
    <mergeCell ref="V59:V60"/>
    <mergeCell ref="W59:W60"/>
    <mergeCell ref="AC59:AC60"/>
    <mergeCell ref="AD59:AD60"/>
    <mergeCell ref="AF59:AO60"/>
    <mergeCell ref="AC54:AD54"/>
    <mergeCell ref="V56:V57"/>
    <mergeCell ref="W56:W57"/>
    <mergeCell ref="X56:AB57"/>
    <mergeCell ref="AC56:AC57"/>
    <mergeCell ref="AD56:AD57"/>
    <mergeCell ref="I49:AE49"/>
    <mergeCell ref="AG49:AO49"/>
    <mergeCell ref="B51:E61"/>
    <mergeCell ref="G52:G53"/>
    <mergeCell ref="U52:V54"/>
    <mergeCell ref="W52:X54"/>
    <mergeCell ref="AF52:AF54"/>
    <mergeCell ref="AG52:AO54"/>
    <mergeCell ref="Y54:Z54"/>
    <mergeCell ref="B38:E49"/>
    <mergeCell ref="I38:AE38"/>
    <mergeCell ref="AG38:AO38"/>
    <mergeCell ref="U40:V42"/>
    <mergeCell ref="AF40:AF42"/>
    <mergeCell ref="AG40:AO42"/>
    <mergeCell ref="AA54:AB54"/>
    <mergeCell ref="B30:E35"/>
    <mergeCell ref="I30:AE30"/>
    <mergeCell ref="AG30:AO30"/>
    <mergeCell ref="G32:G33"/>
    <mergeCell ref="I32:AE32"/>
    <mergeCell ref="AF32:AF33"/>
    <mergeCell ref="AG32:AO33"/>
    <mergeCell ref="I35:AE35"/>
    <mergeCell ref="AG35:AO35"/>
    <mergeCell ref="AG17:AO18"/>
    <mergeCell ref="I44:O44"/>
    <mergeCell ref="Q44:AE44"/>
    <mergeCell ref="AG44:AO44"/>
    <mergeCell ref="Q46:AE46"/>
    <mergeCell ref="AG46:AO46"/>
    <mergeCell ref="B21:E27"/>
    <mergeCell ref="I21:AE21"/>
    <mergeCell ref="AG21:AO21"/>
    <mergeCell ref="I23:AE23"/>
    <mergeCell ref="AG23:AO23"/>
    <mergeCell ref="AG25:AO25"/>
    <mergeCell ref="I27:AE27"/>
    <mergeCell ref="AG27:AO27"/>
    <mergeCell ref="B2:AE3"/>
    <mergeCell ref="AF3:AO3"/>
    <mergeCell ref="B5:E17"/>
    <mergeCell ref="I5:AD5"/>
    <mergeCell ref="AG5:AO5"/>
    <mergeCell ref="I7:AE7"/>
    <mergeCell ref="AG7:AO7"/>
    <mergeCell ref="I9:AD9"/>
    <mergeCell ref="AG9:AO9"/>
    <mergeCell ref="I11:AD11"/>
    <mergeCell ref="AG11:AO11"/>
    <mergeCell ref="I13:AD13"/>
    <mergeCell ref="AG13:AO13"/>
    <mergeCell ref="I15:AE15"/>
    <mergeCell ref="AG15:AO15"/>
    <mergeCell ref="AF17:AF18"/>
  </mergeCells>
  <printOptions horizontalCentered="1"/>
  <pageMargins left="0.11811023622047245" right="0.11811023622047245" top="0.11811023622047245" bottom="0.11811023622047245" header="0" footer="0"/>
  <pageSetup paperSize="14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53D7-D067-434B-A4C5-B2FD7438498C}">
  <dimension ref="A3:M20"/>
  <sheetViews>
    <sheetView topLeftCell="A7" workbookViewId="0">
      <selection activeCell="A4" sqref="A4:XFD20"/>
    </sheetView>
  </sheetViews>
  <sheetFormatPr baseColWidth="10" defaultColWidth="8.83203125" defaultRowHeight="15" x14ac:dyDescent="0.2"/>
  <cols>
    <col min="1" max="1" width="26.83203125" bestFit="1" customWidth="1"/>
    <col min="2" max="2" width="15.33203125" bestFit="1" customWidth="1"/>
    <col min="3" max="3" width="14.1640625" bestFit="1" customWidth="1"/>
    <col min="4" max="4" width="20.5" bestFit="1" customWidth="1"/>
    <col min="5" max="5" width="23.5" bestFit="1" customWidth="1"/>
    <col min="6" max="6" width="12.1640625" bestFit="1" customWidth="1"/>
    <col min="7" max="7" width="10.83203125" bestFit="1" customWidth="1"/>
    <col min="8" max="8" width="15.1640625" bestFit="1" customWidth="1"/>
    <col min="9" max="9" width="13.33203125" bestFit="1" customWidth="1"/>
    <col min="10" max="10" width="16.33203125" bestFit="1" customWidth="1"/>
    <col min="11" max="11" width="8.5" bestFit="1" customWidth="1"/>
    <col min="12" max="12" width="11.5" bestFit="1" customWidth="1"/>
    <col min="13" max="13" width="11.83203125" bestFit="1" customWidth="1"/>
  </cols>
  <sheetData>
    <row r="3" spans="1:13" x14ac:dyDescent="0.2">
      <c r="A3" s="341" t="s">
        <v>1037</v>
      </c>
      <c r="B3" s="341" t="s">
        <v>1036</v>
      </c>
    </row>
    <row r="4" spans="1:13" x14ac:dyDescent="0.2">
      <c r="B4" t="s">
        <v>16</v>
      </c>
      <c r="C4" t="s">
        <v>1038</v>
      </c>
      <c r="D4" t="s">
        <v>26</v>
      </c>
      <c r="E4" t="s">
        <v>1039</v>
      </c>
      <c r="F4" t="s">
        <v>27</v>
      </c>
      <c r="H4" t="s">
        <v>1040</v>
      </c>
      <c r="I4" t="s">
        <v>28</v>
      </c>
      <c r="J4" t="s">
        <v>1041</v>
      </c>
      <c r="K4" t="s">
        <v>1034</v>
      </c>
      <c r="L4" t="s">
        <v>1042</v>
      </c>
      <c r="M4" t="s">
        <v>1035</v>
      </c>
    </row>
    <row r="5" spans="1:13" x14ac:dyDescent="0.2">
      <c r="A5" s="341" t="s">
        <v>1033</v>
      </c>
      <c r="B5" t="s">
        <v>376</v>
      </c>
      <c r="D5" t="s">
        <v>376</v>
      </c>
      <c r="F5" t="s">
        <v>376</v>
      </c>
      <c r="G5" t="s">
        <v>375</v>
      </c>
      <c r="I5" t="s">
        <v>376</v>
      </c>
      <c r="K5" t="s">
        <v>1034</v>
      </c>
    </row>
    <row r="6" spans="1:13" x14ac:dyDescent="0.2">
      <c r="A6" s="342" t="s">
        <v>30</v>
      </c>
      <c r="D6">
        <v>1050000000</v>
      </c>
      <c r="E6">
        <v>1050000000</v>
      </c>
      <c r="I6">
        <v>375000000</v>
      </c>
      <c r="J6">
        <v>375000000</v>
      </c>
      <c r="M6">
        <v>1425000000</v>
      </c>
    </row>
    <row r="7" spans="1:13" x14ac:dyDescent="0.2">
      <c r="A7" s="342" t="s">
        <v>228</v>
      </c>
      <c r="F7">
        <v>1849939508</v>
      </c>
      <c r="G7">
        <v>448197555</v>
      </c>
      <c r="H7">
        <v>2298137063</v>
      </c>
      <c r="M7">
        <v>2298137063</v>
      </c>
    </row>
    <row r="8" spans="1:13" x14ac:dyDescent="0.2">
      <c r="A8" s="342" t="s">
        <v>611</v>
      </c>
      <c r="F8">
        <v>703053335</v>
      </c>
      <c r="H8">
        <v>703053335</v>
      </c>
      <c r="M8">
        <v>703053335</v>
      </c>
    </row>
    <row r="9" spans="1:13" x14ac:dyDescent="0.2">
      <c r="A9" s="342" t="s">
        <v>713</v>
      </c>
      <c r="F9">
        <v>86378401</v>
      </c>
      <c r="G9">
        <v>10603064</v>
      </c>
      <c r="H9">
        <v>96981465</v>
      </c>
      <c r="M9">
        <v>96981465</v>
      </c>
    </row>
    <row r="10" spans="1:13" x14ac:dyDescent="0.2">
      <c r="A10" s="342" t="s">
        <v>636</v>
      </c>
      <c r="F10">
        <v>150158590</v>
      </c>
      <c r="G10">
        <v>76972876</v>
      </c>
      <c r="H10">
        <v>227131466</v>
      </c>
      <c r="M10">
        <v>227131466</v>
      </c>
    </row>
    <row r="11" spans="1:13" x14ac:dyDescent="0.2">
      <c r="A11" s="342" t="s">
        <v>383</v>
      </c>
      <c r="F11">
        <v>69884414</v>
      </c>
      <c r="H11">
        <v>69884414</v>
      </c>
      <c r="M11">
        <v>69884414</v>
      </c>
    </row>
    <row r="12" spans="1:13" x14ac:dyDescent="0.2">
      <c r="A12" s="342" t="s">
        <v>802</v>
      </c>
      <c r="F12">
        <v>289120215</v>
      </c>
      <c r="H12">
        <v>289120215</v>
      </c>
      <c r="M12">
        <v>289120215</v>
      </c>
    </row>
    <row r="13" spans="1:13" x14ac:dyDescent="0.2">
      <c r="A13" s="342" t="s">
        <v>535</v>
      </c>
      <c r="B13">
        <v>2076324773</v>
      </c>
      <c r="C13">
        <v>2076324773</v>
      </c>
      <c r="F13">
        <v>2365099919</v>
      </c>
      <c r="G13">
        <v>38368999</v>
      </c>
      <c r="H13">
        <v>2403468918</v>
      </c>
      <c r="M13">
        <v>4479793691</v>
      </c>
    </row>
    <row r="14" spans="1:13" x14ac:dyDescent="0.2">
      <c r="A14" s="342" t="s">
        <v>624</v>
      </c>
      <c r="F14">
        <v>282662537</v>
      </c>
      <c r="H14">
        <v>282662537</v>
      </c>
      <c r="M14">
        <v>282662537</v>
      </c>
    </row>
    <row r="15" spans="1:13" x14ac:dyDescent="0.2">
      <c r="A15" s="342" t="s">
        <v>378</v>
      </c>
      <c r="F15">
        <v>239621964</v>
      </c>
      <c r="G15">
        <v>280679210</v>
      </c>
      <c r="H15">
        <v>520301174</v>
      </c>
      <c r="M15">
        <v>520301174</v>
      </c>
    </row>
    <row r="16" spans="1:13" x14ac:dyDescent="0.2">
      <c r="A16" s="342" t="s">
        <v>380</v>
      </c>
      <c r="F16">
        <v>700631451</v>
      </c>
      <c r="G16">
        <v>429021444</v>
      </c>
      <c r="H16">
        <v>1129652895</v>
      </c>
      <c r="M16">
        <v>1129652895</v>
      </c>
    </row>
    <row r="17" spans="1:13" x14ac:dyDescent="0.2">
      <c r="A17" s="342" t="s">
        <v>529</v>
      </c>
      <c r="F17">
        <v>471794907</v>
      </c>
      <c r="G17">
        <v>7314772</v>
      </c>
      <c r="H17">
        <v>479109679</v>
      </c>
      <c r="M17">
        <v>479109679</v>
      </c>
    </row>
    <row r="18" spans="1:13" x14ac:dyDescent="0.2">
      <c r="A18" s="342" t="s">
        <v>818</v>
      </c>
      <c r="I18">
        <v>590000000</v>
      </c>
      <c r="J18">
        <v>590000000</v>
      </c>
      <c r="M18">
        <v>590000000</v>
      </c>
    </row>
    <row r="19" spans="1:13" x14ac:dyDescent="0.2">
      <c r="A19" s="342" t="s">
        <v>1034</v>
      </c>
    </row>
    <row r="20" spans="1:13" x14ac:dyDescent="0.2">
      <c r="A20" s="342" t="s">
        <v>1035</v>
      </c>
      <c r="B20">
        <v>2076324773</v>
      </c>
      <c r="C20">
        <v>2076324773</v>
      </c>
      <c r="D20">
        <v>1050000000</v>
      </c>
      <c r="E20">
        <v>1050000000</v>
      </c>
      <c r="F20">
        <v>7208345241</v>
      </c>
      <c r="G20">
        <v>1291157920</v>
      </c>
      <c r="H20">
        <v>8499503161</v>
      </c>
      <c r="I20">
        <v>965000000</v>
      </c>
      <c r="J20">
        <v>965000000</v>
      </c>
      <c r="M20">
        <v>12590827934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2EAA-4767-4691-ACB1-44B9B7C01000}">
  <sheetPr codeName="Sheet1">
    <tabColor rgb="FF92D050"/>
  </sheetPr>
  <dimension ref="A1:V101"/>
  <sheetViews>
    <sheetView showGridLines="0" topLeftCell="J1" zoomScale="80" zoomScaleNormal="80" zoomScaleSheetLayoutView="70" workbookViewId="0">
      <selection activeCell="T8" sqref="T8:U18"/>
    </sheetView>
  </sheetViews>
  <sheetFormatPr baseColWidth="10" defaultColWidth="9.1640625" defaultRowHeight="14" outlineLevelCol="1" x14ac:dyDescent="0.15"/>
  <cols>
    <col min="1" max="1" width="8.6640625" style="7" customWidth="1"/>
    <col min="2" max="2" width="8.33203125" style="7" customWidth="1"/>
    <col min="3" max="3" width="39" style="7" bestFit="1" customWidth="1"/>
    <col min="4" max="4" width="31.5" style="8" bestFit="1" customWidth="1"/>
    <col min="5" max="5" width="33.83203125" style="7" customWidth="1"/>
    <col min="6" max="6" width="44.1640625" style="7" customWidth="1"/>
    <col min="7" max="8" width="14.33203125" style="7" customWidth="1" outlineLevel="1"/>
    <col min="9" max="9" width="18.6640625" style="7" customWidth="1" outlineLevel="1"/>
    <col min="10" max="10" width="35.5" style="7" bestFit="1" customWidth="1"/>
    <col min="11" max="11" width="20.1640625" style="7" customWidth="1"/>
    <col min="12" max="12" width="18.5" style="7" customWidth="1"/>
    <col min="13" max="13" width="22.1640625" style="7" customWidth="1" outlineLevel="1"/>
    <col min="14" max="14" width="18.5" style="7" customWidth="1"/>
    <col min="15" max="18" width="18.5" style="7" customWidth="1" outlineLevel="1"/>
    <col min="19" max="19" width="46.5" style="7" customWidth="1"/>
    <col min="20" max="20" width="9.1640625" style="7" customWidth="1"/>
    <col min="21" max="21" width="35.1640625" style="7" customWidth="1"/>
    <col min="22" max="22" width="9.1640625" style="7" customWidth="1"/>
    <col min="23" max="16384" width="9.1640625" style="7"/>
  </cols>
  <sheetData>
    <row r="1" spans="1:22" ht="20" x14ac:dyDescent="0.2">
      <c r="C1" s="10" t="s">
        <v>0</v>
      </c>
      <c r="J1" s="7" t="s">
        <v>1093</v>
      </c>
    </row>
    <row r="2" spans="1:22" x14ac:dyDescent="0.15">
      <c r="C2" s="9" t="s">
        <v>5</v>
      </c>
    </row>
    <row r="3" spans="1:22" x14ac:dyDescent="0.15">
      <c r="C3" s="9"/>
    </row>
    <row r="4" spans="1:22" x14ac:dyDescent="0.15">
      <c r="C4" s="156" t="s">
        <v>836</v>
      </c>
      <c r="D4" s="377" t="s">
        <v>505</v>
      </c>
      <c r="J4" s="7">
        <f>ROUNDDOWN(K4*L4,0)</f>
        <v>0</v>
      </c>
    </row>
    <row r="5" spans="1:22" x14ac:dyDescent="0.15">
      <c r="B5" s="7" t="e">
        <f>VLOOKUP(C5,U:V,2,)</f>
        <v>#N/A</v>
      </c>
      <c r="J5" s="29">
        <f>SUM(J8:J292)</f>
        <v>11475827934</v>
      </c>
      <c r="K5" s="29"/>
      <c r="L5" s="29" t="e">
        <f>VLOOKUP(H5,BUNGA!$C$97:$D$97,2,0)</f>
        <v>#N/A</v>
      </c>
      <c r="N5" s="29">
        <f>SUM(N8:N292)</f>
        <v>14579487152</v>
      </c>
      <c r="O5" s="29">
        <f>SUM(O8:O292)</f>
        <v>2418393230</v>
      </c>
      <c r="P5" s="29">
        <f>SUM(P8:P292)</f>
        <v>1972372290</v>
      </c>
      <c r="Q5" s="29">
        <f>SUM(Q8:Q292)</f>
        <v>9193154695</v>
      </c>
      <c r="R5" s="29">
        <f>SUM(R8:R292)</f>
        <v>13233927881</v>
      </c>
    </row>
    <row r="6" spans="1:22" s="3" customFormat="1" ht="30" customHeight="1" x14ac:dyDescent="0.2">
      <c r="A6" s="380" t="s">
        <v>55</v>
      </c>
      <c r="B6" s="380" t="s">
        <v>59</v>
      </c>
      <c r="C6" s="380" t="s">
        <v>58</v>
      </c>
      <c r="D6" s="380" t="s">
        <v>62</v>
      </c>
      <c r="E6" s="380" t="s">
        <v>92</v>
      </c>
      <c r="F6" s="380" t="s">
        <v>91</v>
      </c>
      <c r="G6" s="380" t="s">
        <v>57</v>
      </c>
      <c r="H6" s="380" t="s">
        <v>374</v>
      </c>
      <c r="I6" s="380" t="s">
        <v>31</v>
      </c>
      <c r="J6" s="382" t="s">
        <v>246</v>
      </c>
      <c r="K6" s="382" t="s">
        <v>377</v>
      </c>
      <c r="L6" s="382" t="s">
        <v>374</v>
      </c>
      <c r="M6" s="380" t="s">
        <v>93</v>
      </c>
      <c r="N6" s="384" t="s">
        <v>54</v>
      </c>
      <c r="O6" s="385"/>
      <c r="P6" s="385"/>
      <c r="Q6" s="385"/>
      <c r="R6" s="386"/>
    </row>
    <row r="7" spans="1:22" s="3" customFormat="1" ht="30" customHeight="1" x14ac:dyDescent="0.2">
      <c r="A7" s="381"/>
      <c r="B7" s="381"/>
      <c r="C7" s="381"/>
      <c r="D7" s="381"/>
      <c r="E7" s="381"/>
      <c r="F7" s="381"/>
      <c r="G7" s="381"/>
      <c r="H7" s="381"/>
      <c r="I7" s="381"/>
      <c r="J7" s="383"/>
      <c r="K7" s="383"/>
      <c r="L7" s="383"/>
      <c r="M7" s="381"/>
      <c r="N7" s="15">
        <v>2024</v>
      </c>
      <c r="O7" s="15">
        <v>2023</v>
      </c>
      <c r="P7" s="15">
        <v>2022</v>
      </c>
      <c r="Q7" s="15">
        <v>2021</v>
      </c>
      <c r="R7" s="15">
        <v>2020</v>
      </c>
      <c r="T7" s="3" t="s">
        <v>30</v>
      </c>
      <c r="U7" s="3" t="s">
        <v>30</v>
      </c>
      <c r="V7" s="3" t="s">
        <v>30</v>
      </c>
    </row>
    <row r="8" spans="1:22" s="3" customFormat="1" ht="30" customHeight="1" x14ac:dyDescent="0.2">
      <c r="A8" s="4">
        <v>1</v>
      </c>
      <c r="B8" s="4" t="str">
        <f t="shared" ref="B8:B48" si="0">VLOOKUP(C8,U:V,2,)</f>
        <v>0102</v>
      </c>
      <c r="C8" s="4" t="s">
        <v>27</v>
      </c>
      <c r="D8" s="5" t="s">
        <v>503</v>
      </c>
      <c r="E8" s="4" t="s">
        <v>505</v>
      </c>
      <c r="F8" s="5" t="s">
        <v>529</v>
      </c>
      <c r="G8" s="4" t="s">
        <v>225</v>
      </c>
      <c r="H8" s="4" t="s">
        <v>376</v>
      </c>
      <c r="I8" s="4">
        <v>2025</v>
      </c>
      <c r="J8" s="56">
        <f t="shared" ref="J8:J10" si="1">ROUNDDOWN(K8*L8,0)</f>
        <v>395266344</v>
      </c>
      <c r="K8" s="94">
        <v>395266344</v>
      </c>
      <c r="L8" s="94">
        <f>VLOOKUP(H8,BUNGA!$C$97:$D$98,2,0)</f>
        <v>1</v>
      </c>
      <c r="M8" s="4" t="s">
        <v>578</v>
      </c>
      <c r="N8" s="11">
        <v>121941664</v>
      </c>
      <c r="O8" s="11">
        <v>481437</v>
      </c>
      <c r="P8" s="11">
        <v>12040351</v>
      </c>
      <c r="Q8" s="11">
        <v>0</v>
      </c>
      <c r="R8" s="11">
        <v>0</v>
      </c>
      <c r="S8" s="101"/>
      <c r="T8" s="24" t="s">
        <v>10</v>
      </c>
      <c r="U8" s="25" t="s">
        <v>28</v>
      </c>
      <c r="V8" s="24" t="s">
        <v>10</v>
      </c>
    </row>
    <row r="9" spans="1:22" s="3" customFormat="1" ht="30" customHeight="1" x14ac:dyDescent="0.2">
      <c r="A9" s="4">
        <f>A8+1</f>
        <v>2</v>
      </c>
      <c r="B9" s="4" t="str">
        <f t="shared" si="0"/>
        <v>0102</v>
      </c>
      <c r="C9" s="4" t="s">
        <v>27</v>
      </c>
      <c r="D9" s="5" t="s">
        <v>504</v>
      </c>
      <c r="E9" s="4" t="s">
        <v>505</v>
      </c>
      <c r="F9" s="5" t="s">
        <v>529</v>
      </c>
      <c r="G9" s="4" t="s">
        <v>225</v>
      </c>
      <c r="H9" s="4" t="s">
        <v>376</v>
      </c>
      <c r="I9" s="4">
        <v>2025</v>
      </c>
      <c r="J9" s="56">
        <f t="shared" si="1"/>
        <v>76528563</v>
      </c>
      <c r="K9" s="94">
        <v>76528563.030000001</v>
      </c>
      <c r="L9" s="94">
        <f>VLOOKUP(H9,BUNGA!$C$97:$D$98,2,0)</f>
        <v>1</v>
      </c>
      <c r="M9" s="4" t="s">
        <v>578</v>
      </c>
      <c r="N9" s="11">
        <v>92634637</v>
      </c>
      <c r="O9" s="11">
        <v>974723</v>
      </c>
      <c r="P9" s="11">
        <v>12561571</v>
      </c>
      <c r="Q9" s="11">
        <v>0</v>
      </c>
      <c r="R9" s="11">
        <v>0</v>
      </c>
      <c r="S9" s="101"/>
      <c r="T9" s="24" t="s">
        <v>12</v>
      </c>
      <c r="U9" s="25" t="s">
        <v>27</v>
      </c>
      <c r="V9" s="24" t="s">
        <v>12</v>
      </c>
    </row>
    <row r="10" spans="1:22" s="3" customFormat="1" ht="30" customHeight="1" x14ac:dyDescent="0.2">
      <c r="A10" s="4">
        <f t="shared" ref="A10:A51" si="2">A9+1</f>
        <v>3</v>
      </c>
      <c r="B10" s="4" t="str">
        <f t="shared" si="0"/>
        <v>0102</v>
      </c>
      <c r="C10" s="4" t="s">
        <v>27</v>
      </c>
      <c r="D10" s="5" t="s">
        <v>507</v>
      </c>
      <c r="E10" s="4" t="s">
        <v>506</v>
      </c>
      <c r="F10" s="5" t="s">
        <v>529</v>
      </c>
      <c r="G10" s="4" t="s">
        <v>225</v>
      </c>
      <c r="H10" s="4" t="s">
        <v>375</v>
      </c>
      <c r="I10" s="4">
        <v>2025</v>
      </c>
      <c r="J10" s="56">
        <f t="shared" si="1"/>
        <v>7314772</v>
      </c>
      <c r="K10" s="94">
        <v>436</v>
      </c>
      <c r="L10" s="94">
        <f>VLOOKUP(H10,BUNGA!$C$97:$D$98,2,0)</f>
        <v>16777</v>
      </c>
      <c r="M10" s="4" t="s">
        <v>579</v>
      </c>
      <c r="N10" s="11">
        <v>56429070</v>
      </c>
      <c r="O10" s="11">
        <v>5004180</v>
      </c>
      <c r="P10" s="11">
        <v>0</v>
      </c>
      <c r="Q10" s="11">
        <v>0</v>
      </c>
      <c r="R10" s="11">
        <v>0</v>
      </c>
      <c r="S10" s="101"/>
      <c r="T10" s="24" t="s">
        <v>13</v>
      </c>
      <c r="U10" s="25" t="s">
        <v>14</v>
      </c>
      <c r="V10" s="24" t="s">
        <v>13</v>
      </c>
    </row>
    <row r="11" spans="1:22" s="3" customFormat="1" ht="30" customHeight="1" x14ac:dyDescent="0.2">
      <c r="A11" s="4">
        <f t="shared" si="2"/>
        <v>4</v>
      </c>
      <c r="B11" s="4" t="str">
        <f t="shared" si="0"/>
        <v>0102</v>
      </c>
      <c r="C11" s="4" t="s">
        <v>27</v>
      </c>
      <c r="D11" s="5" t="s">
        <v>531</v>
      </c>
      <c r="E11" s="4" t="s">
        <v>505</v>
      </c>
      <c r="F11" s="5" t="s">
        <v>535</v>
      </c>
      <c r="G11" s="4" t="s">
        <v>225</v>
      </c>
      <c r="H11" s="4" t="s">
        <v>376</v>
      </c>
      <c r="I11" s="4">
        <v>2025</v>
      </c>
      <c r="J11" s="56">
        <f t="shared" ref="J11:J13" si="3">ROUNDDOWN(K11*L11,0)</f>
        <v>129148067</v>
      </c>
      <c r="K11" s="94">
        <v>129148067</v>
      </c>
      <c r="L11" s="94">
        <f>VLOOKUP(H11,BUNGA!$C$97:$D$98,2,0)</f>
        <v>1</v>
      </c>
      <c r="M11" s="4" t="s">
        <v>578</v>
      </c>
      <c r="N11" s="11">
        <v>84858925</v>
      </c>
      <c r="O11" s="11">
        <v>22058140</v>
      </c>
      <c r="P11" s="11">
        <v>71975639</v>
      </c>
      <c r="Q11" s="11">
        <v>181789681</v>
      </c>
      <c r="R11" s="11">
        <v>188528896</v>
      </c>
      <c r="S11" s="101"/>
      <c r="T11" s="24" t="s">
        <v>15</v>
      </c>
      <c r="U11" s="25" t="s">
        <v>16</v>
      </c>
      <c r="V11" s="24" t="s">
        <v>15</v>
      </c>
    </row>
    <row r="12" spans="1:22" s="3" customFormat="1" ht="30" customHeight="1" x14ac:dyDescent="0.2">
      <c r="A12" s="4">
        <f t="shared" si="2"/>
        <v>5</v>
      </c>
      <c r="B12" s="4" t="str">
        <f t="shared" si="0"/>
        <v>0102</v>
      </c>
      <c r="C12" s="4" t="s">
        <v>27</v>
      </c>
      <c r="D12" s="5" t="s">
        <v>532</v>
      </c>
      <c r="E12" s="4" t="s">
        <v>506</v>
      </c>
      <c r="F12" s="5" t="s">
        <v>535</v>
      </c>
      <c r="G12" s="4" t="s">
        <v>225</v>
      </c>
      <c r="H12" s="4" t="s">
        <v>376</v>
      </c>
      <c r="I12" s="4">
        <v>2025</v>
      </c>
      <c r="J12" s="56">
        <f t="shared" si="3"/>
        <v>121185719</v>
      </c>
      <c r="K12" s="94">
        <v>121185719</v>
      </c>
      <c r="L12" s="94">
        <f>VLOOKUP(H12,BUNGA!$C$97:$D$98,2,0)</f>
        <v>1</v>
      </c>
      <c r="M12" s="4" t="s">
        <v>579</v>
      </c>
      <c r="N12" s="11">
        <v>3776657</v>
      </c>
      <c r="O12" s="11">
        <v>134948</v>
      </c>
      <c r="P12" s="11">
        <v>21856286</v>
      </c>
      <c r="Q12" s="11">
        <v>28421979</v>
      </c>
      <c r="R12" s="11">
        <v>0</v>
      </c>
      <c r="T12" s="24" t="s">
        <v>17</v>
      </c>
      <c r="U12" s="25" t="s">
        <v>18</v>
      </c>
      <c r="V12" s="24" t="s">
        <v>17</v>
      </c>
    </row>
    <row r="13" spans="1:22" s="3" customFormat="1" ht="30" customHeight="1" x14ac:dyDescent="0.2">
      <c r="A13" s="4">
        <f t="shared" si="2"/>
        <v>6</v>
      </c>
      <c r="B13" s="4" t="str">
        <f t="shared" si="0"/>
        <v>0102</v>
      </c>
      <c r="C13" s="4" t="s">
        <v>27</v>
      </c>
      <c r="D13" s="5" t="s">
        <v>533</v>
      </c>
      <c r="E13" s="4" t="s">
        <v>505</v>
      </c>
      <c r="F13" s="5" t="s">
        <v>535</v>
      </c>
      <c r="G13" s="4" t="s">
        <v>225</v>
      </c>
      <c r="H13" s="4" t="s">
        <v>375</v>
      </c>
      <c r="I13" s="4">
        <v>2025</v>
      </c>
      <c r="J13" s="56">
        <f t="shared" si="3"/>
        <v>38368999</v>
      </c>
      <c r="K13" s="94">
        <v>2287</v>
      </c>
      <c r="L13" s="94">
        <f>VLOOKUP(H13,BUNGA!$C$97:$D$98,2,0)</f>
        <v>16777</v>
      </c>
      <c r="M13" s="4" t="s">
        <v>578</v>
      </c>
      <c r="N13" s="11">
        <v>27281025</v>
      </c>
      <c r="O13" s="11">
        <v>26179275</v>
      </c>
      <c r="P13" s="11">
        <v>52731000</v>
      </c>
      <c r="Q13" s="11">
        <v>62064548</v>
      </c>
      <c r="R13" s="11">
        <v>120454248</v>
      </c>
      <c r="T13" s="24" t="s">
        <v>19</v>
      </c>
      <c r="U13" s="25" t="s">
        <v>20</v>
      </c>
      <c r="V13" s="24" t="s">
        <v>19</v>
      </c>
    </row>
    <row r="14" spans="1:22" s="3" customFormat="1" ht="30" customHeight="1" x14ac:dyDescent="0.2">
      <c r="A14" s="4">
        <f t="shared" si="2"/>
        <v>7</v>
      </c>
      <c r="B14" s="4" t="str">
        <f t="shared" si="0"/>
        <v>0102</v>
      </c>
      <c r="C14" s="4" t="s">
        <v>27</v>
      </c>
      <c r="D14" s="5" t="s">
        <v>534</v>
      </c>
      <c r="E14" s="4" t="s">
        <v>505</v>
      </c>
      <c r="F14" s="5" t="s">
        <v>535</v>
      </c>
      <c r="G14" s="4" t="s">
        <v>225</v>
      </c>
      <c r="H14" s="4" t="s">
        <v>376</v>
      </c>
      <c r="I14" s="4">
        <v>2025</v>
      </c>
      <c r="J14" s="56">
        <f t="shared" ref="J14" si="4">ROUNDDOWN(K14*L14,0)</f>
        <v>2114766133</v>
      </c>
      <c r="K14" s="94">
        <v>2114766133</v>
      </c>
      <c r="L14" s="94">
        <f>VLOOKUP(H14,BUNGA!$C$97:$D$98,2,0)</f>
        <v>1</v>
      </c>
      <c r="M14" s="4" t="s">
        <v>578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T14" s="24" t="s">
        <v>21</v>
      </c>
      <c r="U14" s="25" t="s">
        <v>22</v>
      </c>
      <c r="V14" s="24" t="s">
        <v>21</v>
      </c>
    </row>
    <row r="15" spans="1:22" s="3" customFormat="1" ht="30" customHeight="1" x14ac:dyDescent="0.2">
      <c r="A15" s="4">
        <f t="shared" si="2"/>
        <v>8</v>
      </c>
      <c r="B15" s="4" t="str">
        <f t="shared" si="0"/>
        <v>0104</v>
      </c>
      <c r="C15" s="4" t="s">
        <v>16</v>
      </c>
      <c r="D15" s="5" t="s">
        <v>540</v>
      </c>
      <c r="E15" s="4" t="s">
        <v>506</v>
      </c>
      <c r="F15" s="5" t="s">
        <v>535</v>
      </c>
      <c r="G15" s="4" t="s">
        <v>225</v>
      </c>
      <c r="H15" s="4" t="s">
        <v>376</v>
      </c>
      <c r="I15" s="4">
        <v>2025</v>
      </c>
      <c r="J15" s="56">
        <f>ROUNDDOWN(K15*L15,0)</f>
        <v>1576324773</v>
      </c>
      <c r="K15" s="94">
        <v>1576324773</v>
      </c>
      <c r="L15" s="94">
        <f>VLOOKUP(H15,BUNGA!$C$97:$D$98,2,0)</f>
        <v>1</v>
      </c>
      <c r="M15" s="4" t="s">
        <v>579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T15" s="24" t="s">
        <v>23</v>
      </c>
      <c r="U15" s="25" t="s">
        <v>24</v>
      </c>
      <c r="V15" s="24" t="s">
        <v>23</v>
      </c>
    </row>
    <row r="16" spans="1:22" s="3" customFormat="1" ht="30" customHeight="1" x14ac:dyDescent="0.2">
      <c r="A16" s="4">
        <f t="shared" si="2"/>
        <v>9</v>
      </c>
      <c r="B16" s="4" t="str">
        <f t="shared" si="0"/>
        <v>0104</v>
      </c>
      <c r="C16" s="4" t="s">
        <v>16</v>
      </c>
      <c r="D16" s="5" t="s">
        <v>541</v>
      </c>
      <c r="E16" s="4" t="s">
        <v>506</v>
      </c>
      <c r="F16" s="5" t="s">
        <v>535</v>
      </c>
      <c r="G16" s="4" t="s">
        <v>225</v>
      </c>
      <c r="H16" s="4" t="s">
        <v>376</v>
      </c>
      <c r="I16" s="4">
        <v>2025</v>
      </c>
      <c r="J16" s="56">
        <f>ROUNDDOWN(K16*L16,0)</f>
        <v>500000000</v>
      </c>
      <c r="K16" s="94">
        <v>500000000</v>
      </c>
      <c r="L16" s="94">
        <f>VLOOKUP(H16,BUNGA!$C$97:$D$98,2,0)</f>
        <v>1</v>
      </c>
      <c r="M16" s="4" t="s">
        <v>579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T16" s="24" t="s">
        <v>25</v>
      </c>
      <c r="U16" s="25" t="s">
        <v>185</v>
      </c>
      <c r="V16" s="24" t="s">
        <v>25</v>
      </c>
    </row>
    <row r="17" spans="1:22" s="3" customFormat="1" ht="30" customHeight="1" x14ac:dyDescent="0.2">
      <c r="A17" s="4">
        <f t="shared" si="2"/>
        <v>10</v>
      </c>
      <c r="B17" s="4" t="str">
        <f t="shared" si="0"/>
        <v>0102</v>
      </c>
      <c r="C17" s="4" t="s">
        <v>27</v>
      </c>
      <c r="D17" s="5" t="s">
        <v>550</v>
      </c>
      <c r="E17" s="4" t="s">
        <v>505</v>
      </c>
      <c r="F17" s="5" t="s">
        <v>228</v>
      </c>
      <c r="G17" s="4" t="s">
        <v>225</v>
      </c>
      <c r="H17" s="4" t="s">
        <v>376</v>
      </c>
      <c r="I17" s="4">
        <v>2025</v>
      </c>
      <c r="J17" s="56">
        <f t="shared" ref="J17:J22" si="5">ROUNDDOWN(K17*L17,0)</f>
        <v>623690638</v>
      </c>
      <c r="K17" s="94">
        <v>623690638</v>
      </c>
      <c r="L17" s="94">
        <f>VLOOKUP(H17,BUNGA!$C$97:$D$98,2,0)</f>
        <v>1</v>
      </c>
      <c r="M17" s="4" t="s">
        <v>578</v>
      </c>
      <c r="N17" s="11">
        <v>395980369</v>
      </c>
      <c r="O17" s="11">
        <v>58844070</v>
      </c>
      <c r="P17" s="11">
        <v>84236265</v>
      </c>
      <c r="Q17" s="11">
        <v>73625229</v>
      </c>
      <c r="R17" s="11">
        <v>42296991</v>
      </c>
      <c r="T17" s="24" t="s">
        <v>10</v>
      </c>
      <c r="U17" s="25" t="s">
        <v>11</v>
      </c>
      <c r="V17" s="24" t="s">
        <v>10</v>
      </c>
    </row>
    <row r="18" spans="1:22" s="3" customFormat="1" ht="30" customHeight="1" x14ac:dyDescent="0.2">
      <c r="A18" s="4">
        <f t="shared" si="2"/>
        <v>11</v>
      </c>
      <c r="B18" s="4" t="str">
        <f t="shared" si="0"/>
        <v>0102</v>
      </c>
      <c r="C18" s="4" t="s">
        <v>27</v>
      </c>
      <c r="D18" s="5" t="s">
        <v>551</v>
      </c>
      <c r="E18" s="4" t="s">
        <v>505</v>
      </c>
      <c r="F18" s="5" t="s">
        <v>228</v>
      </c>
      <c r="G18" s="4" t="s">
        <v>225</v>
      </c>
      <c r="H18" s="4" t="s">
        <v>376</v>
      </c>
      <c r="I18" s="4">
        <v>2025</v>
      </c>
      <c r="J18" s="56">
        <f t="shared" si="5"/>
        <v>298564906</v>
      </c>
      <c r="K18" s="94">
        <v>298564906</v>
      </c>
      <c r="L18" s="94">
        <f>VLOOKUP(H18,BUNGA!$C$97:$D$98,2,0)</f>
        <v>1</v>
      </c>
      <c r="M18" s="4" t="s">
        <v>578</v>
      </c>
      <c r="N18" s="11">
        <v>431828577</v>
      </c>
      <c r="O18" s="11">
        <v>117767462</v>
      </c>
      <c r="P18" s="11">
        <v>127485150</v>
      </c>
      <c r="Q18" s="11">
        <v>24878970</v>
      </c>
      <c r="R18" s="11">
        <v>354451437</v>
      </c>
      <c r="T18" s="24" t="s">
        <v>25</v>
      </c>
      <c r="U18" s="25" t="s">
        <v>26</v>
      </c>
      <c r="V18" s="24" t="s">
        <v>25</v>
      </c>
    </row>
    <row r="19" spans="1:22" s="3" customFormat="1" ht="30" customHeight="1" x14ac:dyDescent="0.2">
      <c r="A19" s="4">
        <f t="shared" si="2"/>
        <v>12</v>
      </c>
      <c r="B19" s="4" t="str">
        <f t="shared" si="0"/>
        <v>0102</v>
      </c>
      <c r="C19" s="4" t="s">
        <v>27</v>
      </c>
      <c r="D19" s="5" t="s">
        <v>552</v>
      </c>
      <c r="E19" s="4" t="s">
        <v>505</v>
      </c>
      <c r="F19" s="5" t="s">
        <v>228</v>
      </c>
      <c r="G19" s="4" t="s">
        <v>225</v>
      </c>
      <c r="H19" s="4" t="s">
        <v>375</v>
      </c>
      <c r="I19" s="4">
        <v>2025</v>
      </c>
      <c r="J19" s="56">
        <f t="shared" si="5"/>
        <v>279018287</v>
      </c>
      <c r="K19" s="94">
        <v>16631</v>
      </c>
      <c r="L19" s="94">
        <f>VLOOKUP(H19,BUNGA!$C$97:$D$98,2,0)</f>
        <v>16777</v>
      </c>
      <c r="M19" s="4" t="s">
        <v>578</v>
      </c>
      <c r="N19" s="11">
        <v>11604495</v>
      </c>
      <c r="O19" s="11">
        <v>0</v>
      </c>
      <c r="P19" s="11">
        <v>0</v>
      </c>
      <c r="Q19" s="11">
        <v>0</v>
      </c>
      <c r="R19" s="11">
        <v>0</v>
      </c>
      <c r="T19" s="24"/>
      <c r="U19" s="25"/>
      <c r="V19" s="24"/>
    </row>
    <row r="20" spans="1:22" s="3" customFormat="1" ht="30" customHeight="1" x14ac:dyDescent="0.2">
      <c r="A20" s="4">
        <f t="shared" si="2"/>
        <v>13</v>
      </c>
      <c r="B20" s="4" t="str">
        <f t="shared" si="0"/>
        <v>0102</v>
      </c>
      <c r="C20" s="4" t="s">
        <v>27</v>
      </c>
      <c r="D20" s="5" t="s">
        <v>553</v>
      </c>
      <c r="E20" s="4" t="s">
        <v>506</v>
      </c>
      <c r="F20" s="5" t="s">
        <v>228</v>
      </c>
      <c r="G20" s="4" t="s">
        <v>225</v>
      </c>
      <c r="H20" s="4" t="s">
        <v>376</v>
      </c>
      <c r="I20" s="4">
        <v>2025</v>
      </c>
      <c r="J20" s="56">
        <f t="shared" si="5"/>
        <v>158216505</v>
      </c>
      <c r="K20" s="94">
        <v>158216505</v>
      </c>
      <c r="L20" s="94">
        <f>VLOOKUP(H20,BUNGA!$C$97:$D$98,2,0)</f>
        <v>1</v>
      </c>
      <c r="M20" s="4" t="s">
        <v>579</v>
      </c>
      <c r="N20" s="11">
        <v>508484117</v>
      </c>
      <c r="O20" s="11">
        <v>267041301</v>
      </c>
      <c r="P20" s="11">
        <v>36497755</v>
      </c>
      <c r="Q20" s="11">
        <v>173685791</v>
      </c>
      <c r="R20" s="11">
        <v>233518380</v>
      </c>
      <c r="T20" s="24"/>
      <c r="U20" s="25"/>
      <c r="V20" s="24"/>
    </row>
    <row r="21" spans="1:22" s="3" customFormat="1" ht="30" customHeight="1" x14ac:dyDescent="0.2">
      <c r="A21" s="4">
        <f t="shared" si="2"/>
        <v>14</v>
      </c>
      <c r="B21" s="4" t="str">
        <f t="shared" si="0"/>
        <v>0102</v>
      </c>
      <c r="C21" s="4" t="s">
        <v>27</v>
      </c>
      <c r="D21" s="5" t="s">
        <v>554</v>
      </c>
      <c r="E21" s="4" t="s">
        <v>506</v>
      </c>
      <c r="F21" s="5" t="s">
        <v>228</v>
      </c>
      <c r="G21" s="4" t="s">
        <v>225</v>
      </c>
      <c r="H21" s="4" t="s">
        <v>376</v>
      </c>
      <c r="I21" s="4">
        <v>2025</v>
      </c>
      <c r="J21" s="56">
        <f t="shared" si="5"/>
        <v>769467459</v>
      </c>
      <c r="K21" s="94">
        <v>769467459</v>
      </c>
      <c r="L21" s="94">
        <f>VLOOKUP(H21,BUNGA!$C$97:$D$98,2,0)</f>
        <v>1</v>
      </c>
      <c r="M21" s="4" t="s">
        <v>579</v>
      </c>
      <c r="N21" s="11">
        <v>956098574</v>
      </c>
      <c r="O21" s="11">
        <v>48237792</v>
      </c>
      <c r="P21" s="11">
        <v>91749141</v>
      </c>
      <c r="Q21" s="11">
        <v>0</v>
      </c>
      <c r="R21" s="11">
        <v>0</v>
      </c>
      <c r="T21" s="24"/>
      <c r="U21" s="25"/>
      <c r="V21" s="24"/>
    </row>
    <row r="22" spans="1:22" s="3" customFormat="1" ht="30" customHeight="1" x14ac:dyDescent="0.2">
      <c r="A22" s="4">
        <f t="shared" si="2"/>
        <v>15</v>
      </c>
      <c r="B22" s="4" t="str">
        <f t="shared" si="0"/>
        <v>0102</v>
      </c>
      <c r="C22" s="4" t="s">
        <v>27</v>
      </c>
      <c r="D22" s="5" t="s">
        <v>555</v>
      </c>
      <c r="E22" s="4" t="s">
        <v>506</v>
      </c>
      <c r="F22" s="5" t="s">
        <v>228</v>
      </c>
      <c r="G22" s="4" t="s">
        <v>225</v>
      </c>
      <c r="H22" s="4" t="s">
        <v>375</v>
      </c>
      <c r="I22" s="4">
        <v>2025</v>
      </c>
      <c r="J22" s="56">
        <f t="shared" si="5"/>
        <v>169179268</v>
      </c>
      <c r="K22" s="94">
        <v>10084</v>
      </c>
      <c r="L22" s="94">
        <f>VLOOKUP(H22,BUNGA!$C$97:$D$98,2,0)</f>
        <v>16777</v>
      </c>
      <c r="M22" s="4" t="s">
        <v>579</v>
      </c>
      <c r="N22" s="11">
        <v>312452235</v>
      </c>
      <c r="O22" s="11">
        <v>125397955</v>
      </c>
      <c r="P22" s="11">
        <v>45539000</v>
      </c>
      <c r="Q22" s="11">
        <v>51687104</v>
      </c>
      <c r="R22" s="11">
        <v>100563504</v>
      </c>
      <c r="T22" s="24"/>
      <c r="U22" s="25"/>
      <c r="V22" s="24"/>
    </row>
    <row r="23" spans="1:22" s="3" customFormat="1" ht="30" customHeight="1" x14ac:dyDescent="0.2">
      <c r="A23" s="4">
        <f t="shared" si="2"/>
        <v>16</v>
      </c>
      <c r="B23" s="4" t="str">
        <f t="shared" si="0"/>
        <v>0102</v>
      </c>
      <c r="C23" s="4" t="s">
        <v>27</v>
      </c>
      <c r="D23" s="5" t="s">
        <v>588</v>
      </c>
      <c r="E23" s="4" t="s">
        <v>505</v>
      </c>
      <c r="F23" s="5" t="s">
        <v>378</v>
      </c>
      <c r="G23" s="4" t="s">
        <v>225</v>
      </c>
      <c r="H23" s="4" t="s">
        <v>376</v>
      </c>
      <c r="I23" s="4">
        <v>2025</v>
      </c>
      <c r="J23" s="56">
        <f t="shared" ref="J23" si="6">ROUNDDOWN(K23*L23,0)</f>
        <v>117449710</v>
      </c>
      <c r="K23" s="94">
        <v>117449710</v>
      </c>
      <c r="L23" s="94">
        <f>VLOOKUP(H23,BUNGA!$C$97:$D$98,2,0)</f>
        <v>1</v>
      </c>
      <c r="M23" s="4" t="s">
        <v>578</v>
      </c>
      <c r="N23" s="11">
        <v>34224869</v>
      </c>
      <c r="O23" s="11">
        <v>7418816</v>
      </c>
      <c r="P23" s="11">
        <v>16621048</v>
      </c>
      <c r="Q23" s="11">
        <v>3082257</v>
      </c>
      <c r="R23" s="11">
        <v>0</v>
      </c>
      <c r="T23" s="24"/>
      <c r="U23" s="25"/>
      <c r="V23" s="24"/>
    </row>
    <row r="24" spans="1:22" s="3" customFormat="1" ht="30" customHeight="1" x14ac:dyDescent="0.2">
      <c r="A24" s="4">
        <f t="shared" si="2"/>
        <v>17</v>
      </c>
      <c r="B24" s="4" t="str">
        <f t="shared" si="0"/>
        <v>0102</v>
      </c>
      <c r="C24" s="4" t="s">
        <v>27</v>
      </c>
      <c r="D24" s="5" t="s">
        <v>590</v>
      </c>
      <c r="E24" s="4" t="s">
        <v>505</v>
      </c>
      <c r="F24" s="5" t="s">
        <v>378</v>
      </c>
      <c r="G24" s="4" t="s">
        <v>225</v>
      </c>
      <c r="H24" s="4" t="s">
        <v>375</v>
      </c>
      <c r="I24" s="4">
        <v>2025</v>
      </c>
      <c r="J24" s="56">
        <f t="shared" ref="J24" si="7">ROUNDDOWN(K24*L24,0)</f>
        <v>280679210</v>
      </c>
      <c r="K24" s="94">
        <v>16730</v>
      </c>
      <c r="L24" s="94">
        <f>VLOOKUP(H24,BUNGA!$C$97:$D$98,2,0)</f>
        <v>16777</v>
      </c>
      <c r="M24" s="4" t="s">
        <v>578</v>
      </c>
      <c r="N24" s="11">
        <v>100143090</v>
      </c>
      <c r="O24" s="11">
        <v>25623255</v>
      </c>
      <c r="P24" s="11">
        <v>26799500</v>
      </c>
      <c r="Q24" s="11">
        <v>503163094</v>
      </c>
      <c r="R24" s="11">
        <v>432460060</v>
      </c>
      <c r="T24" s="24"/>
      <c r="U24" s="25"/>
      <c r="V24" s="24"/>
    </row>
    <row r="25" spans="1:22" s="3" customFormat="1" ht="30" customHeight="1" x14ac:dyDescent="0.2">
      <c r="A25" s="4">
        <f t="shared" si="2"/>
        <v>18</v>
      </c>
      <c r="B25" s="4" t="str">
        <f t="shared" si="0"/>
        <v>0102</v>
      </c>
      <c r="C25" s="4" t="s">
        <v>27</v>
      </c>
      <c r="D25" s="5" t="s">
        <v>589</v>
      </c>
      <c r="E25" s="4" t="s">
        <v>506</v>
      </c>
      <c r="F25" s="5" t="s">
        <v>378</v>
      </c>
      <c r="G25" s="4" t="s">
        <v>225</v>
      </c>
      <c r="H25" s="4" t="s">
        <v>376</v>
      </c>
      <c r="I25" s="4">
        <v>2025</v>
      </c>
      <c r="J25" s="56">
        <f t="shared" ref="J25" si="8">ROUNDDOWN(K25*L25,0)</f>
        <v>122172254</v>
      </c>
      <c r="K25" s="94">
        <v>122172254</v>
      </c>
      <c r="L25" s="94">
        <f>VLOOKUP(H25,BUNGA!$C$97:$D$98,2,0)</f>
        <v>1</v>
      </c>
      <c r="M25" s="4" t="s">
        <v>579</v>
      </c>
      <c r="N25" s="11">
        <v>45154004</v>
      </c>
      <c r="O25" s="11">
        <v>9618501</v>
      </c>
      <c r="P25" s="11">
        <v>18320983</v>
      </c>
      <c r="Q25" s="11">
        <v>6245711</v>
      </c>
      <c r="R25" s="11">
        <v>0</v>
      </c>
      <c r="T25" s="24"/>
      <c r="U25" s="25"/>
      <c r="V25" s="24"/>
    </row>
    <row r="26" spans="1:22" s="3" customFormat="1" ht="30" customHeight="1" x14ac:dyDescent="0.2">
      <c r="A26" s="4">
        <f t="shared" si="2"/>
        <v>19</v>
      </c>
      <c r="B26" s="4" t="str">
        <f t="shared" si="0"/>
        <v>0102</v>
      </c>
      <c r="C26" s="4" t="s">
        <v>27</v>
      </c>
      <c r="D26" s="5" t="s">
        <v>614</v>
      </c>
      <c r="E26" s="4" t="s">
        <v>505</v>
      </c>
      <c r="F26" s="5" t="s">
        <v>611</v>
      </c>
      <c r="G26" s="4" t="s">
        <v>225</v>
      </c>
      <c r="H26" s="4" t="s">
        <v>376</v>
      </c>
      <c r="I26" s="4">
        <v>2025</v>
      </c>
      <c r="J26" s="56">
        <f t="shared" ref="J26:J27" si="9">ROUNDDOWN(K26*L26,0)</f>
        <v>629283803</v>
      </c>
      <c r="K26" s="94">
        <v>629283803</v>
      </c>
      <c r="L26" s="94">
        <f>VLOOKUP(H26,BUNGA!$C$97:$D$98,2,0)</f>
        <v>1</v>
      </c>
      <c r="M26" s="4" t="s">
        <v>578</v>
      </c>
      <c r="N26" s="11">
        <v>174126066</v>
      </c>
      <c r="O26" s="11">
        <v>5647422</v>
      </c>
      <c r="P26" s="11">
        <v>5635819</v>
      </c>
      <c r="Q26" s="11">
        <v>1842731</v>
      </c>
      <c r="R26" s="11">
        <v>0</v>
      </c>
      <c r="T26" s="24"/>
      <c r="U26" s="25"/>
      <c r="V26" s="24"/>
    </row>
    <row r="27" spans="1:22" s="3" customFormat="1" ht="30" customHeight="1" x14ac:dyDescent="0.2">
      <c r="A27" s="4">
        <f t="shared" si="2"/>
        <v>20</v>
      </c>
      <c r="B27" s="4" t="str">
        <f t="shared" si="0"/>
        <v>0102</v>
      </c>
      <c r="C27" s="4" t="s">
        <v>27</v>
      </c>
      <c r="D27" s="5" t="s">
        <v>612</v>
      </c>
      <c r="E27" s="4" t="s">
        <v>505</v>
      </c>
      <c r="F27" s="5" t="s">
        <v>611</v>
      </c>
      <c r="G27" s="4" t="s">
        <v>225</v>
      </c>
      <c r="H27" s="4" t="s">
        <v>376</v>
      </c>
      <c r="I27" s="4">
        <v>2025</v>
      </c>
      <c r="J27" s="56">
        <f t="shared" si="9"/>
        <v>53819698</v>
      </c>
      <c r="K27" s="94">
        <v>53819698</v>
      </c>
      <c r="L27" s="94">
        <f>VLOOKUP(H27,BUNGA!$C$97:$D$98,2,0)</f>
        <v>1</v>
      </c>
      <c r="M27" s="4" t="s">
        <v>578</v>
      </c>
      <c r="N27" s="11">
        <v>149441785</v>
      </c>
      <c r="O27" s="11">
        <v>0</v>
      </c>
      <c r="P27" s="11">
        <v>0</v>
      </c>
      <c r="Q27" s="11">
        <v>0</v>
      </c>
      <c r="R27" s="11">
        <v>0</v>
      </c>
      <c r="T27" s="24"/>
      <c r="U27" s="25"/>
      <c r="V27" s="24"/>
    </row>
    <row r="28" spans="1:22" s="3" customFormat="1" ht="30" customHeight="1" x14ac:dyDescent="0.2">
      <c r="A28" s="4">
        <f t="shared" si="2"/>
        <v>21</v>
      </c>
      <c r="B28" s="4" t="str">
        <f t="shared" si="0"/>
        <v>0102</v>
      </c>
      <c r="C28" s="4" t="s">
        <v>27</v>
      </c>
      <c r="D28" s="5" t="s">
        <v>613</v>
      </c>
      <c r="E28" s="4" t="s">
        <v>506</v>
      </c>
      <c r="F28" s="5" t="s">
        <v>611</v>
      </c>
      <c r="G28" s="4" t="s">
        <v>225</v>
      </c>
      <c r="H28" s="4" t="s">
        <v>376</v>
      </c>
      <c r="I28" s="4">
        <v>2025</v>
      </c>
      <c r="J28" s="56">
        <f>ROUNDDOWN(K28*L28,0)</f>
        <v>19949834</v>
      </c>
      <c r="K28" s="94">
        <v>19949834</v>
      </c>
      <c r="L28" s="94">
        <f>VLOOKUP(H28,BUNGA!$C$97:$D$98,2,0)</f>
        <v>1</v>
      </c>
      <c r="M28" s="4" t="s">
        <v>579</v>
      </c>
      <c r="N28" s="11">
        <v>4999856</v>
      </c>
      <c r="O28" s="11">
        <v>8874867</v>
      </c>
      <c r="P28" s="11">
        <v>97603432</v>
      </c>
      <c r="Q28" s="11">
        <v>14822490</v>
      </c>
      <c r="R28" s="11">
        <v>0</v>
      </c>
      <c r="T28" s="24"/>
      <c r="U28" s="25"/>
      <c r="V28" s="24"/>
    </row>
    <row r="29" spans="1:22" s="3" customFormat="1" ht="30" customHeight="1" x14ac:dyDescent="0.2">
      <c r="A29" s="4">
        <f t="shared" si="2"/>
        <v>22</v>
      </c>
      <c r="B29" s="4" t="str">
        <f t="shared" si="0"/>
        <v>0102</v>
      </c>
      <c r="C29" s="4" t="s">
        <v>27</v>
      </c>
      <c r="D29" s="5" t="s">
        <v>625</v>
      </c>
      <c r="E29" s="4" t="s">
        <v>506</v>
      </c>
      <c r="F29" s="5" t="s">
        <v>624</v>
      </c>
      <c r="G29" s="4" t="s">
        <v>225</v>
      </c>
      <c r="H29" s="4" t="s">
        <v>376</v>
      </c>
      <c r="I29" s="4">
        <v>2025</v>
      </c>
      <c r="J29" s="56">
        <f t="shared" ref="J29" si="10">ROUNDDOWN(K29*L29,0)</f>
        <v>282662537</v>
      </c>
      <c r="K29" s="94">
        <v>282662537</v>
      </c>
      <c r="L29" s="94">
        <f>VLOOKUP(H29,BUNGA!$C$97:$D$98,2,0)</f>
        <v>1</v>
      </c>
      <c r="M29" s="4" t="s">
        <v>579</v>
      </c>
      <c r="N29" s="11">
        <v>225113597</v>
      </c>
      <c r="O29" s="11">
        <v>0</v>
      </c>
      <c r="P29" s="11">
        <v>0</v>
      </c>
      <c r="Q29" s="11">
        <v>0</v>
      </c>
      <c r="R29" s="11">
        <v>0</v>
      </c>
      <c r="T29" s="24"/>
      <c r="U29" s="25"/>
      <c r="V29" s="24"/>
    </row>
    <row r="30" spans="1:22" s="3" customFormat="1" ht="30" customHeight="1" x14ac:dyDescent="0.2">
      <c r="A30" s="4">
        <f t="shared" si="2"/>
        <v>23</v>
      </c>
      <c r="B30" s="4" t="str">
        <f t="shared" si="0"/>
        <v>0102</v>
      </c>
      <c r="C30" s="4" t="s">
        <v>27</v>
      </c>
      <c r="D30" s="5" t="s">
        <v>627</v>
      </c>
      <c r="E30" s="4" t="s">
        <v>506</v>
      </c>
      <c r="F30" s="5" t="s">
        <v>383</v>
      </c>
      <c r="G30" s="4" t="s">
        <v>225</v>
      </c>
      <c r="H30" s="4" t="s">
        <v>376</v>
      </c>
      <c r="I30" s="4">
        <v>2025</v>
      </c>
      <c r="J30" s="56">
        <f t="shared" ref="J30" si="11">ROUNDDOWN(K30*L30,0)</f>
        <v>69884414</v>
      </c>
      <c r="K30" s="94">
        <v>69884414</v>
      </c>
      <c r="L30" s="94">
        <f>VLOOKUP(H30,BUNGA!$C$97:$D$98,2,0)</f>
        <v>1</v>
      </c>
      <c r="M30" s="4" t="s">
        <v>579</v>
      </c>
      <c r="N30" s="11">
        <v>131871464</v>
      </c>
      <c r="O30" s="11">
        <v>45421741</v>
      </c>
      <c r="P30" s="11">
        <v>88218785</v>
      </c>
      <c r="Q30" s="11">
        <v>103010634</v>
      </c>
      <c r="R30" s="11">
        <v>162755079</v>
      </c>
      <c r="T30" s="24"/>
      <c r="U30" s="25"/>
      <c r="V30" s="24"/>
    </row>
    <row r="31" spans="1:22" s="3" customFormat="1" ht="30" customHeight="1" x14ac:dyDescent="0.2">
      <c r="A31" s="4">
        <f t="shared" si="2"/>
        <v>24</v>
      </c>
      <c r="B31" s="4" t="str">
        <f t="shared" si="0"/>
        <v>0102</v>
      </c>
      <c r="C31" s="4" t="s">
        <v>27</v>
      </c>
      <c r="D31" s="5" t="s">
        <v>637</v>
      </c>
      <c r="E31" s="23" t="s">
        <v>631</v>
      </c>
      <c r="F31" s="5" t="s">
        <v>636</v>
      </c>
      <c r="G31" s="4" t="s">
        <v>225</v>
      </c>
      <c r="H31" s="4" t="s">
        <v>375</v>
      </c>
      <c r="I31" s="4">
        <v>2025</v>
      </c>
      <c r="J31" s="56">
        <f t="shared" ref="J31:J37" si="12">ROUNDDOWN(K31*L31,0)</f>
        <v>76737998</v>
      </c>
      <c r="K31" s="94">
        <v>4574</v>
      </c>
      <c r="L31" s="94">
        <f>VLOOKUP(H31,BUNGA!$C$97:$D$98,2,0)</f>
        <v>16777</v>
      </c>
      <c r="M31" s="4" t="s">
        <v>632</v>
      </c>
      <c r="N31" s="11">
        <v>35746995</v>
      </c>
      <c r="O31" s="11">
        <v>18163320</v>
      </c>
      <c r="P31" s="11">
        <v>0</v>
      </c>
      <c r="Q31" s="11">
        <v>0</v>
      </c>
      <c r="R31" s="11">
        <v>0</v>
      </c>
      <c r="T31" s="24"/>
      <c r="U31" s="25"/>
      <c r="V31" s="24"/>
    </row>
    <row r="32" spans="1:22" s="3" customFormat="1" ht="30" customHeight="1" x14ac:dyDescent="0.2">
      <c r="A32" s="4">
        <f t="shared" si="2"/>
        <v>25</v>
      </c>
      <c r="B32" s="4" t="str">
        <f t="shared" si="0"/>
        <v>0102</v>
      </c>
      <c r="C32" s="4" t="s">
        <v>27</v>
      </c>
      <c r="D32" s="5" t="s">
        <v>633</v>
      </c>
      <c r="E32" s="4" t="s">
        <v>505</v>
      </c>
      <c r="F32" s="5" t="s">
        <v>636</v>
      </c>
      <c r="G32" s="4" t="s">
        <v>225</v>
      </c>
      <c r="H32" s="4" t="s">
        <v>376</v>
      </c>
      <c r="I32" s="4">
        <v>2025</v>
      </c>
      <c r="J32" s="56">
        <f t="shared" si="12"/>
        <v>1031955</v>
      </c>
      <c r="K32" s="94">
        <v>1031955</v>
      </c>
      <c r="L32" s="94">
        <f>VLOOKUP(H32,BUNGA!$C$97:$D$98,2,0)</f>
        <v>1</v>
      </c>
      <c r="M32" s="4" t="s">
        <v>578</v>
      </c>
      <c r="N32" s="11">
        <v>9202784</v>
      </c>
      <c r="O32" s="11">
        <v>12195452</v>
      </c>
      <c r="P32" s="11">
        <v>0</v>
      </c>
      <c r="Q32" s="11">
        <v>0</v>
      </c>
      <c r="R32" s="11">
        <v>0</v>
      </c>
      <c r="T32" s="24"/>
      <c r="U32" s="25"/>
      <c r="V32" s="24"/>
    </row>
    <row r="33" spans="1:22" s="3" customFormat="1" ht="30" customHeight="1" x14ac:dyDescent="0.2">
      <c r="A33" s="4">
        <f t="shared" si="2"/>
        <v>26</v>
      </c>
      <c r="B33" s="4" t="str">
        <f t="shared" si="0"/>
        <v>0102</v>
      </c>
      <c r="C33" s="4" t="s">
        <v>27</v>
      </c>
      <c r="D33" s="5" t="s">
        <v>634</v>
      </c>
      <c r="E33" s="4" t="s">
        <v>506</v>
      </c>
      <c r="F33" s="5" t="s">
        <v>636</v>
      </c>
      <c r="G33" s="4" t="s">
        <v>225</v>
      </c>
      <c r="H33" s="4" t="s">
        <v>376</v>
      </c>
      <c r="I33" s="4">
        <v>2025</v>
      </c>
      <c r="J33" s="56">
        <f t="shared" si="12"/>
        <v>5105020</v>
      </c>
      <c r="K33" s="94">
        <v>5105020</v>
      </c>
      <c r="L33" s="94">
        <f>VLOOKUP(H33,BUNGA!$C$97:$D$98,2,0)</f>
        <v>1</v>
      </c>
      <c r="M33" s="4" t="s">
        <v>579</v>
      </c>
      <c r="N33" s="11">
        <v>5064136</v>
      </c>
      <c r="O33" s="11">
        <v>9011220</v>
      </c>
      <c r="P33" s="11">
        <v>0</v>
      </c>
      <c r="Q33" s="11">
        <v>0</v>
      </c>
      <c r="R33" s="11">
        <v>0</v>
      </c>
      <c r="T33" s="24"/>
      <c r="U33" s="25"/>
      <c r="V33" s="24"/>
    </row>
    <row r="34" spans="1:22" s="3" customFormat="1" ht="30" customHeight="1" x14ac:dyDescent="0.2">
      <c r="A34" s="4">
        <f t="shared" si="2"/>
        <v>27</v>
      </c>
      <c r="B34" s="4" t="str">
        <f t="shared" si="0"/>
        <v>0102</v>
      </c>
      <c r="C34" s="4" t="s">
        <v>27</v>
      </c>
      <c r="D34" s="5" t="s">
        <v>638</v>
      </c>
      <c r="E34" s="4" t="s">
        <v>505</v>
      </c>
      <c r="F34" s="5" t="s">
        <v>636</v>
      </c>
      <c r="G34" s="4" t="s">
        <v>225</v>
      </c>
      <c r="H34" s="4" t="s">
        <v>375</v>
      </c>
      <c r="I34" s="4">
        <v>2025</v>
      </c>
      <c r="J34" s="56">
        <f t="shared" si="12"/>
        <v>234878</v>
      </c>
      <c r="K34" s="94">
        <v>14</v>
      </c>
      <c r="L34" s="94">
        <f>VLOOKUP(H34,BUNGA!$C$97:$D$98,2,0)</f>
        <v>16777</v>
      </c>
      <c r="M34" s="4" t="s">
        <v>578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T34" s="24"/>
      <c r="U34" s="25"/>
      <c r="V34" s="24"/>
    </row>
    <row r="35" spans="1:22" s="3" customFormat="1" ht="30" customHeight="1" x14ac:dyDescent="0.2">
      <c r="A35" s="4">
        <f t="shared" si="2"/>
        <v>28</v>
      </c>
      <c r="B35" s="4" t="str">
        <f t="shared" si="0"/>
        <v>0102</v>
      </c>
      <c r="C35" s="4" t="s">
        <v>27</v>
      </c>
      <c r="D35" s="5" t="s">
        <v>635</v>
      </c>
      <c r="E35" s="4" t="s">
        <v>506</v>
      </c>
      <c r="F35" s="5" t="s">
        <v>636</v>
      </c>
      <c r="G35" s="4" t="s">
        <v>225</v>
      </c>
      <c r="H35" s="4" t="s">
        <v>376</v>
      </c>
      <c r="I35" s="4">
        <v>2025</v>
      </c>
      <c r="J35" s="56">
        <f t="shared" si="12"/>
        <v>144021615</v>
      </c>
      <c r="K35" s="94">
        <v>144021615</v>
      </c>
      <c r="L35" s="94">
        <f>VLOOKUP(H35,BUNGA!$C$97:$D$98,2,0)</f>
        <v>1</v>
      </c>
      <c r="M35" s="4" t="s">
        <v>579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T35" s="24"/>
      <c r="U35" s="25"/>
      <c r="V35" s="24"/>
    </row>
    <row r="36" spans="1:22" s="3" customFormat="1" ht="30" customHeight="1" x14ac:dyDescent="0.2">
      <c r="A36" s="4">
        <f t="shared" si="2"/>
        <v>29</v>
      </c>
      <c r="B36" s="4" t="str">
        <f t="shared" si="0"/>
        <v>0102</v>
      </c>
      <c r="C36" s="4" t="s">
        <v>27</v>
      </c>
      <c r="D36" s="5" t="s">
        <v>799</v>
      </c>
      <c r="E36" s="4" t="s">
        <v>505</v>
      </c>
      <c r="F36" s="5" t="s">
        <v>802</v>
      </c>
      <c r="G36" s="4" t="s">
        <v>225</v>
      </c>
      <c r="H36" s="4" t="s">
        <v>376</v>
      </c>
      <c r="I36" s="4">
        <v>2025</v>
      </c>
      <c r="J36" s="56">
        <f t="shared" si="12"/>
        <v>189680120</v>
      </c>
      <c r="K36" s="94">
        <v>189680120</v>
      </c>
      <c r="L36" s="94">
        <f>VLOOKUP(H36,BUNGA!$C$97:$D$98,2,0)</f>
        <v>1</v>
      </c>
      <c r="M36" s="4" t="s">
        <v>578</v>
      </c>
      <c r="N36" s="11">
        <v>6538736</v>
      </c>
      <c r="O36" s="11">
        <v>13786222</v>
      </c>
      <c r="P36" s="11">
        <v>26326231</v>
      </c>
      <c r="Q36" s="11">
        <v>23977937</v>
      </c>
      <c r="R36" s="11">
        <v>0</v>
      </c>
      <c r="T36" s="24"/>
      <c r="U36" s="25"/>
      <c r="V36" s="24"/>
    </row>
    <row r="37" spans="1:22" s="3" customFormat="1" ht="30" customHeight="1" x14ac:dyDescent="0.2">
      <c r="A37" s="4">
        <f t="shared" si="2"/>
        <v>30</v>
      </c>
      <c r="B37" s="4" t="str">
        <f t="shared" si="0"/>
        <v>0102</v>
      </c>
      <c r="C37" s="4" t="s">
        <v>27</v>
      </c>
      <c r="D37" s="5" t="s">
        <v>800</v>
      </c>
      <c r="E37" s="4" t="s">
        <v>506</v>
      </c>
      <c r="F37" s="5" t="s">
        <v>802</v>
      </c>
      <c r="G37" s="4" t="s">
        <v>225</v>
      </c>
      <c r="H37" s="4" t="s">
        <v>376</v>
      </c>
      <c r="I37" s="4">
        <v>2025</v>
      </c>
      <c r="J37" s="56">
        <f t="shared" si="12"/>
        <v>99440095</v>
      </c>
      <c r="K37" s="94">
        <v>99440095</v>
      </c>
      <c r="L37" s="94">
        <f>VLOOKUP(H37,BUNGA!$C$97:$D$98,2,0)</f>
        <v>1</v>
      </c>
      <c r="M37" s="4" t="s">
        <v>579</v>
      </c>
      <c r="N37" s="11">
        <v>4687214</v>
      </c>
      <c r="O37" s="11">
        <v>7531000</v>
      </c>
      <c r="P37" s="11">
        <v>401383</v>
      </c>
      <c r="Q37" s="11">
        <v>11243683</v>
      </c>
      <c r="R37" s="11">
        <v>0</v>
      </c>
      <c r="T37" s="24"/>
      <c r="U37" s="25"/>
      <c r="V37" s="24"/>
    </row>
    <row r="38" spans="1:22" s="3" customFormat="1" ht="30" customHeight="1" x14ac:dyDescent="0.2">
      <c r="A38" s="4">
        <f t="shared" si="2"/>
        <v>31</v>
      </c>
      <c r="B38" s="4" t="str">
        <f t="shared" si="0"/>
        <v>0102</v>
      </c>
      <c r="C38" s="4" t="s">
        <v>27</v>
      </c>
      <c r="D38" s="5" t="s">
        <v>718</v>
      </c>
      <c r="E38" s="4" t="s">
        <v>505</v>
      </c>
      <c r="F38" s="5" t="s">
        <v>713</v>
      </c>
      <c r="G38" s="4" t="s">
        <v>225</v>
      </c>
      <c r="H38" s="4" t="s">
        <v>376</v>
      </c>
      <c r="I38" s="4">
        <v>2025</v>
      </c>
      <c r="J38" s="56">
        <f t="shared" ref="J38:J40" si="13">ROUNDDOWN(K38*L38,0)</f>
        <v>6958452</v>
      </c>
      <c r="K38" s="94">
        <v>6958452</v>
      </c>
      <c r="L38" s="94">
        <f>VLOOKUP(H38,BUNGA!$C$97:$D$98,2,0)</f>
        <v>1</v>
      </c>
      <c r="M38" s="4" t="s">
        <v>578</v>
      </c>
      <c r="N38" s="11">
        <v>3054854</v>
      </c>
      <c r="O38" s="11">
        <v>1285857</v>
      </c>
      <c r="P38" s="11">
        <v>2184</v>
      </c>
      <c r="Q38" s="11">
        <v>297889169</v>
      </c>
      <c r="R38" s="11">
        <v>0</v>
      </c>
      <c r="T38" s="24"/>
      <c r="U38" s="25"/>
      <c r="V38" s="24"/>
    </row>
    <row r="39" spans="1:22" s="3" customFormat="1" ht="30" customHeight="1" x14ac:dyDescent="0.2">
      <c r="A39" s="4">
        <f t="shared" si="2"/>
        <v>32</v>
      </c>
      <c r="B39" s="4" t="str">
        <f t="shared" si="0"/>
        <v>0102</v>
      </c>
      <c r="C39" s="4" t="s">
        <v>27</v>
      </c>
      <c r="D39" s="5" t="s">
        <v>717</v>
      </c>
      <c r="E39" s="4" t="s">
        <v>506</v>
      </c>
      <c r="F39" s="5" t="s">
        <v>713</v>
      </c>
      <c r="G39" s="4" t="s">
        <v>225</v>
      </c>
      <c r="H39" s="4" t="s">
        <v>376</v>
      </c>
      <c r="I39" s="4">
        <v>2025</v>
      </c>
      <c r="J39" s="56">
        <f t="shared" si="13"/>
        <v>79419949</v>
      </c>
      <c r="K39" s="94">
        <v>79419949</v>
      </c>
      <c r="L39" s="94">
        <f>VLOOKUP(H39,BUNGA!$C$97:$D$98,2,0)</f>
        <v>1</v>
      </c>
      <c r="M39" s="4" t="s">
        <v>579</v>
      </c>
      <c r="N39" s="11">
        <v>22840471</v>
      </c>
      <c r="O39" s="11">
        <v>46263775</v>
      </c>
      <c r="P39" s="11">
        <v>270825</v>
      </c>
      <c r="Q39" s="11">
        <v>91114559</v>
      </c>
      <c r="R39" s="11">
        <v>0</v>
      </c>
      <c r="T39" s="24"/>
      <c r="U39" s="25"/>
      <c r="V39" s="24"/>
    </row>
    <row r="40" spans="1:22" s="3" customFormat="1" ht="30" customHeight="1" x14ac:dyDescent="0.2">
      <c r="A40" s="4">
        <f t="shared" si="2"/>
        <v>33</v>
      </c>
      <c r="B40" s="4" t="str">
        <f t="shared" si="0"/>
        <v>0102</v>
      </c>
      <c r="C40" s="4" t="s">
        <v>27</v>
      </c>
      <c r="D40" s="5" t="s">
        <v>719</v>
      </c>
      <c r="E40" s="4" t="s">
        <v>505</v>
      </c>
      <c r="F40" s="5" t="s">
        <v>713</v>
      </c>
      <c r="G40" s="4" t="s">
        <v>225</v>
      </c>
      <c r="H40" s="4" t="s">
        <v>375</v>
      </c>
      <c r="I40" s="4">
        <v>2025</v>
      </c>
      <c r="J40" s="56">
        <f t="shared" si="13"/>
        <v>1224721</v>
      </c>
      <c r="K40" s="94">
        <v>73</v>
      </c>
      <c r="L40" s="94">
        <f>VLOOKUP(H40,BUNGA!$C$97:$D$98,2,0)</f>
        <v>16777</v>
      </c>
      <c r="M40" s="4" t="s">
        <v>578</v>
      </c>
      <c r="N40" s="11">
        <v>90711420</v>
      </c>
      <c r="O40" s="11">
        <v>4417270</v>
      </c>
      <c r="P40" s="11">
        <v>4169500</v>
      </c>
      <c r="Q40" s="11">
        <v>134006250</v>
      </c>
      <c r="R40" s="11">
        <v>80032500</v>
      </c>
      <c r="T40" s="24"/>
      <c r="U40" s="25"/>
      <c r="V40" s="24"/>
    </row>
    <row r="41" spans="1:22" s="3" customFormat="1" ht="30" customHeight="1" x14ac:dyDescent="0.2">
      <c r="A41" s="4">
        <f t="shared" si="2"/>
        <v>34</v>
      </c>
      <c r="B41" s="4" t="str">
        <f t="shared" si="0"/>
        <v>0102</v>
      </c>
      <c r="C41" s="4" t="s">
        <v>27</v>
      </c>
      <c r="D41" s="5" t="s">
        <v>720</v>
      </c>
      <c r="E41" s="4" t="s">
        <v>506</v>
      </c>
      <c r="F41" s="5" t="s">
        <v>713</v>
      </c>
      <c r="G41" s="4" t="s">
        <v>225</v>
      </c>
      <c r="H41" s="4" t="s">
        <v>375</v>
      </c>
      <c r="I41" s="4">
        <v>2025</v>
      </c>
      <c r="J41" s="56">
        <f t="shared" ref="J41" si="14">ROUNDDOWN(K41*L41,0)</f>
        <v>9378343</v>
      </c>
      <c r="K41" s="94">
        <v>559</v>
      </c>
      <c r="L41" s="94">
        <f>VLOOKUP(H41,BUNGA!$C$97:$D$98,2,0)</f>
        <v>16777</v>
      </c>
      <c r="M41" s="4" t="s">
        <v>579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T41" s="24"/>
      <c r="U41" s="25"/>
      <c r="V41" s="24"/>
    </row>
    <row r="42" spans="1:22" s="3" customFormat="1" ht="30" customHeight="1" x14ac:dyDescent="0.2">
      <c r="A42" s="4">
        <f t="shared" si="2"/>
        <v>35</v>
      </c>
      <c r="B42" s="4" t="str">
        <f t="shared" si="0"/>
        <v>0102</v>
      </c>
      <c r="C42" s="4" t="s">
        <v>27</v>
      </c>
      <c r="D42" s="5" t="s">
        <v>787</v>
      </c>
      <c r="E42" s="4" t="s">
        <v>506</v>
      </c>
      <c r="F42" s="5" t="s">
        <v>380</v>
      </c>
      <c r="G42" s="4" t="s">
        <v>225</v>
      </c>
      <c r="H42" s="4" t="s">
        <v>375</v>
      </c>
      <c r="I42" s="4">
        <v>2025</v>
      </c>
      <c r="J42" s="56">
        <f t="shared" ref="J42:J44" si="15">ROUNDDOWN(K42*L42,0)</f>
        <v>257208187</v>
      </c>
      <c r="K42" s="94">
        <v>15331</v>
      </c>
      <c r="L42" s="94">
        <f>VLOOKUP(H42,BUNGA!$C$97:$D$98,2,0)</f>
        <v>16777</v>
      </c>
      <c r="M42" s="4" t="s">
        <v>579</v>
      </c>
      <c r="N42" s="11">
        <v>177045</v>
      </c>
      <c r="O42" s="11">
        <v>23460955</v>
      </c>
      <c r="P42" s="11">
        <v>0</v>
      </c>
      <c r="Q42" s="11">
        <v>0</v>
      </c>
      <c r="R42" s="11">
        <v>0</v>
      </c>
      <c r="T42" s="24"/>
      <c r="U42" s="25"/>
      <c r="V42" s="24"/>
    </row>
    <row r="43" spans="1:22" s="3" customFormat="1" ht="30" customHeight="1" x14ac:dyDescent="0.2">
      <c r="A43" s="4">
        <f t="shared" si="2"/>
        <v>36</v>
      </c>
      <c r="B43" s="4" t="str">
        <f t="shared" si="0"/>
        <v>0102</v>
      </c>
      <c r="C43" s="4" t="s">
        <v>27</v>
      </c>
      <c r="D43" s="5" t="s">
        <v>788</v>
      </c>
      <c r="E43" s="4" t="s">
        <v>506</v>
      </c>
      <c r="F43" s="5" t="s">
        <v>380</v>
      </c>
      <c r="G43" s="4" t="s">
        <v>225</v>
      </c>
      <c r="H43" s="4" t="s">
        <v>376</v>
      </c>
      <c r="I43" s="4">
        <v>2025</v>
      </c>
      <c r="J43" s="56">
        <f t="shared" si="15"/>
        <v>48408235</v>
      </c>
      <c r="K43" s="94">
        <v>48408235</v>
      </c>
      <c r="L43" s="94">
        <f>VLOOKUP(H43,BUNGA!$C$97:$D$98,2,0)</f>
        <v>1</v>
      </c>
      <c r="M43" s="4" t="s">
        <v>578</v>
      </c>
      <c r="N43" s="11">
        <v>115435063</v>
      </c>
      <c r="O43" s="11">
        <v>12997060</v>
      </c>
      <c r="P43" s="11">
        <v>0</v>
      </c>
      <c r="Q43" s="11">
        <v>0</v>
      </c>
      <c r="R43" s="11">
        <v>0</v>
      </c>
      <c r="T43" s="24"/>
      <c r="U43" s="25"/>
      <c r="V43" s="24"/>
    </row>
    <row r="44" spans="1:22" s="3" customFormat="1" ht="30" customHeight="1" x14ac:dyDescent="0.2">
      <c r="A44" s="4">
        <f t="shared" si="2"/>
        <v>37</v>
      </c>
      <c r="B44" s="4" t="str">
        <f t="shared" si="0"/>
        <v>0102</v>
      </c>
      <c r="C44" s="4" t="s">
        <v>27</v>
      </c>
      <c r="D44" s="5" t="s">
        <v>792</v>
      </c>
      <c r="E44" s="4" t="s">
        <v>505</v>
      </c>
      <c r="F44" s="5" t="s">
        <v>380</v>
      </c>
      <c r="G44" s="4" t="s">
        <v>225</v>
      </c>
      <c r="H44" s="4" t="s">
        <v>375</v>
      </c>
      <c r="I44" s="4">
        <v>2025</v>
      </c>
      <c r="J44" s="56">
        <f t="shared" si="15"/>
        <v>15401286</v>
      </c>
      <c r="K44" s="94">
        <v>918</v>
      </c>
      <c r="L44" s="94">
        <f>VLOOKUP(H44,BUNGA!$C$97:$D$98,2,0)</f>
        <v>16777</v>
      </c>
      <c r="M44" s="4" t="s">
        <v>578</v>
      </c>
      <c r="N44" s="11">
        <v>53660730</v>
      </c>
      <c r="O44" s="11">
        <v>0</v>
      </c>
      <c r="P44" s="11">
        <v>0</v>
      </c>
      <c r="Q44" s="11">
        <v>0</v>
      </c>
      <c r="R44" s="11">
        <v>0</v>
      </c>
      <c r="T44" s="24"/>
      <c r="U44" s="25"/>
      <c r="V44" s="24"/>
    </row>
    <row r="45" spans="1:22" s="3" customFormat="1" ht="30" customHeight="1" x14ac:dyDescent="0.2">
      <c r="A45" s="4">
        <f t="shared" si="2"/>
        <v>38</v>
      </c>
      <c r="B45" s="4" t="str">
        <f t="shared" si="0"/>
        <v>0102</v>
      </c>
      <c r="C45" s="4" t="s">
        <v>27</v>
      </c>
      <c r="D45" s="5">
        <v>6309003261</v>
      </c>
      <c r="E45" s="4" t="s">
        <v>505</v>
      </c>
      <c r="F45" s="5" t="s">
        <v>380</v>
      </c>
      <c r="G45" s="4" t="s">
        <v>225</v>
      </c>
      <c r="H45" s="4" t="s">
        <v>376</v>
      </c>
      <c r="I45" s="4">
        <v>2025</v>
      </c>
      <c r="J45" s="56">
        <f t="shared" ref="J45:J47" si="16">ROUNDDOWN(K45*L45,0)</f>
        <v>563263882</v>
      </c>
      <c r="K45" s="94">
        <v>563263882</v>
      </c>
      <c r="L45" s="94">
        <f>VLOOKUP(H45,BUNGA!$C$97:$D$98,2,0)</f>
        <v>1</v>
      </c>
      <c r="M45" s="4" t="s">
        <v>578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T45" s="24"/>
      <c r="U45" s="25"/>
      <c r="V45" s="24"/>
    </row>
    <row r="46" spans="1:22" s="3" customFormat="1" ht="30" customHeight="1" x14ac:dyDescent="0.2">
      <c r="A46" s="4">
        <f t="shared" si="2"/>
        <v>39</v>
      </c>
      <c r="B46" s="4" t="str">
        <f t="shared" si="0"/>
        <v>0102</v>
      </c>
      <c r="C46" s="4" t="s">
        <v>27</v>
      </c>
      <c r="D46" s="5" t="s">
        <v>789</v>
      </c>
      <c r="E46" s="4" t="s">
        <v>505</v>
      </c>
      <c r="F46" s="5" t="s">
        <v>380</v>
      </c>
      <c r="G46" s="4" t="s">
        <v>225</v>
      </c>
      <c r="H46" s="4" t="s">
        <v>375</v>
      </c>
      <c r="I46" s="4">
        <v>2025</v>
      </c>
      <c r="J46" s="56">
        <f t="shared" si="16"/>
        <v>73382598</v>
      </c>
      <c r="K46" s="94">
        <v>4374</v>
      </c>
      <c r="L46" s="94">
        <f>VLOOKUP(H46,BUNGA!$C$97:$D$98,2,0)</f>
        <v>16777</v>
      </c>
      <c r="M46" s="4" t="s">
        <v>578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T46" s="24"/>
      <c r="U46" s="25"/>
      <c r="V46" s="24"/>
    </row>
    <row r="47" spans="1:22" s="3" customFormat="1" ht="30" customHeight="1" x14ac:dyDescent="0.2">
      <c r="A47" s="4">
        <f t="shared" si="2"/>
        <v>40</v>
      </c>
      <c r="B47" s="4" t="str">
        <f t="shared" si="0"/>
        <v>0102</v>
      </c>
      <c r="C47" s="4" t="s">
        <v>27</v>
      </c>
      <c r="D47" s="5" t="s">
        <v>790</v>
      </c>
      <c r="E47" s="4" t="s">
        <v>506</v>
      </c>
      <c r="F47" s="5" t="s">
        <v>380</v>
      </c>
      <c r="G47" s="4" t="s">
        <v>225</v>
      </c>
      <c r="H47" s="4" t="s">
        <v>376</v>
      </c>
      <c r="I47" s="4">
        <v>2025</v>
      </c>
      <c r="J47" s="56">
        <f t="shared" si="16"/>
        <v>88959334</v>
      </c>
      <c r="K47" s="94">
        <v>88959334</v>
      </c>
      <c r="L47" s="94">
        <f>VLOOKUP(H47,BUNGA!$C$97:$D$98,2,0)</f>
        <v>1</v>
      </c>
      <c r="M47" s="4" t="s">
        <v>579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T47" s="24"/>
      <c r="U47" s="25"/>
      <c r="V47" s="24"/>
    </row>
    <row r="48" spans="1:22" s="3" customFormat="1" ht="30" customHeight="1" x14ac:dyDescent="0.2">
      <c r="A48" s="4">
        <f t="shared" si="2"/>
        <v>41</v>
      </c>
      <c r="B48" s="4" t="str">
        <f t="shared" si="0"/>
        <v>0102</v>
      </c>
      <c r="C48" s="4" t="s">
        <v>27</v>
      </c>
      <c r="D48" s="5" t="s">
        <v>791</v>
      </c>
      <c r="E48" s="4" t="s">
        <v>506</v>
      </c>
      <c r="F48" s="5" t="s">
        <v>380</v>
      </c>
      <c r="G48" s="4" t="s">
        <v>225</v>
      </c>
      <c r="H48" s="4" t="s">
        <v>375</v>
      </c>
      <c r="I48" s="4">
        <v>2025</v>
      </c>
      <c r="J48" s="56">
        <f>ROUNDDOWN(K48*L48,0)</f>
        <v>83029373</v>
      </c>
      <c r="K48" s="94">
        <v>4949</v>
      </c>
      <c r="L48" s="94">
        <f>VLOOKUP(H48,BUNGA!$C$97:$D$98,2,0)</f>
        <v>16777</v>
      </c>
      <c r="M48" s="4" t="s">
        <v>579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T48" s="24"/>
      <c r="U48" s="25"/>
      <c r="V48" s="24"/>
    </row>
    <row r="49" spans="1:22" s="3" customFormat="1" ht="30" customHeight="1" x14ac:dyDescent="0.2">
      <c r="A49" s="4">
        <f t="shared" si="2"/>
        <v>42</v>
      </c>
      <c r="B49" s="4" t="str">
        <f t="shared" ref="B49:B51" si="17">VLOOKUP(C49,U:V,2,)</f>
        <v>0109</v>
      </c>
      <c r="C49" s="4" t="s">
        <v>26</v>
      </c>
      <c r="D49" s="5" t="s">
        <v>30</v>
      </c>
      <c r="E49" s="4" t="s">
        <v>505</v>
      </c>
      <c r="F49" s="5" t="s">
        <v>30</v>
      </c>
      <c r="G49" s="4" t="s">
        <v>225</v>
      </c>
      <c r="H49" s="4" t="s">
        <v>376</v>
      </c>
      <c r="I49" s="4">
        <v>2025</v>
      </c>
      <c r="J49" s="56">
        <f t="shared" ref="J49:J51" si="18">ROUNDDOWN(K49*L49,0)</f>
        <v>600000000</v>
      </c>
      <c r="K49" s="94">
        <v>600000000</v>
      </c>
      <c r="L49" s="94">
        <f>VLOOKUP(H49,BUNGA!$C$97:$D$98,2,0)</f>
        <v>1</v>
      </c>
      <c r="M49" s="4" t="s">
        <v>578</v>
      </c>
      <c r="N49" s="11">
        <v>1050000000</v>
      </c>
      <c r="O49" s="11">
        <v>500000000</v>
      </c>
      <c r="P49" s="11">
        <v>0</v>
      </c>
      <c r="Q49" s="11">
        <v>0</v>
      </c>
      <c r="R49" s="11">
        <v>0</v>
      </c>
      <c r="T49" s="24"/>
      <c r="U49" s="25"/>
      <c r="V49" s="24"/>
    </row>
    <row r="50" spans="1:22" s="3" customFormat="1" ht="30" customHeight="1" x14ac:dyDescent="0.2">
      <c r="A50" s="4">
        <f t="shared" si="2"/>
        <v>43</v>
      </c>
      <c r="B50" s="4" t="str">
        <f t="shared" si="17"/>
        <v>0101</v>
      </c>
      <c r="C50" s="4" t="s">
        <v>28</v>
      </c>
      <c r="D50" s="5" t="s">
        <v>30</v>
      </c>
      <c r="E50" s="4" t="s">
        <v>505</v>
      </c>
      <c r="F50" s="5" t="s">
        <v>1072</v>
      </c>
      <c r="G50" s="4" t="s">
        <v>225</v>
      </c>
      <c r="H50" s="4" t="s">
        <v>376</v>
      </c>
      <c r="I50" s="4">
        <v>2021</v>
      </c>
      <c r="J50" s="56">
        <f t="shared" si="18"/>
        <v>50000000</v>
      </c>
      <c r="K50" s="94">
        <v>50000000</v>
      </c>
      <c r="L50" s="94">
        <f>VLOOKUP(H50,BUNGA!$C$97:$D$98,2,0)</f>
        <v>1</v>
      </c>
      <c r="M50" s="4" t="s">
        <v>578</v>
      </c>
      <c r="N50" s="11">
        <v>590000000</v>
      </c>
      <c r="O50" s="11">
        <v>590000000</v>
      </c>
      <c r="P50" s="11">
        <v>590000000</v>
      </c>
      <c r="Q50" s="11">
        <v>590000000</v>
      </c>
      <c r="R50" s="11">
        <v>590000000</v>
      </c>
      <c r="T50" s="24"/>
      <c r="U50" s="25"/>
      <c r="V50" s="24"/>
    </row>
    <row r="51" spans="1:22" s="3" customFormat="1" ht="30" customHeight="1" x14ac:dyDescent="0.2">
      <c r="A51" s="4">
        <f t="shared" si="2"/>
        <v>44</v>
      </c>
      <c r="B51" s="4" t="str">
        <f t="shared" si="17"/>
        <v>0101</v>
      </c>
      <c r="C51" s="4" t="s">
        <v>28</v>
      </c>
      <c r="D51" s="5" t="s">
        <v>30</v>
      </c>
      <c r="E51" s="4" t="s">
        <v>505</v>
      </c>
      <c r="F51" s="5" t="s">
        <v>30</v>
      </c>
      <c r="G51" s="4" t="s">
        <v>225</v>
      </c>
      <c r="H51" s="4" t="s">
        <v>376</v>
      </c>
      <c r="I51" s="4">
        <v>2025</v>
      </c>
      <c r="J51" s="56">
        <f t="shared" si="18"/>
        <v>250000000</v>
      </c>
      <c r="K51" s="94">
        <v>250000000</v>
      </c>
      <c r="L51" s="94">
        <f>VLOOKUP(H51,BUNGA!$C$97:$D$98,2,0)</f>
        <v>1</v>
      </c>
      <c r="M51" s="4" t="s">
        <v>578</v>
      </c>
      <c r="N51" s="11">
        <v>375000000</v>
      </c>
      <c r="O51" s="11">
        <v>152575000</v>
      </c>
      <c r="P51" s="11">
        <v>102575000</v>
      </c>
      <c r="Q51" s="11">
        <v>325750000</v>
      </c>
      <c r="R51" s="11">
        <v>100000000</v>
      </c>
      <c r="T51" s="24"/>
      <c r="U51" s="25"/>
      <c r="V51" s="24"/>
    </row>
    <row r="52" spans="1:22" s="3" customFormat="1" ht="30" customHeight="1" x14ac:dyDescent="0.2">
      <c r="A52" s="4"/>
      <c r="B52" s="4"/>
      <c r="C52" s="4"/>
      <c r="D52" s="5"/>
      <c r="E52" s="4"/>
      <c r="F52" s="5"/>
      <c r="G52" s="4"/>
      <c r="H52" s="4"/>
      <c r="I52" s="4"/>
      <c r="J52" s="56"/>
      <c r="K52" s="94"/>
      <c r="L52" s="94"/>
      <c r="M52" s="4"/>
      <c r="N52" s="11"/>
      <c r="O52" s="11"/>
      <c r="P52" s="11"/>
      <c r="Q52" s="11"/>
      <c r="R52" s="11"/>
      <c r="T52" s="24"/>
      <c r="U52" s="25"/>
      <c r="V52" s="24"/>
    </row>
    <row r="53" spans="1:22" s="3" customFormat="1" ht="30" customHeight="1" x14ac:dyDescent="0.2">
      <c r="A53" s="4"/>
      <c r="B53" s="4"/>
      <c r="C53" s="4"/>
      <c r="D53" s="5"/>
      <c r="E53" s="4"/>
      <c r="F53" s="5"/>
      <c r="G53" s="4"/>
      <c r="H53" s="4"/>
      <c r="I53" s="4"/>
      <c r="J53" s="56"/>
      <c r="K53" s="94"/>
      <c r="L53" s="94"/>
      <c r="M53" s="4"/>
      <c r="N53" s="11"/>
      <c r="O53" s="11"/>
      <c r="P53" s="11"/>
      <c r="Q53" s="11"/>
      <c r="R53" s="11"/>
      <c r="T53" s="24"/>
      <c r="U53" s="25"/>
      <c r="V53" s="24"/>
    </row>
    <row r="54" spans="1:22" s="3" customFormat="1" ht="30" customHeight="1" x14ac:dyDescent="0.2">
      <c r="A54" s="4"/>
      <c r="B54" s="4"/>
      <c r="C54" s="4"/>
      <c r="D54" s="5"/>
      <c r="E54" s="4"/>
      <c r="F54" s="5"/>
      <c r="G54" s="4"/>
      <c r="H54" s="4"/>
      <c r="I54" s="4"/>
      <c r="J54" s="56"/>
      <c r="K54" s="94"/>
      <c r="L54" s="94"/>
      <c r="M54" s="4"/>
      <c r="N54" s="11"/>
      <c r="O54" s="11"/>
      <c r="P54" s="11"/>
      <c r="Q54" s="11"/>
      <c r="R54" s="11"/>
      <c r="T54" s="24"/>
      <c r="U54" s="25"/>
      <c r="V54" s="24"/>
    </row>
    <row r="55" spans="1:22" s="3" customFormat="1" ht="30" customHeight="1" x14ac:dyDescent="0.2">
      <c r="A55" s="4"/>
      <c r="B55" s="4"/>
      <c r="C55" s="4"/>
      <c r="D55" s="5"/>
      <c r="E55" s="4"/>
      <c r="F55" s="5"/>
      <c r="G55" s="4"/>
      <c r="H55" s="4"/>
      <c r="I55" s="4"/>
      <c r="J55" s="56"/>
      <c r="K55" s="94"/>
      <c r="L55" s="94"/>
      <c r="M55" s="4"/>
      <c r="N55" s="11"/>
      <c r="O55" s="11"/>
      <c r="P55" s="11"/>
      <c r="Q55" s="11"/>
      <c r="R55" s="11"/>
      <c r="T55" s="24"/>
      <c r="U55" s="25"/>
      <c r="V55" s="24"/>
    </row>
    <row r="56" spans="1:22" s="3" customFormat="1" ht="30" customHeight="1" x14ac:dyDescent="0.2">
      <c r="A56" s="4"/>
      <c r="B56" s="4"/>
      <c r="C56" s="4"/>
      <c r="D56" s="5"/>
      <c r="E56" s="4"/>
      <c r="F56" s="5"/>
      <c r="G56" s="4"/>
      <c r="H56" s="4"/>
      <c r="I56" s="4"/>
      <c r="J56" s="56"/>
      <c r="K56" s="94"/>
      <c r="L56" s="94"/>
      <c r="M56" s="4"/>
      <c r="N56" s="11"/>
      <c r="O56" s="11"/>
      <c r="P56" s="11"/>
      <c r="Q56" s="11"/>
      <c r="R56" s="11"/>
      <c r="T56" s="24"/>
      <c r="U56" s="25"/>
      <c r="V56" s="24"/>
    </row>
    <row r="57" spans="1:22" s="3" customFormat="1" ht="30" customHeight="1" x14ac:dyDescent="0.2">
      <c r="A57" s="4"/>
      <c r="B57" s="4"/>
      <c r="C57" s="4"/>
      <c r="D57" s="5"/>
      <c r="E57" s="4"/>
      <c r="F57" s="5"/>
      <c r="G57" s="4"/>
      <c r="H57" s="4"/>
      <c r="I57" s="4"/>
      <c r="J57" s="56"/>
      <c r="K57" s="94"/>
      <c r="L57" s="94"/>
      <c r="M57" s="4"/>
      <c r="N57" s="11"/>
      <c r="O57" s="11"/>
      <c r="P57" s="11"/>
      <c r="Q57" s="11"/>
      <c r="R57" s="11"/>
      <c r="T57" s="24"/>
      <c r="U57" s="25"/>
      <c r="V57" s="24"/>
    </row>
    <row r="58" spans="1:22" s="3" customFormat="1" ht="30" customHeight="1" x14ac:dyDescent="0.2">
      <c r="A58" s="4"/>
      <c r="B58" s="4"/>
      <c r="C58" s="4"/>
      <c r="D58" s="5"/>
      <c r="E58" s="4"/>
      <c r="F58" s="5"/>
      <c r="G58" s="4"/>
      <c r="H58" s="4"/>
      <c r="I58" s="4"/>
      <c r="J58" s="56"/>
      <c r="K58" s="94"/>
      <c r="L58" s="94"/>
      <c r="M58" s="4"/>
      <c r="N58" s="11"/>
      <c r="O58" s="11"/>
      <c r="P58" s="11"/>
      <c r="Q58" s="11"/>
      <c r="R58" s="11"/>
      <c r="T58" s="24"/>
      <c r="U58" s="25"/>
      <c r="V58" s="24"/>
    </row>
    <row r="59" spans="1:22" s="3" customFormat="1" ht="30" customHeight="1" x14ac:dyDescent="0.2">
      <c r="A59" s="4"/>
      <c r="B59" s="4"/>
      <c r="C59" s="4"/>
      <c r="D59" s="5"/>
      <c r="E59" s="4"/>
      <c r="F59" s="5"/>
      <c r="G59" s="4"/>
      <c r="H59" s="4"/>
      <c r="I59" s="4"/>
      <c r="J59" s="56"/>
      <c r="K59" s="94"/>
      <c r="L59" s="94"/>
      <c r="M59" s="4"/>
      <c r="N59" s="11"/>
      <c r="O59" s="11"/>
      <c r="P59" s="11"/>
      <c r="Q59" s="11"/>
      <c r="R59" s="11"/>
      <c r="T59" s="24"/>
      <c r="U59" s="25"/>
      <c r="V59" s="24"/>
    </row>
    <row r="60" spans="1:22" s="3" customFormat="1" ht="30" customHeight="1" x14ac:dyDescent="0.2">
      <c r="A60" s="4"/>
      <c r="B60" s="4"/>
      <c r="C60" s="4"/>
      <c r="D60" s="5"/>
      <c r="E60" s="4"/>
      <c r="F60" s="5"/>
      <c r="G60" s="4"/>
      <c r="H60" s="4"/>
      <c r="I60" s="4"/>
      <c r="J60" s="56"/>
      <c r="K60" s="94"/>
      <c r="L60" s="94"/>
      <c r="M60" s="4"/>
      <c r="N60" s="11"/>
      <c r="O60" s="11"/>
      <c r="P60" s="11"/>
      <c r="Q60" s="11"/>
      <c r="R60" s="11"/>
      <c r="T60" s="24"/>
      <c r="U60" s="25"/>
      <c r="V60" s="24"/>
    </row>
    <row r="61" spans="1:22" s="3" customFormat="1" ht="30" customHeight="1" x14ac:dyDescent="0.2">
      <c r="A61" s="4"/>
      <c r="B61" s="4"/>
      <c r="C61" s="4"/>
      <c r="D61" s="5"/>
      <c r="E61" s="4"/>
      <c r="F61" s="5"/>
      <c r="G61" s="4"/>
      <c r="H61" s="4"/>
      <c r="I61" s="4"/>
      <c r="J61" s="56"/>
      <c r="K61" s="94"/>
      <c r="L61" s="94"/>
      <c r="M61" s="4"/>
      <c r="N61" s="11"/>
      <c r="O61" s="11"/>
      <c r="P61" s="11"/>
      <c r="Q61" s="11"/>
      <c r="R61" s="11"/>
      <c r="T61" s="24"/>
      <c r="U61" s="25"/>
      <c r="V61" s="24"/>
    </row>
    <row r="62" spans="1:22" s="3" customFormat="1" ht="30" customHeight="1" x14ac:dyDescent="0.2">
      <c r="A62" s="4"/>
      <c r="B62" s="4"/>
      <c r="C62" s="4"/>
      <c r="D62" s="5"/>
      <c r="E62" s="4"/>
      <c r="F62" s="5"/>
      <c r="G62" s="4"/>
      <c r="H62" s="4"/>
      <c r="I62" s="4"/>
      <c r="J62" s="56"/>
      <c r="K62" s="94"/>
      <c r="L62" s="94"/>
      <c r="M62" s="4"/>
      <c r="N62" s="11"/>
      <c r="O62" s="11"/>
      <c r="P62" s="11"/>
      <c r="Q62" s="11"/>
      <c r="R62" s="11"/>
      <c r="T62" s="24"/>
      <c r="U62" s="25"/>
      <c r="V62" s="24"/>
    </row>
    <row r="63" spans="1:22" s="3" customFormat="1" ht="30" customHeight="1" x14ac:dyDescent="0.2">
      <c r="A63" s="4"/>
      <c r="B63" s="4"/>
      <c r="C63" s="4"/>
      <c r="D63" s="5"/>
      <c r="E63" s="4"/>
      <c r="F63" s="5"/>
      <c r="G63" s="4"/>
      <c r="H63" s="4"/>
      <c r="I63" s="4"/>
      <c r="J63" s="56"/>
      <c r="K63" s="94"/>
      <c r="L63" s="94"/>
      <c r="M63" s="4"/>
      <c r="N63" s="11"/>
      <c r="O63" s="11"/>
      <c r="P63" s="11"/>
      <c r="Q63" s="11"/>
      <c r="R63" s="11"/>
      <c r="T63" s="24"/>
      <c r="U63" s="25"/>
      <c r="V63" s="24"/>
    </row>
    <row r="64" spans="1:22" s="3" customFormat="1" ht="30" customHeight="1" x14ac:dyDescent="0.2">
      <c r="A64" s="4"/>
      <c r="B64" s="4"/>
      <c r="C64" s="4"/>
      <c r="D64" s="5"/>
      <c r="E64" s="4"/>
      <c r="F64" s="5"/>
      <c r="G64" s="4"/>
      <c r="H64" s="4"/>
      <c r="I64" s="4"/>
      <c r="J64" s="56"/>
      <c r="K64" s="94"/>
      <c r="L64" s="94"/>
      <c r="M64" s="4"/>
      <c r="N64" s="11"/>
      <c r="O64" s="11"/>
      <c r="P64" s="11"/>
      <c r="Q64" s="11"/>
      <c r="R64" s="11"/>
      <c r="T64" s="24"/>
      <c r="U64" s="25"/>
      <c r="V64" s="24"/>
    </row>
    <row r="65" spans="1:22" s="3" customFormat="1" ht="30" customHeight="1" x14ac:dyDescent="0.2">
      <c r="A65" s="4"/>
      <c r="B65" s="4"/>
      <c r="C65" s="4"/>
      <c r="D65" s="5"/>
      <c r="E65" s="4"/>
      <c r="F65" s="5"/>
      <c r="G65" s="4"/>
      <c r="H65" s="4"/>
      <c r="I65" s="4"/>
      <c r="J65" s="56"/>
      <c r="K65" s="94"/>
      <c r="L65" s="94"/>
      <c r="M65" s="4"/>
      <c r="N65" s="11"/>
      <c r="O65" s="11"/>
      <c r="P65" s="11"/>
      <c r="Q65" s="11"/>
      <c r="R65" s="11"/>
      <c r="T65" s="24"/>
      <c r="U65" s="25"/>
      <c r="V65" s="24"/>
    </row>
    <row r="66" spans="1:22" s="3" customFormat="1" ht="30" customHeight="1" x14ac:dyDescent="0.2">
      <c r="A66" s="4"/>
      <c r="B66" s="4"/>
      <c r="C66" s="4"/>
      <c r="D66" s="5"/>
      <c r="E66" s="4"/>
      <c r="F66" s="5"/>
      <c r="G66" s="4"/>
      <c r="H66" s="4"/>
      <c r="I66" s="4"/>
      <c r="J66" s="56"/>
      <c r="K66" s="94"/>
      <c r="L66" s="94"/>
      <c r="M66" s="4"/>
      <c r="N66" s="11"/>
      <c r="O66" s="11"/>
      <c r="P66" s="11"/>
      <c r="Q66" s="11"/>
      <c r="R66" s="11"/>
      <c r="T66" s="24"/>
      <c r="U66" s="25"/>
      <c r="V66" s="24"/>
    </row>
    <row r="67" spans="1:22" s="3" customFormat="1" ht="30" customHeight="1" x14ac:dyDescent="0.2">
      <c r="A67" s="4"/>
      <c r="B67" s="4"/>
      <c r="C67" s="4"/>
      <c r="D67" s="5"/>
      <c r="E67" s="4"/>
      <c r="F67" s="5"/>
      <c r="G67" s="4"/>
      <c r="H67" s="4"/>
      <c r="I67" s="4"/>
      <c r="J67" s="56"/>
      <c r="K67" s="94"/>
      <c r="L67" s="94"/>
      <c r="M67" s="4"/>
      <c r="N67" s="11"/>
      <c r="O67" s="11"/>
      <c r="P67" s="11"/>
      <c r="Q67" s="11"/>
      <c r="R67" s="11"/>
      <c r="T67" s="24"/>
      <c r="U67" s="25"/>
      <c r="V67" s="24"/>
    </row>
    <row r="68" spans="1:22" s="3" customFormat="1" ht="30" customHeight="1" x14ac:dyDescent="0.2">
      <c r="A68" s="4"/>
      <c r="B68" s="4"/>
      <c r="C68" s="4"/>
      <c r="D68" s="5"/>
      <c r="E68" s="4"/>
      <c r="F68" s="5"/>
      <c r="G68" s="4"/>
      <c r="H68" s="4"/>
      <c r="I68" s="4"/>
      <c r="J68" s="56"/>
      <c r="K68" s="94"/>
      <c r="L68" s="94"/>
      <c r="M68" s="4"/>
      <c r="N68" s="11"/>
      <c r="O68" s="11"/>
      <c r="P68" s="11"/>
      <c r="Q68" s="11"/>
      <c r="R68" s="11"/>
      <c r="T68" s="24"/>
      <c r="U68" s="25"/>
      <c r="V68" s="24"/>
    </row>
    <row r="69" spans="1:22" s="3" customFormat="1" ht="30" customHeight="1" x14ac:dyDescent="0.2">
      <c r="A69" s="4"/>
      <c r="B69" s="4"/>
      <c r="C69" s="4"/>
      <c r="D69" s="5"/>
      <c r="E69" s="4"/>
      <c r="F69" s="5"/>
      <c r="G69" s="4"/>
      <c r="H69" s="4"/>
      <c r="I69" s="4"/>
      <c r="J69" s="56"/>
      <c r="K69" s="94"/>
      <c r="L69" s="94"/>
      <c r="M69" s="4"/>
      <c r="N69" s="11"/>
      <c r="O69" s="11"/>
      <c r="P69" s="11"/>
      <c r="Q69" s="11"/>
      <c r="R69" s="11"/>
      <c r="T69" s="24"/>
      <c r="U69" s="25"/>
      <c r="V69" s="24"/>
    </row>
    <row r="70" spans="1:22" s="3" customFormat="1" ht="30" customHeight="1" x14ac:dyDescent="0.2">
      <c r="A70" s="4"/>
      <c r="B70" s="4"/>
      <c r="C70" s="4"/>
      <c r="D70" s="5"/>
      <c r="E70" s="4"/>
      <c r="F70" s="5"/>
      <c r="G70" s="4"/>
      <c r="H70" s="4"/>
      <c r="I70" s="4"/>
      <c r="J70" s="56"/>
      <c r="K70" s="94"/>
      <c r="L70" s="94"/>
      <c r="M70" s="4"/>
      <c r="N70" s="11"/>
      <c r="O70" s="11"/>
      <c r="P70" s="11"/>
      <c r="Q70" s="11"/>
      <c r="R70" s="11"/>
      <c r="T70" s="24"/>
      <c r="U70" s="25"/>
      <c r="V70" s="24"/>
    </row>
    <row r="71" spans="1:22" s="3" customFormat="1" x14ac:dyDescent="0.2">
      <c r="A71" s="4"/>
      <c r="B71" s="4" t="str">
        <f t="shared" ref="B71:B100" si="19">VLOOKUP(C71,U:V,2,)</f>
        <v>0104</v>
      </c>
      <c r="C71" s="4" t="s">
        <v>16</v>
      </c>
      <c r="D71" s="5" t="s">
        <v>536</v>
      </c>
      <c r="E71" s="4"/>
      <c r="F71" s="5" t="s">
        <v>535</v>
      </c>
      <c r="G71" s="4" t="s">
        <v>225</v>
      </c>
      <c r="H71" s="4" t="s">
        <v>376</v>
      </c>
      <c r="I71" s="4">
        <v>2020</v>
      </c>
      <c r="J71" s="6" t="s">
        <v>53</v>
      </c>
      <c r="K71" s="6" t="s">
        <v>53</v>
      </c>
      <c r="L71" s="6" t="s">
        <v>53</v>
      </c>
      <c r="M71" s="4" t="s">
        <v>30</v>
      </c>
      <c r="N71" s="11">
        <v>0</v>
      </c>
      <c r="O71" s="11">
        <v>0</v>
      </c>
      <c r="P71" s="11">
        <v>0</v>
      </c>
      <c r="Q71" s="11">
        <v>670000000</v>
      </c>
      <c r="R71" s="11">
        <v>670000000</v>
      </c>
      <c r="T71" s="24"/>
      <c r="U71" s="25"/>
      <c r="V71" s="24"/>
    </row>
    <row r="72" spans="1:22" s="3" customFormat="1" x14ac:dyDescent="0.2">
      <c r="A72" s="4"/>
      <c r="B72" s="4" t="str">
        <f t="shared" si="19"/>
        <v>0104</v>
      </c>
      <c r="C72" s="4" t="s">
        <v>16</v>
      </c>
      <c r="D72" s="5" t="s">
        <v>537</v>
      </c>
      <c r="E72" s="4"/>
      <c r="F72" s="5" t="s">
        <v>535</v>
      </c>
      <c r="G72" s="4" t="s">
        <v>225</v>
      </c>
      <c r="H72" s="4" t="s">
        <v>376</v>
      </c>
      <c r="I72" s="4">
        <v>2024</v>
      </c>
      <c r="J72" s="6" t="s">
        <v>53</v>
      </c>
      <c r="K72" s="6" t="s">
        <v>53</v>
      </c>
      <c r="L72" s="6" t="s">
        <v>53</v>
      </c>
      <c r="M72" s="4" t="s">
        <v>30</v>
      </c>
      <c r="N72" s="11">
        <v>2000000000</v>
      </c>
      <c r="O72" s="11">
        <v>0</v>
      </c>
      <c r="P72" s="11">
        <v>0</v>
      </c>
      <c r="Q72" s="11">
        <v>0</v>
      </c>
      <c r="R72" s="11">
        <v>0</v>
      </c>
      <c r="T72" s="24"/>
      <c r="U72" s="25"/>
      <c r="V72" s="24"/>
    </row>
    <row r="73" spans="1:22" s="3" customFormat="1" x14ac:dyDescent="0.2">
      <c r="A73" s="4"/>
      <c r="B73" s="4" t="str">
        <f t="shared" si="19"/>
        <v>0104</v>
      </c>
      <c r="C73" s="4" t="s">
        <v>16</v>
      </c>
      <c r="D73" s="5" t="s">
        <v>538</v>
      </c>
      <c r="E73" s="23"/>
      <c r="F73" s="5" t="s">
        <v>535</v>
      </c>
      <c r="G73" s="4" t="s">
        <v>225</v>
      </c>
      <c r="H73" s="4" t="s">
        <v>376</v>
      </c>
      <c r="I73" s="4">
        <v>2024</v>
      </c>
      <c r="J73" s="6" t="s">
        <v>53</v>
      </c>
      <c r="K73" s="6" t="s">
        <v>53</v>
      </c>
      <c r="L73" s="6" t="s">
        <v>53</v>
      </c>
      <c r="M73" s="4" t="s">
        <v>30</v>
      </c>
      <c r="N73" s="11">
        <v>2000000000</v>
      </c>
      <c r="O73" s="11">
        <v>0</v>
      </c>
      <c r="P73" s="11">
        <v>0</v>
      </c>
      <c r="Q73" s="11">
        <v>0</v>
      </c>
      <c r="R73" s="11">
        <v>0</v>
      </c>
      <c r="T73" s="24"/>
      <c r="U73" s="25"/>
      <c r="V73" s="24"/>
    </row>
    <row r="74" spans="1:22" s="3" customFormat="1" x14ac:dyDescent="0.2">
      <c r="A74" s="4"/>
      <c r="B74" s="4" t="str">
        <f t="shared" si="19"/>
        <v>0104</v>
      </c>
      <c r="C74" s="4" t="s">
        <v>16</v>
      </c>
      <c r="D74" s="5" t="s">
        <v>539</v>
      </c>
      <c r="E74" s="23"/>
      <c r="F74" s="5" t="s">
        <v>535</v>
      </c>
      <c r="G74" s="4" t="s">
        <v>225</v>
      </c>
      <c r="H74" s="4" t="s">
        <v>376</v>
      </c>
      <c r="I74" s="4">
        <v>2024</v>
      </c>
      <c r="J74" s="6" t="s">
        <v>53</v>
      </c>
      <c r="K74" s="6" t="s">
        <v>53</v>
      </c>
      <c r="L74" s="6" t="s">
        <v>53</v>
      </c>
      <c r="M74" s="4" t="s">
        <v>30</v>
      </c>
      <c r="N74" s="11">
        <v>659399671</v>
      </c>
      <c r="O74" s="11">
        <v>0</v>
      </c>
      <c r="P74" s="11">
        <v>0</v>
      </c>
      <c r="Q74" s="11">
        <v>0</v>
      </c>
      <c r="R74" s="11">
        <v>0</v>
      </c>
      <c r="T74" s="24"/>
      <c r="U74" s="25"/>
      <c r="V74" s="24"/>
    </row>
    <row r="75" spans="1:22" s="3" customFormat="1" x14ac:dyDescent="0.2">
      <c r="A75" s="4"/>
      <c r="B75" s="4" t="str">
        <f t="shared" si="19"/>
        <v>0102</v>
      </c>
      <c r="C75" s="4" t="s">
        <v>27</v>
      </c>
      <c r="D75" s="5" t="s">
        <v>470</v>
      </c>
      <c r="E75" s="4"/>
      <c r="F75" s="5" t="s">
        <v>468</v>
      </c>
      <c r="G75" s="4" t="s">
        <v>225</v>
      </c>
      <c r="H75" s="4" t="s">
        <v>376</v>
      </c>
      <c r="I75" s="4">
        <v>2021</v>
      </c>
      <c r="J75" s="6" t="s">
        <v>53</v>
      </c>
      <c r="K75" s="6" t="s">
        <v>53</v>
      </c>
      <c r="L75" s="6" t="s">
        <v>53</v>
      </c>
      <c r="M75" s="4" t="s">
        <v>30</v>
      </c>
      <c r="N75" s="11">
        <v>0</v>
      </c>
      <c r="O75" s="11">
        <v>0</v>
      </c>
      <c r="P75" s="11">
        <v>0</v>
      </c>
      <c r="Q75" s="11">
        <v>540490682</v>
      </c>
      <c r="R75" s="11">
        <v>0</v>
      </c>
      <c r="T75" s="24"/>
      <c r="U75" s="25"/>
      <c r="V75" s="24"/>
    </row>
    <row r="76" spans="1:22" s="3" customFormat="1" x14ac:dyDescent="0.2">
      <c r="A76" s="4"/>
      <c r="B76" s="4" t="str">
        <f t="shared" si="19"/>
        <v>0102</v>
      </c>
      <c r="C76" s="4" t="s">
        <v>27</v>
      </c>
      <c r="D76" s="5" t="s">
        <v>471</v>
      </c>
      <c r="E76" s="4"/>
      <c r="F76" s="5" t="s">
        <v>468</v>
      </c>
      <c r="G76" s="4" t="s">
        <v>225</v>
      </c>
      <c r="H76" s="4" t="s">
        <v>376</v>
      </c>
      <c r="I76" s="4">
        <v>2021</v>
      </c>
      <c r="J76" s="6" t="s">
        <v>53</v>
      </c>
      <c r="K76" s="6" t="s">
        <v>53</v>
      </c>
      <c r="L76" s="6" t="s">
        <v>53</v>
      </c>
      <c r="M76" s="4" t="s">
        <v>30</v>
      </c>
      <c r="N76" s="11">
        <v>0</v>
      </c>
      <c r="O76" s="11">
        <v>0</v>
      </c>
      <c r="P76" s="11">
        <v>0</v>
      </c>
      <c r="Q76" s="11">
        <v>76715898</v>
      </c>
      <c r="R76" s="11">
        <v>0</v>
      </c>
      <c r="T76" s="24"/>
      <c r="U76" s="25"/>
      <c r="V76" s="24"/>
    </row>
    <row r="77" spans="1:22" s="3" customFormat="1" x14ac:dyDescent="0.2">
      <c r="A77" s="4"/>
      <c r="B77" s="4" t="str">
        <f t="shared" si="19"/>
        <v>0102</v>
      </c>
      <c r="C77" s="4" t="s">
        <v>27</v>
      </c>
      <c r="D77" s="5" t="s">
        <v>472</v>
      </c>
      <c r="E77" s="4"/>
      <c r="F77" s="5" t="s">
        <v>468</v>
      </c>
      <c r="G77" s="4" t="s">
        <v>225</v>
      </c>
      <c r="H77" s="4" t="s">
        <v>376</v>
      </c>
      <c r="I77" s="4">
        <v>2021</v>
      </c>
      <c r="J77" s="6" t="s">
        <v>53</v>
      </c>
      <c r="K77" s="6" t="s">
        <v>53</v>
      </c>
      <c r="L77" s="6" t="s">
        <v>53</v>
      </c>
      <c r="M77" s="4" t="s">
        <v>30</v>
      </c>
      <c r="N77" s="11">
        <v>0</v>
      </c>
      <c r="O77" s="11">
        <v>0</v>
      </c>
      <c r="P77" s="11">
        <v>0</v>
      </c>
      <c r="Q77" s="11">
        <v>112079254</v>
      </c>
      <c r="R77" s="11">
        <v>0</v>
      </c>
      <c r="T77" s="24"/>
      <c r="U77" s="25"/>
      <c r="V77" s="24"/>
    </row>
    <row r="78" spans="1:22" s="3" customFormat="1" x14ac:dyDescent="0.2">
      <c r="A78" s="4"/>
      <c r="B78" s="4" t="str">
        <f t="shared" si="19"/>
        <v>0102</v>
      </c>
      <c r="C78" s="4" t="s">
        <v>27</v>
      </c>
      <c r="D78" s="5" t="s">
        <v>473</v>
      </c>
      <c r="E78" s="4"/>
      <c r="F78" s="5" t="s">
        <v>468</v>
      </c>
      <c r="G78" s="4" t="s">
        <v>225</v>
      </c>
      <c r="H78" s="4" t="s">
        <v>376</v>
      </c>
      <c r="I78" s="4">
        <v>2020</v>
      </c>
      <c r="J78" s="6" t="s">
        <v>53</v>
      </c>
      <c r="K78" s="6" t="s">
        <v>53</v>
      </c>
      <c r="L78" s="6" t="s">
        <v>53</v>
      </c>
      <c r="M78" s="4" t="s">
        <v>30</v>
      </c>
      <c r="N78" s="11">
        <v>0</v>
      </c>
      <c r="O78" s="11">
        <v>0</v>
      </c>
      <c r="P78" s="11">
        <v>0</v>
      </c>
      <c r="Q78" s="11">
        <v>0</v>
      </c>
      <c r="R78" s="11">
        <v>23988408</v>
      </c>
      <c r="T78" s="24"/>
      <c r="U78" s="25"/>
      <c r="V78" s="24"/>
    </row>
    <row r="79" spans="1:22" s="3" customFormat="1" x14ac:dyDescent="0.2">
      <c r="A79" s="4"/>
      <c r="B79" s="4" t="str">
        <f t="shared" si="19"/>
        <v>0102</v>
      </c>
      <c r="C79" s="4" t="s">
        <v>27</v>
      </c>
      <c r="D79" s="5" t="s">
        <v>469</v>
      </c>
      <c r="E79" s="4"/>
      <c r="F79" s="5" t="s">
        <v>468</v>
      </c>
      <c r="G79" s="4" t="s">
        <v>225</v>
      </c>
      <c r="H79" s="4" t="s">
        <v>376</v>
      </c>
      <c r="I79" s="4">
        <v>2021</v>
      </c>
      <c r="J79" s="6" t="s">
        <v>53</v>
      </c>
      <c r="K79" s="6" t="s">
        <v>53</v>
      </c>
      <c r="L79" s="6" t="s">
        <v>53</v>
      </c>
      <c r="M79" s="4" t="s">
        <v>30</v>
      </c>
      <c r="N79" s="11">
        <v>0</v>
      </c>
      <c r="O79" s="11">
        <v>0</v>
      </c>
      <c r="P79" s="11">
        <v>0</v>
      </c>
      <c r="Q79" s="11">
        <v>168535506</v>
      </c>
      <c r="R79" s="11">
        <v>0</v>
      </c>
      <c r="T79" s="24"/>
      <c r="U79" s="25"/>
      <c r="V79" s="24"/>
    </row>
    <row r="80" spans="1:22" s="3" customFormat="1" x14ac:dyDescent="0.2">
      <c r="A80" s="4"/>
      <c r="B80" s="4" t="str">
        <f t="shared" si="19"/>
        <v>0104</v>
      </c>
      <c r="C80" s="4" t="s">
        <v>16</v>
      </c>
      <c r="D80" s="5" t="s">
        <v>768</v>
      </c>
      <c r="E80" s="4"/>
      <c r="F80" s="5" t="s">
        <v>378</v>
      </c>
      <c r="G80" s="4" t="s">
        <v>225</v>
      </c>
      <c r="H80" s="4" t="s">
        <v>376</v>
      </c>
      <c r="I80" s="4">
        <v>2025</v>
      </c>
      <c r="J80" s="6" t="s">
        <v>53</v>
      </c>
      <c r="K80" s="6" t="s">
        <v>53</v>
      </c>
      <c r="L80" s="6" t="s">
        <v>53</v>
      </c>
      <c r="M80" s="4" t="s">
        <v>30</v>
      </c>
      <c r="N80" s="11">
        <v>0</v>
      </c>
      <c r="O80" s="11">
        <v>0</v>
      </c>
      <c r="P80" s="11">
        <v>0</v>
      </c>
      <c r="Q80" s="11">
        <v>2125043811</v>
      </c>
      <c r="R80" s="11">
        <v>2065000000</v>
      </c>
      <c r="T80" s="24"/>
      <c r="U80" s="25"/>
      <c r="V80" s="24"/>
    </row>
    <row r="81" spans="1:22" x14ac:dyDescent="0.15">
      <c r="B81" s="4" t="str">
        <f t="shared" si="19"/>
        <v>0104</v>
      </c>
      <c r="C81" s="4" t="s">
        <v>16</v>
      </c>
      <c r="D81" s="5" t="s">
        <v>768</v>
      </c>
      <c r="E81" s="4"/>
      <c r="F81" s="5" t="s">
        <v>378</v>
      </c>
      <c r="G81" s="4" t="s">
        <v>225</v>
      </c>
      <c r="H81" s="4" t="s">
        <v>376</v>
      </c>
      <c r="I81" s="4">
        <v>2025</v>
      </c>
      <c r="J81" s="6" t="s">
        <v>53</v>
      </c>
      <c r="K81" s="6" t="s">
        <v>53</v>
      </c>
      <c r="L81" s="6" t="s">
        <v>53</v>
      </c>
      <c r="M81" s="4" t="s">
        <v>30</v>
      </c>
      <c r="N81" s="11">
        <v>0</v>
      </c>
      <c r="O81" s="11">
        <v>0</v>
      </c>
      <c r="P81" s="11">
        <v>0</v>
      </c>
      <c r="Q81" s="11">
        <v>0</v>
      </c>
      <c r="R81" s="11">
        <v>1032000000</v>
      </c>
    </row>
    <row r="82" spans="1:22" s="3" customFormat="1" x14ac:dyDescent="0.2">
      <c r="A82" s="4"/>
      <c r="B82" s="4" t="str">
        <f t="shared" si="19"/>
        <v>0102</v>
      </c>
      <c r="C82" s="4" t="s">
        <v>27</v>
      </c>
      <c r="D82" s="5" t="s">
        <v>608</v>
      </c>
      <c r="E82" s="23"/>
      <c r="F82" s="5" t="s">
        <v>611</v>
      </c>
      <c r="G82" s="4" t="s">
        <v>225</v>
      </c>
      <c r="H82" s="4" t="s">
        <v>376</v>
      </c>
      <c r="I82" s="4">
        <v>2021</v>
      </c>
      <c r="J82" s="6" t="s">
        <v>53</v>
      </c>
      <c r="K82" s="6" t="s">
        <v>53</v>
      </c>
      <c r="L82" s="6" t="s">
        <v>53</v>
      </c>
      <c r="M82" s="4"/>
      <c r="N82" s="11">
        <v>0</v>
      </c>
      <c r="O82" s="11">
        <v>234686962</v>
      </c>
      <c r="P82" s="11">
        <v>159550956</v>
      </c>
      <c r="Q82" s="11">
        <v>753550358</v>
      </c>
      <c r="R82" s="11">
        <v>0</v>
      </c>
      <c r="T82" s="24"/>
      <c r="U82" s="25"/>
      <c r="V82" s="24"/>
    </row>
    <row r="83" spans="1:22" s="3" customFormat="1" x14ac:dyDescent="0.2">
      <c r="A83" s="4"/>
      <c r="B83" s="4" t="str">
        <f t="shared" si="19"/>
        <v>0102</v>
      </c>
      <c r="C83" s="4" t="s">
        <v>27</v>
      </c>
      <c r="D83" s="5" t="s">
        <v>609</v>
      </c>
      <c r="E83" s="23"/>
      <c r="F83" s="5" t="s">
        <v>611</v>
      </c>
      <c r="G83" s="4" t="s">
        <v>225</v>
      </c>
      <c r="H83" s="4" t="s">
        <v>376</v>
      </c>
      <c r="I83" s="4">
        <v>2020</v>
      </c>
      <c r="J83" s="6" t="s">
        <v>53</v>
      </c>
      <c r="K83" s="6" t="s">
        <v>53</v>
      </c>
      <c r="L83" s="6" t="s">
        <v>53</v>
      </c>
      <c r="M83" s="4"/>
      <c r="N83" s="11">
        <v>0</v>
      </c>
      <c r="O83" s="11">
        <v>0</v>
      </c>
      <c r="P83" s="11">
        <v>0</v>
      </c>
      <c r="Q83" s="11">
        <v>0</v>
      </c>
      <c r="R83" s="11">
        <v>729975790</v>
      </c>
      <c r="T83" s="24"/>
      <c r="U83" s="25"/>
      <c r="V83" s="24"/>
    </row>
    <row r="84" spans="1:22" s="3" customFormat="1" x14ac:dyDescent="0.2">
      <c r="A84" s="4"/>
      <c r="B84" s="4" t="str">
        <f t="shared" si="19"/>
        <v>0102</v>
      </c>
      <c r="C84" s="4" t="s">
        <v>27</v>
      </c>
      <c r="D84" s="5" t="s">
        <v>610</v>
      </c>
      <c r="E84" s="4"/>
      <c r="F84" s="5" t="s">
        <v>611</v>
      </c>
      <c r="G84" s="4" t="s">
        <v>225</v>
      </c>
      <c r="H84" s="4" t="s">
        <v>376</v>
      </c>
      <c r="I84" s="4">
        <v>2024</v>
      </c>
      <c r="J84" s="6" t="s">
        <v>53</v>
      </c>
      <c r="K84" s="6" t="s">
        <v>53</v>
      </c>
      <c r="L84" s="6" t="s">
        <v>53</v>
      </c>
      <c r="M84" s="4"/>
      <c r="N84" s="11">
        <v>3505000000</v>
      </c>
      <c r="O84" s="11">
        <v>0</v>
      </c>
      <c r="P84" s="11">
        <v>0</v>
      </c>
      <c r="Q84" s="11">
        <v>0</v>
      </c>
      <c r="R84" s="11">
        <v>0</v>
      </c>
      <c r="T84" s="24"/>
      <c r="U84" s="25"/>
      <c r="V84" s="24"/>
    </row>
    <row r="85" spans="1:22" s="3" customFormat="1" x14ac:dyDescent="0.2">
      <c r="A85" s="4"/>
      <c r="B85" s="4" t="str">
        <f t="shared" si="19"/>
        <v>0102</v>
      </c>
      <c r="C85" s="4" t="s">
        <v>27</v>
      </c>
      <c r="D85" s="5" t="s">
        <v>628</v>
      </c>
      <c r="E85" s="4"/>
      <c r="F85" s="5" t="s">
        <v>636</v>
      </c>
      <c r="G85" s="4" t="s">
        <v>225</v>
      </c>
      <c r="H85" s="4" t="s">
        <v>376</v>
      </c>
      <c r="I85" s="4">
        <v>2021</v>
      </c>
      <c r="J85" s="6" t="s">
        <v>53</v>
      </c>
      <c r="K85" s="6" t="s">
        <v>53</v>
      </c>
      <c r="L85" s="6" t="s">
        <v>53</v>
      </c>
      <c r="M85" s="4" t="s">
        <v>30</v>
      </c>
      <c r="N85" s="11">
        <v>0</v>
      </c>
      <c r="O85" s="11">
        <v>0</v>
      </c>
      <c r="P85" s="11">
        <v>7626000</v>
      </c>
      <c r="Q85" s="11">
        <v>66266984</v>
      </c>
      <c r="R85" s="11">
        <v>119159500</v>
      </c>
      <c r="T85" s="24"/>
      <c r="U85" s="25"/>
      <c r="V85" s="24"/>
    </row>
    <row r="86" spans="1:22" s="3" customFormat="1" x14ac:dyDescent="0.2">
      <c r="A86" s="4"/>
      <c r="B86" s="4" t="str">
        <f t="shared" si="19"/>
        <v>0102</v>
      </c>
      <c r="C86" s="4" t="s">
        <v>27</v>
      </c>
      <c r="D86" s="5" t="s">
        <v>629</v>
      </c>
      <c r="E86" s="4"/>
      <c r="F86" s="5" t="s">
        <v>636</v>
      </c>
      <c r="G86" s="4" t="s">
        <v>225</v>
      </c>
      <c r="H86" s="4" t="s">
        <v>376</v>
      </c>
      <c r="I86" s="4">
        <v>2022</v>
      </c>
      <c r="J86" s="6" t="s">
        <v>53</v>
      </c>
      <c r="K86" s="6" t="s">
        <v>53</v>
      </c>
      <c r="L86" s="6" t="s">
        <v>53</v>
      </c>
      <c r="M86" s="4" t="s">
        <v>30</v>
      </c>
      <c r="N86" s="11">
        <v>0</v>
      </c>
      <c r="O86" s="11">
        <v>0</v>
      </c>
      <c r="P86" s="11">
        <v>3677349</v>
      </c>
      <c r="Q86" s="11">
        <v>0</v>
      </c>
      <c r="R86" s="11">
        <v>0</v>
      </c>
      <c r="T86" s="24"/>
      <c r="U86" s="25"/>
      <c r="V86" s="24"/>
    </row>
    <row r="87" spans="1:22" s="3" customFormat="1" x14ac:dyDescent="0.2">
      <c r="A87" s="4"/>
      <c r="B87" s="4" t="str">
        <f t="shared" si="19"/>
        <v>0102</v>
      </c>
      <c r="C87" s="4" t="s">
        <v>27</v>
      </c>
      <c r="D87" s="5" t="s">
        <v>630</v>
      </c>
      <c r="E87" s="4"/>
      <c r="F87" s="5" t="s">
        <v>636</v>
      </c>
      <c r="G87" s="4" t="s">
        <v>225</v>
      </c>
      <c r="H87" s="4" t="s">
        <v>376</v>
      </c>
      <c r="I87" s="4">
        <v>2022</v>
      </c>
      <c r="J87" s="6" t="s">
        <v>53</v>
      </c>
      <c r="K87" s="6" t="s">
        <v>53</v>
      </c>
      <c r="L87" s="6" t="s">
        <v>53</v>
      </c>
      <c r="M87" s="4" t="s">
        <v>30</v>
      </c>
      <c r="N87" s="11">
        <v>0</v>
      </c>
      <c r="O87" s="11">
        <v>0</v>
      </c>
      <c r="P87" s="11">
        <v>7962819</v>
      </c>
      <c r="Q87" s="11">
        <v>0</v>
      </c>
      <c r="R87" s="11">
        <v>0</v>
      </c>
      <c r="T87" s="24"/>
      <c r="U87" s="25"/>
      <c r="V87" s="24"/>
    </row>
    <row r="88" spans="1:22" s="3" customFormat="1" x14ac:dyDescent="0.2">
      <c r="A88" s="4"/>
      <c r="B88" s="4" t="str">
        <f t="shared" si="19"/>
        <v>0102</v>
      </c>
      <c r="C88" s="4" t="s">
        <v>27</v>
      </c>
      <c r="D88" s="5" t="s">
        <v>714</v>
      </c>
      <c r="E88" s="4" t="s">
        <v>714</v>
      </c>
      <c r="F88" s="5" t="s">
        <v>713</v>
      </c>
      <c r="G88" s="4" t="s">
        <v>225</v>
      </c>
      <c r="H88" s="4" t="s">
        <v>376</v>
      </c>
      <c r="I88" s="4">
        <v>2025</v>
      </c>
      <c r="J88" s="6" t="s">
        <v>53</v>
      </c>
      <c r="K88" s="6" t="s">
        <v>53</v>
      </c>
      <c r="L88" s="6" t="s">
        <v>53</v>
      </c>
      <c r="M88" s="4"/>
      <c r="N88" s="11">
        <v>0</v>
      </c>
      <c r="O88" s="11">
        <v>0</v>
      </c>
      <c r="P88" s="11">
        <v>14521438</v>
      </c>
      <c r="Q88" s="11">
        <v>583464594</v>
      </c>
      <c r="R88" s="11">
        <v>0</v>
      </c>
      <c r="T88" s="24"/>
      <c r="U88" s="25"/>
      <c r="V88" s="24"/>
    </row>
    <row r="89" spans="1:22" s="3" customFormat="1" x14ac:dyDescent="0.2">
      <c r="A89" s="4"/>
      <c r="B89" s="4" t="str">
        <f t="shared" si="19"/>
        <v>0102</v>
      </c>
      <c r="C89" s="4" t="s">
        <v>27</v>
      </c>
      <c r="D89" s="5" t="s">
        <v>715</v>
      </c>
      <c r="E89" s="4" t="s">
        <v>715</v>
      </c>
      <c r="F89" s="5" t="s">
        <v>713</v>
      </c>
      <c r="G89" s="4" t="s">
        <v>225</v>
      </c>
      <c r="H89" s="4" t="s">
        <v>376</v>
      </c>
      <c r="I89" s="4">
        <v>2025</v>
      </c>
      <c r="J89" s="6" t="s">
        <v>53</v>
      </c>
      <c r="K89" s="6" t="s">
        <v>53</v>
      </c>
      <c r="L89" s="6" t="s">
        <v>53</v>
      </c>
      <c r="M89" s="4"/>
      <c r="N89" s="11">
        <v>54239</v>
      </c>
      <c r="O89" s="11">
        <v>396407</v>
      </c>
      <c r="P89" s="11">
        <v>693082</v>
      </c>
      <c r="Q89" s="11">
        <v>749236815</v>
      </c>
      <c r="R89" s="11">
        <v>0</v>
      </c>
      <c r="T89" s="24"/>
      <c r="U89" s="25"/>
      <c r="V89" s="24"/>
    </row>
    <row r="90" spans="1:22" s="3" customFormat="1" x14ac:dyDescent="0.2">
      <c r="A90" s="4"/>
      <c r="B90" s="4" t="str">
        <f t="shared" si="19"/>
        <v>0102</v>
      </c>
      <c r="C90" s="4" t="s">
        <v>27</v>
      </c>
      <c r="D90" s="5" t="s">
        <v>716</v>
      </c>
      <c r="E90" s="4" t="s">
        <v>716</v>
      </c>
      <c r="F90" s="5" t="s">
        <v>713</v>
      </c>
      <c r="G90" s="4" t="s">
        <v>225</v>
      </c>
      <c r="H90" s="4" t="s">
        <v>376</v>
      </c>
      <c r="I90" s="4">
        <v>2025</v>
      </c>
      <c r="J90" s="6" t="s">
        <v>53</v>
      </c>
      <c r="K90" s="6" t="s">
        <v>53</v>
      </c>
      <c r="L90" s="6" t="s">
        <v>53</v>
      </c>
      <c r="M90" s="4"/>
      <c r="N90" s="11">
        <v>168513</v>
      </c>
      <c r="O90" s="11">
        <v>141893</v>
      </c>
      <c r="P90" s="11">
        <v>235823</v>
      </c>
      <c r="Q90" s="11">
        <v>226103005</v>
      </c>
      <c r="R90" s="11">
        <v>0</v>
      </c>
      <c r="T90" s="24"/>
      <c r="U90" s="25"/>
      <c r="V90" s="24"/>
    </row>
    <row r="91" spans="1:22" s="3" customFormat="1" x14ac:dyDescent="0.2">
      <c r="A91" s="4"/>
      <c r="B91" s="4" t="str">
        <f t="shared" si="19"/>
        <v>0102</v>
      </c>
      <c r="C91" s="4" t="s">
        <v>27</v>
      </c>
      <c r="D91" s="5" t="s">
        <v>764</v>
      </c>
      <c r="E91" s="4"/>
      <c r="F91" s="5" t="s">
        <v>380</v>
      </c>
      <c r="G91" s="4" t="s">
        <v>225</v>
      </c>
      <c r="H91" s="4" t="s">
        <v>376</v>
      </c>
      <c r="I91" s="4">
        <v>2025</v>
      </c>
      <c r="J91" s="6" t="s">
        <v>53</v>
      </c>
      <c r="K91" s="6" t="s">
        <v>53</v>
      </c>
      <c r="L91" s="6" t="s">
        <v>53</v>
      </c>
      <c r="M91" s="4"/>
      <c r="N91" s="11">
        <v>0</v>
      </c>
      <c r="O91" s="11">
        <v>0</v>
      </c>
      <c r="P91" s="11">
        <v>244342000</v>
      </c>
      <c r="Q91" s="11">
        <v>225330616</v>
      </c>
      <c r="R91" s="11">
        <v>0</v>
      </c>
      <c r="T91" s="24"/>
      <c r="U91" s="25"/>
      <c r="V91" s="24"/>
    </row>
    <row r="92" spans="1:22" s="3" customFormat="1" x14ac:dyDescent="0.2">
      <c r="A92" s="4"/>
      <c r="B92" s="4" t="str">
        <f t="shared" si="19"/>
        <v>0102</v>
      </c>
      <c r="C92" s="4" t="s">
        <v>27</v>
      </c>
      <c r="D92" s="5" t="s">
        <v>765</v>
      </c>
      <c r="E92" s="4"/>
      <c r="F92" s="5" t="s">
        <v>380</v>
      </c>
      <c r="G92" s="4" t="s">
        <v>225</v>
      </c>
      <c r="H92" s="4" t="s">
        <v>376</v>
      </c>
      <c r="I92" s="4">
        <v>2025</v>
      </c>
      <c r="J92" s="6" t="s">
        <v>53</v>
      </c>
      <c r="K92" s="6" t="s">
        <v>53</v>
      </c>
      <c r="L92" s="6" t="s">
        <v>53</v>
      </c>
      <c r="M92" s="4"/>
      <c r="N92" s="11">
        <v>0</v>
      </c>
      <c r="O92" s="11">
        <v>0</v>
      </c>
      <c r="P92" s="11">
        <v>0</v>
      </c>
      <c r="Q92" s="11">
        <v>182791672</v>
      </c>
      <c r="R92" s="11">
        <v>0</v>
      </c>
      <c r="T92" s="24"/>
      <c r="U92" s="25"/>
      <c r="V92" s="24"/>
    </row>
    <row r="93" spans="1:22" s="3" customFormat="1" x14ac:dyDescent="0.2">
      <c r="A93" s="4"/>
      <c r="B93" s="4" t="str">
        <f t="shared" si="19"/>
        <v>0102</v>
      </c>
      <c r="C93" s="4" t="s">
        <v>27</v>
      </c>
      <c r="D93" s="5" t="s">
        <v>766</v>
      </c>
      <c r="E93" s="4"/>
      <c r="F93" s="5" t="s">
        <v>380</v>
      </c>
      <c r="G93" s="4" t="s">
        <v>225</v>
      </c>
      <c r="H93" s="4" t="s">
        <v>376</v>
      </c>
      <c r="I93" s="4">
        <v>2025</v>
      </c>
      <c r="J93" s="6" t="s">
        <v>53</v>
      </c>
      <c r="K93" s="6" t="s">
        <v>53</v>
      </c>
      <c r="L93" s="6" t="s">
        <v>53</v>
      </c>
      <c r="M93" s="4"/>
      <c r="N93" s="11">
        <v>0</v>
      </c>
      <c r="O93" s="11">
        <v>0</v>
      </c>
      <c r="P93" s="11">
        <v>0</v>
      </c>
      <c r="Q93" s="11">
        <v>0</v>
      </c>
      <c r="R93" s="11">
        <v>135009492</v>
      </c>
      <c r="T93" s="24"/>
      <c r="U93" s="25"/>
      <c r="V93" s="24"/>
    </row>
    <row r="94" spans="1:22" s="3" customFormat="1" x14ac:dyDescent="0.2">
      <c r="A94" s="4"/>
      <c r="B94" s="4" t="str">
        <f t="shared" si="19"/>
        <v>0102</v>
      </c>
      <c r="C94" s="4" t="s">
        <v>27</v>
      </c>
      <c r="D94" s="5" t="s">
        <v>767</v>
      </c>
      <c r="E94" s="4"/>
      <c r="F94" s="5" t="s">
        <v>380</v>
      </c>
      <c r="G94" s="4" t="s">
        <v>225</v>
      </c>
      <c r="H94" s="4" t="s">
        <v>376</v>
      </c>
      <c r="I94" s="4">
        <v>2025</v>
      </c>
      <c r="J94" s="6" t="s">
        <v>53</v>
      </c>
      <c r="K94" s="6" t="s">
        <v>53</v>
      </c>
      <c r="L94" s="6" t="s">
        <v>53</v>
      </c>
      <c r="M94" s="4"/>
      <c r="N94" s="11">
        <v>0</v>
      </c>
      <c r="O94" s="11">
        <v>0</v>
      </c>
      <c r="P94" s="11">
        <v>0</v>
      </c>
      <c r="Q94" s="11">
        <v>0</v>
      </c>
      <c r="R94" s="11">
        <v>329022500</v>
      </c>
      <c r="T94" s="24"/>
      <c r="U94" s="25"/>
      <c r="V94" s="24"/>
    </row>
    <row r="95" spans="1:22" s="3" customFormat="1" x14ac:dyDescent="0.2">
      <c r="A95" s="4"/>
      <c r="B95" s="4" t="str">
        <f t="shared" si="19"/>
        <v>0102</v>
      </c>
      <c r="C95" s="4" t="s">
        <v>27</v>
      </c>
      <c r="D95" s="5" t="s">
        <v>780</v>
      </c>
      <c r="E95" s="4"/>
      <c r="F95" s="5" t="s">
        <v>380</v>
      </c>
      <c r="G95" s="4" t="s">
        <v>225</v>
      </c>
      <c r="H95" s="4" t="s">
        <v>376</v>
      </c>
      <c r="I95" s="4">
        <v>2025</v>
      </c>
      <c r="J95" s="6" t="s">
        <v>53</v>
      </c>
      <c r="K95" s="6" t="s">
        <v>53</v>
      </c>
      <c r="L95" s="6" t="s">
        <v>53</v>
      </c>
      <c r="M95" s="4"/>
      <c r="N95" s="11">
        <v>42877269</v>
      </c>
      <c r="O95" s="11">
        <v>16754952</v>
      </c>
      <c r="P95" s="11">
        <v>0</v>
      </c>
      <c r="Q95" s="11">
        <v>0</v>
      </c>
      <c r="R95" s="11">
        <v>0</v>
      </c>
      <c r="T95" s="24"/>
      <c r="U95" s="25"/>
      <c r="V95" s="24"/>
    </row>
    <row r="96" spans="1:22" s="3" customFormat="1" x14ac:dyDescent="0.2">
      <c r="A96" s="4"/>
      <c r="B96" s="4" t="str">
        <f t="shared" si="19"/>
        <v>0102</v>
      </c>
      <c r="C96" s="4" t="s">
        <v>27</v>
      </c>
      <c r="D96" s="5" t="s">
        <v>781</v>
      </c>
      <c r="E96" s="4"/>
      <c r="F96" s="5" t="s">
        <v>380</v>
      </c>
      <c r="G96" s="4" t="s">
        <v>225</v>
      </c>
      <c r="H96" s="4" t="s">
        <v>376</v>
      </c>
      <c r="I96" s="4">
        <v>2025</v>
      </c>
      <c r="J96" s="6" t="s">
        <v>53</v>
      </c>
      <c r="K96" s="6" t="s">
        <v>53</v>
      </c>
      <c r="L96" s="6" t="s">
        <v>53</v>
      </c>
      <c r="M96" s="4"/>
      <c r="N96" s="11">
        <v>141422936</v>
      </c>
      <c r="O96" s="11">
        <v>0</v>
      </c>
      <c r="P96" s="11">
        <v>0</v>
      </c>
      <c r="Q96" s="11">
        <v>0</v>
      </c>
      <c r="R96" s="11">
        <v>0</v>
      </c>
      <c r="T96" s="24"/>
      <c r="U96" s="25"/>
      <c r="V96" s="24"/>
    </row>
    <row r="97" spans="1:22" s="3" customFormat="1" x14ac:dyDescent="0.2">
      <c r="A97" s="4"/>
      <c r="B97" s="4" t="str">
        <f t="shared" si="19"/>
        <v>0104</v>
      </c>
      <c r="C97" s="4" t="s">
        <v>16</v>
      </c>
      <c r="D97" s="5" t="s">
        <v>796</v>
      </c>
      <c r="E97" s="5" t="s">
        <v>803</v>
      </c>
      <c r="F97" s="5" t="s">
        <v>802</v>
      </c>
      <c r="G97" s="4" t="s">
        <v>225</v>
      </c>
      <c r="H97" s="4" t="s">
        <v>376</v>
      </c>
      <c r="I97" s="4">
        <v>2025</v>
      </c>
      <c r="J97" s="6" t="s">
        <v>53</v>
      </c>
      <c r="K97" s="6" t="s">
        <v>53</v>
      </c>
      <c r="L97" s="6" t="s">
        <v>53</v>
      </c>
      <c r="M97" s="4"/>
      <c r="N97" s="11">
        <v>0</v>
      </c>
      <c r="O97" s="11">
        <v>0</v>
      </c>
      <c r="P97" s="11">
        <v>0</v>
      </c>
      <c r="Q97" s="11">
        <v>0</v>
      </c>
      <c r="R97" s="11">
        <v>4120232856</v>
      </c>
      <c r="T97" s="24"/>
      <c r="U97" s="25"/>
      <c r="V97" s="24"/>
    </row>
    <row r="98" spans="1:22" s="3" customFormat="1" x14ac:dyDescent="0.2">
      <c r="A98" s="4"/>
      <c r="B98" s="4" t="str">
        <f t="shared" si="19"/>
        <v>0104</v>
      </c>
      <c r="C98" s="4" t="s">
        <v>16</v>
      </c>
      <c r="D98" s="5" t="s">
        <v>797</v>
      </c>
      <c r="E98" s="5" t="s">
        <v>803</v>
      </c>
      <c r="F98" s="5" t="s">
        <v>802</v>
      </c>
      <c r="G98" s="4" t="s">
        <v>225</v>
      </c>
      <c r="H98" s="4" t="s">
        <v>376</v>
      </c>
      <c r="I98" s="4">
        <v>2025</v>
      </c>
      <c r="J98" s="6" t="s">
        <v>53</v>
      </c>
      <c r="K98" s="6" t="s">
        <v>53</v>
      </c>
      <c r="L98" s="6" t="s">
        <v>53</v>
      </c>
      <c r="M98" s="4"/>
      <c r="N98" s="11">
        <v>0</v>
      </c>
      <c r="O98" s="11">
        <v>0</v>
      </c>
      <c r="P98" s="11">
        <v>0</v>
      </c>
      <c r="Q98" s="11">
        <v>0</v>
      </c>
      <c r="R98" s="11">
        <v>1523991149</v>
      </c>
      <c r="T98" s="24"/>
      <c r="U98" s="25"/>
      <c r="V98" s="24"/>
    </row>
    <row r="99" spans="1:22" s="3" customFormat="1" x14ac:dyDescent="0.2">
      <c r="A99" s="4"/>
      <c r="B99" s="4" t="str">
        <f t="shared" si="19"/>
        <v>0102</v>
      </c>
      <c r="C99" s="4" t="s">
        <v>27</v>
      </c>
      <c r="D99" s="5" t="s">
        <v>798</v>
      </c>
      <c r="E99" s="5" t="s">
        <v>803</v>
      </c>
      <c r="F99" s="5" t="s">
        <v>802</v>
      </c>
      <c r="G99" s="4" t="s">
        <v>225</v>
      </c>
      <c r="H99" s="4" t="s">
        <v>376</v>
      </c>
      <c r="I99" s="4">
        <v>2025</v>
      </c>
      <c r="J99" s="6" t="s">
        <v>53</v>
      </c>
      <c r="K99" s="6" t="s">
        <v>53</v>
      </c>
      <c r="L99" s="6" t="s">
        <v>53</v>
      </c>
      <c r="M99" s="4"/>
      <c r="N99" s="11">
        <v>0</v>
      </c>
      <c r="O99" s="11">
        <v>0</v>
      </c>
      <c r="P99" s="11">
        <v>0</v>
      </c>
      <c r="Q99" s="11">
        <v>0</v>
      </c>
      <c r="R99" s="11">
        <v>80487091</v>
      </c>
      <c r="T99" s="24"/>
      <c r="U99" s="25"/>
      <c r="V99" s="24"/>
    </row>
    <row r="100" spans="1:22" s="3" customFormat="1" x14ac:dyDescent="0.2">
      <c r="A100" s="4"/>
      <c r="B100" s="4" t="str">
        <f t="shared" si="19"/>
        <v>0102</v>
      </c>
      <c r="C100" s="4" t="s">
        <v>27</v>
      </c>
      <c r="D100" s="5" t="s">
        <v>801</v>
      </c>
      <c r="E100" s="5" t="s">
        <v>803</v>
      </c>
      <c r="F100" s="5" t="s">
        <v>802</v>
      </c>
      <c r="G100" s="4" t="s">
        <v>225</v>
      </c>
      <c r="H100" s="4" t="s">
        <v>376</v>
      </c>
      <c r="I100" s="4">
        <v>2025</v>
      </c>
      <c r="J100" s="6" t="s">
        <v>53</v>
      </c>
      <c r="K100" s="6" t="s">
        <v>53</v>
      </c>
      <c r="L100" s="6" t="s">
        <v>53</v>
      </c>
      <c r="M100" s="4"/>
      <c r="N100" s="11">
        <v>0</v>
      </c>
      <c r="O100" s="11">
        <v>0</v>
      </c>
      <c r="P100" s="11">
        <v>145975</v>
      </c>
      <c r="Q100" s="11">
        <v>11243683</v>
      </c>
      <c r="R100" s="11">
        <v>0</v>
      </c>
      <c r="T100" s="24"/>
      <c r="U100" s="25"/>
      <c r="V100" s="24"/>
    </row>
    <row r="101" spans="1:22" s="3" customFormat="1" x14ac:dyDescent="0.2">
      <c r="A101" s="4"/>
      <c r="B101" s="4"/>
      <c r="C101" s="4"/>
      <c r="D101" s="5"/>
      <c r="E101" s="4"/>
      <c r="F101" s="5"/>
      <c r="G101" s="4"/>
      <c r="H101" s="4"/>
      <c r="I101" s="4"/>
      <c r="J101" s="6"/>
      <c r="K101" s="6"/>
      <c r="L101" s="6"/>
      <c r="M101" s="4"/>
      <c r="N101" s="11"/>
      <c r="O101" s="11"/>
      <c r="P101" s="11"/>
      <c r="Q101" s="11"/>
      <c r="R101" s="11"/>
      <c r="T101" s="24"/>
      <c r="U101" s="25"/>
      <c r="V101" s="24"/>
    </row>
  </sheetData>
  <sortState xmlns:xlrd2="http://schemas.microsoft.com/office/spreadsheetml/2017/richdata2" ref="B8:R80">
    <sortCondition ref="B8:B80"/>
    <sortCondition ref="F8:F80"/>
    <sortCondition ref="E8:E80"/>
    <sortCondition ref="G8:G80"/>
    <sortCondition ref="H8:H80"/>
  </sortState>
  <mergeCells count="14">
    <mergeCell ref="G6:G7"/>
    <mergeCell ref="I6:I7"/>
    <mergeCell ref="M6:M7"/>
    <mergeCell ref="J6:J7"/>
    <mergeCell ref="N6:R6"/>
    <mergeCell ref="H6:H7"/>
    <mergeCell ref="K6:K7"/>
    <mergeCell ref="L6:L7"/>
    <mergeCell ref="F6:F7"/>
    <mergeCell ref="A6:A7"/>
    <mergeCell ref="B6:B7"/>
    <mergeCell ref="C6:C7"/>
    <mergeCell ref="D6:D7"/>
    <mergeCell ref="E6:E7"/>
  </mergeCells>
  <phoneticPr fontId="6" type="noConversion"/>
  <pageMargins left="0.7" right="0.7" top="0.75" bottom="0.75" header="0.3" footer="0.3"/>
  <pageSetup scale="27" orientation="portrait" horizontalDpi="0" verticalDpi="0" r:id="rId1"/>
  <colBreaks count="1" manualBreakCount="1">
    <brk id="1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BF36-BF38-45E7-9497-594F35EFBE3E}">
  <sheetPr codeName="Sheet6">
    <tabColor rgb="FF92D050"/>
  </sheetPr>
  <dimension ref="A1:X215"/>
  <sheetViews>
    <sheetView showGridLines="0" tabSelected="1" zoomScale="65" zoomScaleNormal="80" zoomScaleSheetLayoutView="70" workbookViewId="0">
      <pane ySplit="7" topLeftCell="A129" activePane="bottomLeft" state="frozen"/>
      <selection activeCell="K49" sqref="K49"/>
      <selection pane="bottomLeft" activeCell="E140" sqref="E140"/>
    </sheetView>
  </sheetViews>
  <sheetFormatPr baseColWidth="10" defaultColWidth="9.1640625" defaultRowHeight="14" x14ac:dyDescent="0.15"/>
  <cols>
    <col min="1" max="1" width="8.6640625" style="7" customWidth="1"/>
    <col min="2" max="2" width="8.33203125" style="7" customWidth="1"/>
    <col min="3" max="3" width="26.83203125" style="7" customWidth="1"/>
    <col min="4" max="4" width="21" style="8" bestFit="1" customWidth="1"/>
    <col min="5" max="5" width="29.1640625" style="7" customWidth="1"/>
    <col min="6" max="6" width="57.33203125" style="7" bestFit="1" customWidth="1"/>
    <col min="7" max="7" width="52.33203125" style="7" bestFit="1" customWidth="1"/>
    <col min="8" max="8" width="14.1640625" style="7" bestFit="1" customWidth="1"/>
    <col min="9" max="9" width="23.5" style="7" customWidth="1"/>
    <col min="10" max="10" width="18.6640625" style="7" customWidth="1"/>
    <col min="11" max="11" width="18.5" style="7" customWidth="1"/>
    <col min="12" max="15" width="22.1640625" style="7" customWidth="1"/>
    <col min="16" max="20" width="18.5" style="7" customWidth="1"/>
    <col min="21" max="21" width="9.1640625" style="7" customWidth="1"/>
    <col min="22" max="22" width="15.5" style="7" customWidth="1"/>
    <col min="23" max="23" width="73.83203125" style="7" bestFit="1" customWidth="1"/>
    <col min="24" max="16384" width="9.1640625" style="7"/>
  </cols>
  <sheetData>
    <row r="1" spans="1:24" ht="20" x14ac:dyDescent="0.2">
      <c r="C1" s="10" t="s">
        <v>2</v>
      </c>
    </row>
    <row r="2" spans="1:24" x14ac:dyDescent="0.15">
      <c r="C2" s="9" t="s">
        <v>3</v>
      </c>
    </row>
    <row r="3" spans="1:24" x14ac:dyDescent="0.15">
      <c r="C3" s="156"/>
      <c r="D3" s="377"/>
    </row>
    <row r="4" spans="1:24" x14ac:dyDescent="0.15">
      <c r="C4" s="156" t="s">
        <v>836</v>
      </c>
      <c r="D4" s="377" t="s">
        <v>505</v>
      </c>
    </row>
    <row r="5" spans="1:24" x14ac:dyDescent="0.15">
      <c r="J5" s="29">
        <f>SUM(J8:J215)</f>
        <v>229892184504</v>
      </c>
      <c r="L5" s="29">
        <f>SUM(L8:L215)</f>
        <v>230091984504</v>
      </c>
      <c r="M5" s="29"/>
      <c r="N5" s="29"/>
      <c r="P5" s="29">
        <f>SUM(P8:P215)</f>
        <v>157557581602</v>
      </c>
      <c r="Q5" s="29">
        <f>SUM(Q8:Q215)</f>
        <v>133490009839</v>
      </c>
      <c r="R5" s="29">
        <f>SUM(R8:R215)</f>
        <v>124003495797</v>
      </c>
      <c r="S5" s="29">
        <f>SUM(S8:S215)</f>
        <v>127567111319</v>
      </c>
      <c r="T5" s="29">
        <f>SUM(T8:T215)</f>
        <v>133023244249</v>
      </c>
    </row>
    <row r="6" spans="1:24" s="3" customFormat="1" ht="30" customHeight="1" x14ac:dyDescent="0.2">
      <c r="A6" s="380" t="s">
        <v>55</v>
      </c>
      <c r="B6" s="380" t="s">
        <v>59</v>
      </c>
      <c r="C6" s="380" t="s">
        <v>58</v>
      </c>
      <c r="D6" s="380" t="s">
        <v>57</v>
      </c>
      <c r="E6" s="434" t="s">
        <v>56</v>
      </c>
      <c r="F6" s="434"/>
      <c r="G6" s="380" t="s">
        <v>62</v>
      </c>
      <c r="H6" s="380" t="s">
        <v>516</v>
      </c>
      <c r="I6" s="380" t="s">
        <v>374</v>
      </c>
      <c r="J6" s="380" t="s">
        <v>61</v>
      </c>
      <c r="K6" s="380" t="s">
        <v>31</v>
      </c>
      <c r="L6" s="382" t="s">
        <v>60</v>
      </c>
      <c r="M6" s="382" t="s">
        <v>377</v>
      </c>
      <c r="N6" s="382" t="s">
        <v>374</v>
      </c>
      <c r="O6" s="380" t="s">
        <v>93</v>
      </c>
      <c r="P6" s="384" t="s">
        <v>54</v>
      </c>
      <c r="Q6" s="385"/>
      <c r="R6" s="385"/>
      <c r="S6" s="385"/>
      <c r="T6" s="386"/>
    </row>
    <row r="7" spans="1:24" s="3" customFormat="1" ht="30" customHeight="1" x14ac:dyDescent="0.2">
      <c r="A7" s="381"/>
      <c r="B7" s="381"/>
      <c r="C7" s="381"/>
      <c r="D7" s="381"/>
      <c r="E7" s="16" t="s">
        <v>63</v>
      </c>
      <c r="F7" s="16" t="s">
        <v>64</v>
      </c>
      <c r="G7" s="381"/>
      <c r="H7" s="381"/>
      <c r="I7" s="381"/>
      <c r="J7" s="381"/>
      <c r="K7" s="381"/>
      <c r="L7" s="383"/>
      <c r="M7" s="383"/>
      <c r="N7" s="383"/>
      <c r="O7" s="381"/>
      <c r="P7" s="15">
        <v>2024</v>
      </c>
      <c r="Q7" s="15">
        <v>2023</v>
      </c>
      <c r="R7" s="15">
        <v>2022</v>
      </c>
      <c r="S7" s="15">
        <v>2021</v>
      </c>
      <c r="T7" s="15">
        <v>2020</v>
      </c>
      <c r="V7" s="17" t="s">
        <v>30</v>
      </c>
      <c r="W7" s="18" t="s">
        <v>30</v>
      </c>
      <c r="X7" s="17" t="s">
        <v>30</v>
      </c>
    </row>
    <row r="8" spans="1:24" s="3" customFormat="1" ht="30" customHeight="1" x14ac:dyDescent="0.2">
      <c r="A8" s="4">
        <v>1</v>
      </c>
      <c r="B8" s="5" t="str">
        <f>VLOOKUP(C8,$W:$X,2,0)</f>
        <v>0305</v>
      </c>
      <c r="C8" s="23" t="s">
        <v>42</v>
      </c>
      <c r="D8" s="4" t="s">
        <v>225</v>
      </c>
      <c r="E8" s="5" t="s">
        <v>527</v>
      </c>
      <c r="F8" s="23" t="s">
        <v>529</v>
      </c>
      <c r="G8" s="5" t="s">
        <v>844</v>
      </c>
      <c r="H8" s="4" t="s">
        <v>515</v>
      </c>
      <c r="I8" s="4" t="s">
        <v>376</v>
      </c>
      <c r="J8" s="75">
        <v>1095750000</v>
      </c>
      <c r="K8" s="4">
        <v>2025</v>
      </c>
      <c r="L8" s="56">
        <f t="shared" ref="L8:L13" si="0">ROUNDDOWN(M8*N8,0)</f>
        <v>1095750000</v>
      </c>
      <c r="M8" s="94">
        <v>1095750000</v>
      </c>
      <c r="N8" s="94">
        <f>VLOOKUP(I8,BUNGA!$C$97:$D$98,2,0)</f>
        <v>1</v>
      </c>
      <c r="O8" s="4" t="s">
        <v>578</v>
      </c>
      <c r="P8" s="102">
        <v>1000000000</v>
      </c>
      <c r="Q8" s="12">
        <v>1000000000</v>
      </c>
      <c r="R8" s="12">
        <v>1000000000</v>
      </c>
      <c r="S8" s="12">
        <v>1000000000</v>
      </c>
      <c r="T8" s="12">
        <v>1000000000</v>
      </c>
      <c r="U8" s="74"/>
      <c r="V8" s="17" t="s">
        <v>34</v>
      </c>
      <c r="W8" s="18" t="s">
        <v>35</v>
      </c>
      <c r="X8" s="17" t="s">
        <v>34</v>
      </c>
    </row>
    <row r="9" spans="1:24" s="3" customFormat="1" ht="30" customHeight="1" x14ac:dyDescent="0.2">
      <c r="A9" s="4">
        <f>A8+1</f>
        <v>2</v>
      </c>
      <c r="B9" s="5" t="str">
        <f>VLOOKUP(C9,$W:$X,2,0)</f>
        <v>0305</v>
      </c>
      <c r="C9" s="23" t="s">
        <v>42</v>
      </c>
      <c r="D9" s="4" t="s">
        <v>225</v>
      </c>
      <c r="E9" s="5" t="s">
        <v>527</v>
      </c>
      <c r="F9" s="23" t="s">
        <v>529</v>
      </c>
      <c r="G9" s="5" t="s">
        <v>845</v>
      </c>
      <c r="H9" s="4" t="s">
        <v>515</v>
      </c>
      <c r="I9" s="4" t="s">
        <v>376</v>
      </c>
      <c r="J9" s="75">
        <v>437628000</v>
      </c>
      <c r="K9" s="4">
        <v>2025</v>
      </c>
      <c r="L9" s="56">
        <f t="shared" si="0"/>
        <v>437628000</v>
      </c>
      <c r="M9" s="94">
        <v>437628000</v>
      </c>
      <c r="N9" s="94">
        <f>VLOOKUP(I9,BUNGA!$C$97:$D$98,2,0)</f>
        <v>1</v>
      </c>
      <c r="O9" s="4" t="s">
        <v>578</v>
      </c>
      <c r="P9" s="102">
        <v>400000000</v>
      </c>
      <c r="Q9" s="12">
        <v>400000000</v>
      </c>
      <c r="R9" s="12">
        <v>400000000</v>
      </c>
      <c r="S9" s="12">
        <v>400000000</v>
      </c>
      <c r="T9" s="12">
        <v>400000000</v>
      </c>
      <c r="U9" s="74"/>
      <c r="V9" s="17" t="s">
        <v>36</v>
      </c>
      <c r="W9" s="18" t="s">
        <v>37</v>
      </c>
      <c r="X9" s="17" t="s">
        <v>36</v>
      </c>
    </row>
    <row r="10" spans="1:24" s="3" customFormat="1" ht="30" customHeight="1" x14ac:dyDescent="0.2">
      <c r="A10" s="4">
        <f t="shared" ref="A10:A73" si="1">A9+1</f>
        <v>3</v>
      </c>
      <c r="B10" s="5" t="str">
        <f>VLOOKUP(C10,$W:$X,2,0)</f>
        <v>0305</v>
      </c>
      <c r="C10" s="23" t="s">
        <v>42</v>
      </c>
      <c r="D10" s="4" t="s">
        <v>225</v>
      </c>
      <c r="E10" s="5" t="s">
        <v>527</v>
      </c>
      <c r="F10" s="23" t="s">
        <v>529</v>
      </c>
      <c r="G10" s="5" t="s">
        <v>494</v>
      </c>
      <c r="H10" s="4" t="s">
        <v>515</v>
      </c>
      <c r="I10" s="4" t="s">
        <v>376</v>
      </c>
      <c r="J10" s="75">
        <v>1850000000</v>
      </c>
      <c r="K10" s="4">
        <v>2025</v>
      </c>
      <c r="L10" s="56">
        <f t="shared" si="0"/>
        <v>1850000000</v>
      </c>
      <c r="M10" s="94">
        <v>1850000000</v>
      </c>
      <c r="N10" s="94">
        <f>VLOOKUP(I10,BUNGA!$C$97:$D$98,2,0)</f>
        <v>1</v>
      </c>
      <c r="O10" s="4" t="s">
        <v>30</v>
      </c>
      <c r="P10" s="102">
        <v>1850000000</v>
      </c>
      <c r="Q10" s="12">
        <v>1850000000</v>
      </c>
      <c r="R10" s="12">
        <v>0</v>
      </c>
      <c r="S10" s="12">
        <v>0</v>
      </c>
      <c r="T10" s="12">
        <v>0</v>
      </c>
      <c r="U10" s="74"/>
      <c r="V10" s="17" t="s">
        <v>38</v>
      </c>
      <c r="W10" s="18" t="s">
        <v>530</v>
      </c>
      <c r="X10" s="17" t="s">
        <v>38</v>
      </c>
    </row>
    <row r="11" spans="1:24" s="3" customFormat="1" ht="30" customHeight="1" x14ac:dyDescent="0.2">
      <c r="A11" s="4">
        <f t="shared" si="1"/>
        <v>4</v>
      </c>
      <c r="B11" s="5" t="str">
        <f>VLOOKUP(C11,$W:$X,2,0)</f>
        <v>0305</v>
      </c>
      <c r="C11" s="23" t="s">
        <v>42</v>
      </c>
      <c r="D11" s="4" t="s">
        <v>225</v>
      </c>
      <c r="E11" s="5" t="s">
        <v>527</v>
      </c>
      <c r="F11" s="23" t="s">
        <v>529</v>
      </c>
      <c r="G11" s="5" t="s">
        <v>496</v>
      </c>
      <c r="H11" s="4" t="s">
        <v>515</v>
      </c>
      <c r="I11" s="4" t="s">
        <v>376</v>
      </c>
      <c r="J11" s="75">
        <v>2370000000</v>
      </c>
      <c r="K11" s="4">
        <v>2025</v>
      </c>
      <c r="L11" s="56">
        <f t="shared" si="0"/>
        <v>2370000000</v>
      </c>
      <c r="M11" s="94">
        <v>2370000000</v>
      </c>
      <c r="N11" s="94">
        <f>VLOOKUP(I11,BUNGA!$C$97:$D$98,2,0)</f>
        <v>1</v>
      </c>
      <c r="O11" s="4" t="s">
        <v>579</v>
      </c>
      <c r="P11" s="102">
        <v>2370000000</v>
      </c>
      <c r="Q11" s="12">
        <v>2370000000</v>
      </c>
      <c r="R11" s="12">
        <v>0</v>
      </c>
      <c r="S11" s="12">
        <v>0</v>
      </c>
      <c r="T11" s="12">
        <v>0</v>
      </c>
      <c r="U11" s="74"/>
      <c r="V11" s="17" t="s">
        <v>39</v>
      </c>
      <c r="W11" s="18" t="s">
        <v>40</v>
      </c>
      <c r="X11" s="17" t="s">
        <v>39</v>
      </c>
    </row>
    <row r="12" spans="1:24" s="3" customFormat="1" ht="30" customHeight="1" x14ac:dyDescent="0.2">
      <c r="A12" s="4">
        <f t="shared" si="1"/>
        <v>5</v>
      </c>
      <c r="B12" s="5" t="str">
        <f>VLOOKUP(C12,$W:$X,2,0)</f>
        <v>0399</v>
      </c>
      <c r="C12" s="23" t="s">
        <v>32</v>
      </c>
      <c r="D12" s="4" t="s">
        <v>225</v>
      </c>
      <c r="E12" s="5" t="s">
        <v>527</v>
      </c>
      <c r="F12" s="23" t="s">
        <v>529</v>
      </c>
      <c r="G12" s="5" t="s">
        <v>1067</v>
      </c>
      <c r="H12" s="4" t="s">
        <v>515</v>
      </c>
      <c r="I12" s="4" t="s">
        <v>376</v>
      </c>
      <c r="J12" s="75">
        <v>901170423</v>
      </c>
      <c r="K12" s="4">
        <v>2025</v>
      </c>
      <c r="L12" s="56">
        <f t="shared" si="0"/>
        <v>901170423</v>
      </c>
      <c r="M12" s="94">
        <v>901170423</v>
      </c>
      <c r="N12" s="94">
        <f>VLOOKUP(I12,BUNGA!$C$97:$D$98,2,0)</f>
        <v>1</v>
      </c>
      <c r="O12" s="4" t="s">
        <v>578</v>
      </c>
      <c r="P12" s="102">
        <v>109394265</v>
      </c>
      <c r="Q12" s="12">
        <v>0</v>
      </c>
      <c r="R12" s="12">
        <v>0</v>
      </c>
      <c r="S12" s="12">
        <v>0</v>
      </c>
      <c r="T12" s="12">
        <v>0</v>
      </c>
      <c r="U12" s="74"/>
      <c r="V12" s="17" t="s">
        <v>41</v>
      </c>
      <c r="W12" s="18" t="s">
        <v>42</v>
      </c>
      <c r="X12" s="17" t="s">
        <v>41</v>
      </c>
    </row>
    <row r="13" spans="1:24" s="3" customFormat="1" ht="30" customHeight="1" x14ac:dyDescent="0.2">
      <c r="A13" s="4">
        <f t="shared" si="1"/>
        <v>6</v>
      </c>
      <c r="B13" s="5" t="str">
        <f>VLOOKUP(C13,$W:$X,2,0)</f>
        <v>0399</v>
      </c>
      <c r="C13" s="23" t="s">
        <v>32</v>
      </c>
      <c r="D13" s="4" t="s">
        <v>225</v>
      </c>
      <c r="E13" s="5" t="s">
        <v>527</v>
      </c>
      <c r="F13" s="23" t="s">
        <v>529</v>
      </c>
      <c r="G13" s="5" t="s">
        <v>1068</v>
      </c>
      <c r="H13" s="4" t="s">
        <v>515</v>
      </c>
      <c r="I13" s="4" t="s">
        <v>376</v>
      </c>
      <c r="J13" s="75">
        <v>1280003810</v>
      </c>
      <c r="K13" s="4">
        <v>2025</v>
      </c>
      <c r="L13" s="56">
        <f t="shared" si="0"/>
        <v>1280003810</v>
      </c>
      <c r="M13" s="94">
        <v>1280003810</v>
      </c>
      <c r="N13" s="94">
        <f>VLOOKUP(I13,BUNGA!$C$97:$D$98,2,0)</f>
        <v>1</v>
      </c>
      <c r="O13" s="4" t="s">
        <v>578</v>
      </c>
      <c r="P13" s="102">
        <v>197646600</v>
      </c>
      <c r="Q13" s="12">
        <v>0</v>
      </c>
      <c r="R13" s="12">
        <v>0</v>
      </c>
      <c r="S13" s="12">
        <v>0</v>
      </c>
      <c r="T13" s="12">
        <v>0</v>
      </c>
      <c r="U13" s="74"/>
      <c r="V13" s="17" t="s">
        <v>43</v>
      </c>
      <c r="W13" s="18" t="s">
        <v>44</v>
      </c>
      <c r="X13" s="17" t="s">
        <v>43</v>
      </c>
    </row>
    <row r="14" spans="1:24" s="3" customFormat="1" ht="30" customHeight="1" x14ac:dyDescent="0.2">
      <c r="A14" s="4">
        <f t="shared" si="1"/>
        <v>7</v>
      </c>
      <c r="B14" s="5" t="str">
        <f>VLOOKUP(C14,$W:$X,2,0)</f>
        <v>0307</v>
      </c>
      <c r="C14" s="23" t="s">
        <v>188</v>
      </c>
      <c r="D14" s="4" t="s">
        <v>225</v>
      </c>
      <c r="E14" s="5" t="s">
        <v>528</v>
      </c>
      <c r="F14" s="23" t="s">
        <v>509</v>
      </c>
      <c r="G14" s="5" t="s">
        <v>30</v>
      </c>
      <c r="H14" s="4" t="s">
        <v>515</v>
      </c>
      <c r="I14" s="4" t="s">
        <v>376</v>
      </c>
      <c r="J14" s="75">
        <f>M14</f>
        <v>1406054056</v>
      </c>
      <c r="K14" s="4">
        <v>2025</v>
      </c>
      <c r="L14" s="56">
        <f t="shared" ref="L14:L17" si="2">ROUNDDOWN(M14*N14,0)</f>
        <v>1406054056</v>
      </c>
      <c r="M14" s="94">
        <v>1406054056</v>
      </c>
      <c r="N14" s="94">
        <f>VLOOKUP(I14,BUNGA!$C$97:$D$98,2,0)</f>
        <v>1</v>
      </c>
      <c r="O14" s="4" t="s">
        <v>578</v>
      </c>
      <c r="P14" s="102">
        <v>0</v>
      </c>
      <c r="Q14" s="12">
        <v>0</v>
      </c>
      <c r="R14" s="12">
        <v>0</v>
      </c>
      <c r="S14" s="12">
        <v>0</v>
      </c>
      <c r="T14" s="12">
        <v>0</v>
      </c>
      <c r="U14" s="74"/>
      <c r="V14" s="17" t="s">
        <v>45</v>
      </c>
      <c r="W14" s="18" t="s">
        <v>188</v>
      </c>
      <c r="X14" s="17" t="s">
        <v>45</v>
      </c>
    </row>
    <row r="15" spans="1:24" s="3" customFormat="1" ht="30" customHeight="1" x14ac:dyDescent="0.2">
      <c r="A15" s="4">
        <f t="shared" si="1"/>
        <v>8</v>
      </c>
      <c r="B15" s="5" t="str">
        <f>VLOOKUP(C15,$W:$X,2,0)</f>
        <v>0307</v>
      </c>
      <c r="C15" s="23" t="s">
        <v>188</v>
      </c>
      <c r="D15" s="4" t="s">
        <v>225</v>
      </c>
      <c r="E15" s="5" t="s">
        <v>528</v>
      </c>
      <c r="F15" s="23" t="s">
        <v>509</v>
      </c>
      <c r="G15" s="5" t="s">
        <v>30</v>
      </c>
      <c r="H15" s="4" t="s">
        <v>515</v>
      </c>
      <c r="I15" s="4" t="s">
        <v>376</v>
      </c>
      <c r="J15" s="75">
        <f t="shared" ref="J15:J17" si="3">M15</f>
        <v>398528728</v>
      </c>
      <c r="K15" s="4">
        <v>2025</v>
      </c>
      <c r="L15" s="56">
        <f t="shared" si="2"/>
        <v>398528728</v>
      </c>
      <c r="M15" s="94">
        <v>398528728</v>
      </c>
      <c r="N15" s="94">
        <f>VLOOKUP(I15,BUNGA!$C$97:$D$98,2,0)</f>
        <v>1</v>
      </c>
      <c r="O15" s="4" t="s">
        <v>578</v>
      </c>
      <c r="P15" s="102">
        <v>0</v>
      </c>
      <c r="Q15" s="12">
        <v>0</v>
      </c>
      <c r="R15" s="12">
        <v>0</v>
      </c>
      <c r="S15" s="12">
        <v>0</v>
      </c>
      <c r="T15" s="12">
        <v>0</v>
      </c>
      <c r="U15" s="74"/>
      <c r="V15" s="17" t="s">
        <v>46</v>
      </c>
      <c r="W15" s="18" t="s">
        <v>47</v>
      </c>
      <c r="X15" s="17" t="s">
        <v>46</v>
      </c>
    </row>
    <row r="16" spans="1:24" s="3" customFormat="1" ht="30" customHeight="1" x14ac:dyDescent="0.2">
      <c r="A16" s="4">
        <f t="shared" si="1"/>
        <v>9</v>
      </c>
      <c r="B16" s="5" t="str">
        <f>VLOOKUP(C16,$W:$X,2,0)</f>
        <v>0307</v>
      </c>
      <c r="C16" s="23" t="s">
        <v>188</v>
      </c>
      <c r="D16" s="4" t="s">
        <v>225</v>
      </c>
      <c r="E16" s="5" t="s">
        <v>512</v>
      </c>
      <c r="F16" s="23" t="s">
        <v>513</v>
      </c>
      <c r="G16" s="5" t="s">
        <v>30</v>
      </c>
      <c r="H16" s="4" t="s">
        <v>515</v>
      </c>
      <c r="I16" s="4" t="s">
        <v>375</v>
      </c>
      <c r="J16" s="75">
        <f>L16</f>
        <v>374093546</v>
      </c>
      <c r="K16" s="4">
        <v>2025</v>
      </c>
      <c r="L16" s="56">
        <f t="shared" si="2"/>
        <v>374093546</v>
      </c>
      <c r="M16" s="94">
        <v>22298</v>
      </c>
      <c r="N16" s="94">
        <f>VLOOKUP(I16,BUNGA!$C$97:$D$98,2,0)</f>
        <v>16777</v>
      </c>
      <c r="O16" s="4" t="s">
        <v>578</v>
      </c>
      <c r="P16" s="102">
        <v>0</v>
      </c>
      <c r="Q16" s="12">
        <v>0</v>
      </c>
      <c r="R16" s="12">
        <v>0</v>
      </c>
      <c r="S16" s="12">
        <v>0</v>
      </c>
      <c r="T16" s="12">
        <v>0</v>
      </c>
      <c r="U16" s="74"/>
      <c r="V16" s="17" t="s">
        <v>48</v>
      </c>
      <c r="W16" s="18" t="s">
        <v>49</v>
      </c>
      <c r="X16" s="17" t="s">
        <v>48</v>
      </c>
    </row>
    <row r="17" spans="1:24" s="3" customFormat="1" ht="30" customHeight="1" x14ac:dyDescent="0.2">
      <c r="A17" s="4">
        <f t="shared" si="1"/>
        <v>10</v>
      </c>
      <c r="B17" s="5" t="str">
        <f>VLOOKUP(C17,$W:$X,2,0)</f>
        <v>0307</v>
      </c>
      <c r="C17" s="23" t="s">
        <v>188</v>
      </c>
      <c r="D17" s="4" t="s">
        <v>225</v>
      </c>
      <c r="E17" s="5" t="s">
        <v>528</v>
      </c>
      <c r="F17" s="23" t="s">
        <v>509</v>
      </c>
      <c r="G17" s="5" t="s">
        <v>30</v>
      </c>
      <c r="H17" s="4" t="s">
        <v>515</v>
      </c>
      <c r="I17" s="4" t="s">
        <v>376</v>
      </c>
      <c r="J17" s="75">
        <f t="shared" si="3"/>
        <v>1287534772</v>
      </c>
      <c r="K17" s="4">
        <v>2025</v>
      </c>
      <c r="L17" s="56">
        <f t="shared" si="2"/>
        <v>1287534772</v>
      </c>
      <c r="M17" s="94">
        <v>1287534772</v>
      </c>
      <c r="N17" s="94">
        <f>VLOOKUP(I17,BUNGA!$C$97:$D$98,2,0)</f>
        <v>1</v>
      </c>
      <c r="O17" s="4" t="s">
        <v>579</v>
      </c>
      <c r="P17" s="102">
        <v>0</v>
      </c>
      <c r="Q17" s="12">
        <v>0</v>
      </c>
      <c r="R17" s="12">
        <v>0</v>
      </c>
      <c r="S17" s="12">
        <v>0</v>
      </c>
      <c r="T17" s="12">
        <v>0</v>
      </c>
      <c r="U17" s="74"/>
      <c r="V17" s="17" t="s">
        <v>50</v>
      </c>
      <c r="W17" s="18" t="s">
        <v>51</v>
      </c>
      <c r="X17" s="17" t="s">
        <v>50</v>
      </c>
    </row>
    <row r="18" spans="1:24" s="3" customFormat="1" ht="30" customHeight="1" x14ac:dyDescent="0.2">
      <c r="A18" s="4">
        <f t="shared" si="1"/>
        <v>11</v>
      </c>
      <c r="B18" s="5" t="str">
        <f>VLOOKUP(C18,$W:$X,2,0)</f>
        <v>0305</v>
      </c>
      <c r="C18" s="23" t="s">
        <v>42</v>
      </c>
      <c r="D18" s="4" t="s">
        <v>225</v>
      </c>
      <c r="E18" s="5" t="s">
        <v>527</v>
      </c>
      <c r="F18" s="23" t="s">
        <v>529</v>
      </c>
      <c r="G18" s="5" t="s">
        <v>518</v>
      </c>
      <c r="H18" s="4" t="s">
        <v>515</v>
      </c>
      <c r="I18" s="4" t="s">
        <v>375</v>
      </c>
      <c r="J18" s="75">
        <f>L18</f>
        <v>2013240000</v>
      </c>
      <c r="K18" s="4">
        <v>2025</v>
      </c>
      <c r="L18" s="56">
        <f t="shared" ref="L18:L27" si="4">ROUNDDOWN(M18*N18,0)</f>
        <v>2013240000</v>
      </c>
      <c r="M18" s="94">
        <v>120000</v>
      </c>
      <c r="N18" s="94">
        <f>VLOOKUP(I18,BUNGA!$C$97:$D$98,2,0)</f>
        <v>16777</v>
      </c>
      <c r="O18" s="4" t="s">
        <v>578</v>
      </c>
      <c r="P18" s="102">
        <v>0</v>
      </c>
      <c r="Q18" s="12">
        <v>0</v>
      </c>
      <c r="R18" s="12">
        <v>0</v>
      </c>
      <c r="S18" s="12">
        <v>0</v>
      </c>
      <c r="T18" s="12">
        <v>0</v>
      </c>
      <c r="V18" s="17" t="s">
        <v>52</v>
      </c>
      <c r="W18" s="18" t="s">
        <v>32</v>
      </c>
      <c r="X18" s="17" t="s">
        <v>52</v>
      </c>
    </row>
    <row r="19" spans="1:24" s="3" customFormat="1" ht="30" customHeight="1" x14ac:dyDescent="0.2">
      <c r="A19" s="4">
        <f t="shared" si="1"/>
        <v>12</v>
      </c>
      <c r="B19" s="5" t="str">
        <f>VLOOKUP(C19,$W:$X,2,0)</f>
        <v>0305</v>
      </c>
      <c r="C19" s="23" t="s">
        <v>42</v>
      </c>
      <c r="D19" s="4" t="s">
        <v>225</v>
      </c>
      <c r="E19" s="5" t="s">
        <v>527</v>
      </c>
      <c r="F19" s="23" t="s">
        <v>529</v>
      </c>
      <c r="G19" s="5" t="s">
        <v>544</v>
      </c>
      <c r="H19" s="4" t="s">
        <v>515</v>
      </c>
      <c r="I19" s="4" t="s">
        <v>376</v>
      </c>
      <c r="J19" s="75">
        <v>1984096000</v>
      </c>
      <c r="K19" s="4">
        <v>2025</v>
      </c>
      <c r="L19" s="56">
        <f t="shared" ref="L19" si="5">ROUNDDOWN(M19*N19,0)</f>
        <v>1984096000</v>
      </c>
      <c r="M19" s="94">
        <v>1984096000</v>
      </c>
      <c r="N19" s="94">
        <f>VLOOKUP(I19,BUNGA!$C$97:$D$98,2,0)</f>
        <v>1</v>
      </c>
      <c r="O19" s="4" t="s">
        <v>578</v>
      </c>
      <c r="P19" s="102">
        <v>0</v>
      </c>
      <c r="Q19" s="12">
        <v>0</v>
      </c>
      <c r="R19" s="12">
        <v>0</v>
      </c>
      <c r="S19" s="12">
        <v>0</v>
      </c>
      <c r="T19" s="12">
        <v>0</v>
      </c>
    </row>
    <row r="20" spans="1:24" s="3" customFormat="1" ht="30" customHeight="1" x14ac:dyDescent="0.2">
      <c r="A20" s="4">
        <f t="shared" si="1"/>
        <v>13</v>
      </c>
      <c r="B20" s="5" t="str">
        <f>VLOOKUP(C20,$W:$X,2,0)</f>
        <v>0305</v>
      </c>
      <c r="C20" s="23" t="s">
        <v>42</v>
      </c>
      <c r="D20" s="4" t="s">
        <v>225</v>
      </c>
      <c r="E20" s="5" t="s">
        <v>527</v>
      </c>
      <c r="F20" s="23" t="s">
        <v>529</v>
      </c>
      <c r="G20" s="5" t="s">
        <v>519</v>
      </c>
      <c r="H20" s="4" t="s">
        <v>515</v>
      </c>
      <c r="I20" s="4" t="s">
        <v>376</v>
      </c>
      <c r="J20" s="75">
        <v>2000000000</v>
      </c>
      <c r="K20" s="4">
        <v>2025</v>
      </c>
      <c r="L20" s="56">
        <f t="shared" si="4"/>
        <v>2000000000</v>
      </c>
      <c r="M20" s="94">
        <v>2000000000</v>
      </c>
      <c r="N20" s="94">
        <f>VLOOKUP(I20,BUNGA!$C$97:$D$98,2,0)</f>
        <v>1</v>
      </c>
      <c r="O20" s="4" t="s">
        <v>578</v>
      </c>
      <c r="P20" s="102">
        <v>0</v>
      </c>
      <c r="Q20" s="12">
        <v>0</v>
      </c>
      <c r="R20" s="12">
        <v>0</v>
      </c>
      <c r="S20" s="12">
        <v>0</v>
      </c>
      <c r="T20" s="12">
        <v>0</v>
      </c>
    </row>
    <row r="21" spans="1:24" s="3" customFormat="1" ht="30" customHeight="1" x14ac:dyDescent="0.2">
      <c r="A21" s="4">
        <f t="shared" si="1"/>
        <v>14</v>
      </c>
      <c r="B21" s="5" t="str">
        <f>VLOOKUP(C21,$W:$X,2,0)</f>
        <v>0305</v>
      </c>
      <c r="C21" s="23" t="s">
        <v>42</v>
      </c>
      <c r="D21" s="4" t="s">
        <v>225</v>
      </c>
      <c r="E21" s="5" t="s">
        <v>527</v>
      </c>
      <c r="F21" s="23" t="s">
        <v>529</v>
      </c>
      <c r="G21" s="5" t="s">
        <v>520</v>
      </c>
      <c r="H21" s="4" t="s">
        <v>515</v>
      </c>
      <c r="I21" s="4" t="s">
        <v>376</v>
      </c>
      <c r="J21" s="75">
        <v>1700000000</v>
      </c>
      <c r="K21" s="4">
        <v>2025</v>
      </c>
      <c r="L21" s="56">
        <f t="shared" si="4"/>
        <v>1700000000</v>
      </c>
      <c r="M21" s="94">
        <v>1700000000</v>
      </c>
      <c r="N21" s="94">
        <f>VLOOKUP(I21,BUNGA!$C$97:$D$98,2,0)</f>
        <v>1</v>
      </c>
      <c r="O21" s="4" t="s">
        <v>578</v>
      </c>
      <c r="P21" s="102">
        <v>0</v>
      </c>
      <c r="Q21" s="12">
        <v>0</v>
      </c>
      <c r="R21" s="12">
        <v>0</v>
      </c>
      <c r="S21" s="12">
        <v>0</v>
      </c>
      <c r="T21" s="12">
        <v>0</v>
      </c>
    </row>
    <row r="22" spans="1:24" s="3" customFormat="1" ht="30" customHeight="1" x14ac:dyDescent="0.2">
      <c r="A22" s="4">
        <f t="shared" si="1"/>
        <v>15</v>
      </c>
      <c r="B22" s="5" t="str">
        <f>VLOOKUP(C22,$W:$X,2,0)</f>
        <v>0305</v>
      </c>
      <c r="C22" s="23" t="s">
        <v>42</v>
      </c>
      <c r="D22" s="4" t="s">
        <v>225</v>
      </c>
      <c r="E22" s="5" t="s">
        <v>527</v>
      </c>
      <c r="F22" s="23" t="s">
        <v>529</v>
      </c>
      <c r="G22" s="5" t="s">
        <v>521</v>
      </c>
      <c r="H22" s="4" t="s">
        <v>515</v>
      </c>
      <c r="I22" s="4" t="s">
        <v>376</v>
      </c>
      <c r="J22" s="75">
        <v>2500000000</v>
      </c>
      <c r="K22" s="4">
        <v>2025</v>
      </c>
      <c r="L22" s="56">
        <f t="shared" si="4"/>
        <v>2500000000</v>
      </c>
      <c r="M22" s="94">
        <v>2500000000</v>
      </c>
      <c r="N22" s="94">
        <f>VLOOKUP(I22,BUNGA!$C$97:$D$98,2,0)</f>
        <v>1</v>
      </c>
      <c r="O22" s="4" t="s">
        <v>578</v>
      </c>
      <c r="P22" s="102">
        <v>0</v>
      </c>
      <c r="Q22" s="12">
        <v>0</v>
      </c>
      <c r="R22" s="12">
        <v>0</v>
      </c>
      <c r="S22" s="12">
        <v>0</v>
      </c>
      <c r="T22" s="12">
        <v>0</v>
      </c>
      <c r="V22" s="3" t="s">
        <v>204</v>
      </c>
    </row>
    <row r="23" spans="1:24" s="3" customFormat="1" ht="30" customHeight="1" x14ac:dyDescent="0.2">
      <c r="A23" s="4">
        <f t="shared" si="1"/>
        <v>16</v>
      </c>
      <c r="B23" s="5" t="str">
        <f>VLOOKUP(C23,$W:$X,2,0)</f>
        <v>0305</v>
      </c>
      <c r="C23" s="23" t="s">
        <v>42</v>
      </c>
      <c r="D23" s="4" t="s">
        <v>225</v>
      </c>
      <c r="E23" s="5" t="s">
        <v>527</v>
      </c>
      <c r="F23" s="23" t="s">
        <v>529</v>
      </c>
      <c r="G23" s="5" t="s">
        <v>522</v>
      </c>
      <c r="H23" s="4" t="s">
        <v>515</v>
      </c>
      <c r="I23" s="4" t="s">
        <v>376</v>
      </c>
      <c r="J23" s="75">
        <v>2180000000</v>
      </c>
      <c r="K23" s="4">
        <v>2025</v>
      </c>
      <c r="L23" s="56">
        <f t="shared" si="4"/>
        <v>2180000000</v>
      </c>
      <c r="M23" s="94">
        <v>2180000000</v>
      </c>
      <c r="N23" s="94">
        <f>VLOOKUP(I23,BUNGA!$C$97:$D$98,2,0)</f>
        <v>1</v>
      </c>
      <c r="O23" s="4" t="s">
        <v>578</v>
      </c>
      <c r="P23" s="102">
        <v>0</v>
      </c>
      <c r="Q23" s="12">
        <v>0</v>
      </c>
      <c r="R23" s="12">
        <v>0</v>
      </c>
      <c r="S23" s="12">
        <v>0</v>
      </c>
      <c r="T23" s="12">
        <v>0</v>
      </c>
      <c r="V23" s="3" t="s">
        <v>205</v>
      </c>
      <c r="W23" s="3" t="s">
        <v>206</v>
      </c>
    </row>
    <row r="24" spans="1:24" s="3" customFormat="1" ht="30" customHeight="1" x14ac:dyDescent="0.2">
      <c r="A24" s="4">
        <f t="shared" si="1"/>
        <v>17</v>
      </c>
      <c r="B24" s="5" t="str">
        <f>VLOOKUP(C24,$W:$X,2,0)</f>
        <v>0305</v>
      </c>
      <c r="C24" s="23" t="s">
        <v>42</v>
      </c>
      <c r="D24" s="4" t="s">
        <v>225</v>
      </c>
      <c r="E24" s="5" t="s">
        <v>527</v>
      </c>
      <c r="F24" s="23" t="s">
        <v>529</v>
      </c>
      <c r="G24" s="5" t="s">
        <v>523</v>
      </c>
      <c r="H24" s="4" t="s">
        <v>515</v>
      </c>
      <c r="I24" s="4" t="s">
        <v>376</v>
      </c>
      <c r="J24" s="75">
        <v>1220000000</v>
      </c>
      <c r="K24" s="4">
        <v>2025</v>
      </c>
      <c r="L24" s="56">
        <f t="shared" si="4"/>
        <v>1220000000</v>
      </c>
      <c r="M24" s="94">
        <v>1220000000</v>
      </c>
      <c r="N24" s="94">
        <f>VLOOKUP(I24,BUNGA!$C$97:$D$98,2,0)</f>
        <v>1</v>
      </c>
      <c r="O24" s="4" t="s">
        <v>578</v>
      </c>
      <c r="P24" s="102">
        <v>0</v>
      </c>
      <c r="Q24" s="12">
        <v>0</v>
      </c>
      <c r="R24" s="12">
        <v>0</v>
      </c>
      <c r="S24" s="12">
        <v>0</v>
      </c>
      <c r="T24" s="12">
        <v>0</v>
      </c>
      <c r="V24" s="3" t="s">
        <v>207</v>
      </c>
      <c r="W24" s="3" t="s">
        <v>208</v>
      </c>
    </row>
    <row r="25" spans="1:24" s="3" customFormat="1" ht="30" customHeight="1" x14ac:dyDescent="0.2">
      <c r="A25" s="4">
        <f t="shared" si="1"/>
        <v>18</v>
      </c>
      <c r="B25" s="5" t="str">
        <f>VLOOKUP(C25,$W:$X,2,0)</f>
        <v>0305</v>
      </c>
      <c r="C25" s="23" t="s">
        <v>42</v>
      </c>
      <c r="D25" s="4" t="s">
        <v>225</v>
      </c>
      <c r="E25" s="5" t="s">
        <v>527</v>
      </c>
      <c r="F25" s="23" t="s">
        <v>529</v>
      </c>
      <c r="G25" s="5" t="s">
        <v>524</v>
      </c>
      <c r="H25" s="4" t="s">
        <v>515</v>
      </c>
      <c r="I25" s="4" t="s">
        <v>376</v>
      </c>
      <c r="J25" s="75">
        <v>3000000000</v>
      </c>
      <c r="K25" s="4">
        <v>2025</v>
      </c>
      <c r="L25" s="56">
        <f t="shared" si="4"/>
        <v>3000000000</v>
      </c>
      <c r="M25" s="94">
        <v>3000000000</v>
      </c>
      <c r="N25" s="94">
        <f>VLOOKUP(I25,BUNGA!$C$97:$D$98,2,0)</f>
        <v>1</v>
      </c>
      <c r="O25" s="4" t="s">
        <v>578</v>
      </c>
      <c r="P25" s="102">
        <v>0</v>
      </c>
      <c r="Q25" s="12">
        <v>0</v>
      </c>
      <c r="R25" s="12">
        <v>0</v>
      </c>
      <c r="S25" s="12">
        <v>0</v>
      </c>
      <c r="T25" s="12">
        <v>0</v>
      </c>
      <c r="V25" s="3" t="s">
        <v>209</v>
      </c>
      <c r="W25" s="3" t="s">
        <v>210</v>
      </c>
    </row>
    <row r="26" spans="1:24" s="3" customFormat="1" ht="30" customHeight="1" x14ac:dyDescent="0.2">
      <c r="A26" s="4">
        <f t="shared" si="1"/>
        <v>19</v>
      </c>
      <c r="B26" s="5" t="str">
        <f>VLOOKUP(C26,$W:$X,2,0)</f>
        <v>0305</v>
      </c>
      <c r="C26" s="23" t="s">
        <v>42</v>
      </c>
      <c r="D26" s="4" t="s">
        <v>225</v>
      </c>
      <c r="E26" s="5" t="s">
        <v>527</v>
      </c>
      <c r="F26" s="23" t="s">
        <v>529</v>
      </c>
      <c r="G26" s="5" t="s">
        <v>525</v>
      </c>
      <c r="H26" s="4" t="s">
        <v>515</v>
      </c>
      <c r="I26" s="4" t="s">
        <v>376</v>
      </c>
      <c r="J26" s="75">
        <v>620000000</v>
      </c>
      <c r="K26" s="4">
        <v>2025</v>
      </c>
      <c r="L26" s="56">
        <f t="shared" si="4"/>
        <v>620000000</v>
      </c>
      <c r="M26" s="94">
        <v>620000000</v>
      </c>
      <c r="N26" s="94">
        <f>VLOOKUP(I26,BUNGA!$C$97:$D$98,2,0)</f>
        <v>1</v>
      </c>
      <c r="O26" s="4" t="s">
        <v>579</v>
      </c>
      <c r="P26" s="102">
        <v>0</v>
      </c>
      <c r="Q26" s="12">
        <v>0</v>
      </c>
      <c r="R26" s="12">
        <v>0</v>
      </c>
      <c r="S26" s="12">
        <v>0</v>
      </c>
      <c r="T26" s="12">
        <v>0</v>
      </c>
    </row>
    <row r="27" spans="1:24" s="3" customFormat="1" ht="30" customHeight="1" x14ac:dyDescent="0.2">
      <c r="A27" s="4">
        <f t="shared" si="1"/>
        <v>20</v>
      </c>
      <c r="B27" s="5" t="str">
        <f>VLOOKUP(C27,$W:$X,2,0)</f>
        <v>0305</v>
      </c>
      <c r="C27" s="23" t="s">
        <v>42</v>
      </c>
      <c r="D27" s="4" t="s">
        <v>225</v>
      </c>
      <c r="E27" s="5" t="s">
        <v>527</v>
      </c>
      <c r="F27" s="23" t="s">
        <v>529</v>
      </c>
      <c r="G27" s="5" t="s">
        <v>526</v>
      </c>
      <c r="H27" s="4" t="s">
        <v>515</v>
      </c>
      <c r="I27" s="4" t="s">
        <v>376</v>
      </c>
      <c r="J27" s="75">
        <v>2150000000</v>
      </c>
      <c r="K27" s="4">
        <v>2025</v>
      </c>
      <c r="L27" s="56">
        <f t="shared" si="4"/>
        <v>2150000000</v>
      </c>
      <c r="M27" s="94">
        <v>2150000000</v>
      </c>
      <c r="N27" s="94">
        <f>VLOOKUP(I27,BUNGA!$C$97:$D$98,2,0)</f>
        <v>1</v>
      </c>
      <c r="O27" s="4" t="s">
        <v>579</v>
      </c>
      <c r="P27" s="102">
        <v>0</v>
      </c>
      <c r="Q27" s="12">
        <v>0</v>
      </c>
      <c r="R27" s="12">
        <v>0</v>
      </c>
      <c r="S27" s="12">
        <v>0</v>
      </c>
      <c r="T27" s="12">
        <v>0</v>
      </c>
    </row>
    <row r="28" spans="1:24" s="3" customFormat="1" ht="30" customHeight="1" x14ac:dyDescent="0.2">
      <c r="A28" s="4">
        <f t="shared" si="1"/>
        <v>21</v>
      </c>
      <c r="B28" s="5" t="str">
        <f>VLOOKUP(C28,$W:$X,2,0)</f>
        <v>0305</v>
      </c>
      <c r="C28" s="23" t="s">
        <v>42</v>
      </c>
      <c r="D28" s="4" t="s">
        <v>225</v>
      </c>
      <c r="E28" s="5" t="s">
        <v>548</v>
      </c>
      <c r="F28" s="23" t="s">
        <v>535</v>
      </c>
      <c r="G28" s="5" t="s">
        <v>547</v>
      </c>
      <c r="H28" s="4" t="s">
        <v>543</v>
      </c>
      <c r="I28" s="4" t="s">
        <v>375</v>
      </c>
      <c r="J28" s="75">
        <v>3355400000</v>
      </c>
      <c r="K28" s="4">
        <v>2025</v>
      </c>
      <c r="L28" s="56">
        <f t="shared" ref="L28" si="6">ROUNDDOWN(M28*N28,0)</f>
        <v>3355400000</v>
      </c>
      <c r="M28" s="94">
        <v>200000</v>
      </c>
      <c r="N28" s="94">
        <f>VLOOKUP(I28,BUNGA!$C$97:$D$98,2,0)</f>
        <v>16777</v>
      </c>
      <c r="O28" s="4" t="s">
        <v>578</v>
      </c>
      <c r="P28" s="102">
        <v>0</v>
      </c>
      <c r="Q28" s="12">
        <v>0</v>
      </c>
      <c r="R28" s="12">
        <v>0</v>
      </c>
      <c r="S28" s="12">
        <v>0</v>
      </c>
      <c r="T28" s="12">
        <v>0</v>
      </c>
    </row>
    <row r="29" spans="1:24" s="3" customFormat="1" ht="30" customHeight="1" x14ac:dyDescent="0.2">
      <c r="A29" s="4">
        <f t="shared" si="1"/>
        <v>22</v>
      </c>
      <c r="B29" s="5" t="str">
        <f>VLOOKUP(C29,$W:$X,2,0)</f>
        <v>0305</v>
      </c>
      <c r="C29" s="23" t="s">
        <v>42</v>
      </c>
      <c r="D29" s="4" t="s">
        <v>225</v>
      </c>
      <c r="E29" s="5" t="s">
        <v>244</v>
      </c>
      <c r="F29" s="23" t="s">
        <v>228</v>
      </c>
      <c r="G29" s="5" t="s">
        <v>848</v>
      </c>
      <c r="H29" s="4" t="s">
        <v>549</v>
      </c>
      <c r="I29" s="4" t="s">
        <v>376</v>
      </c>
      <c r="J29" s="75">
        <f>L29</f>
        <v>1200000000</v>
      </c>
      <c r="K29" s="4">
        <v>2025</v>
      </c>
      <c r="L29" s="56">
        <f t="shared" ref="L29:L46" si="7">ROUNDDOWN(M29*N29,0)</f>
        <v>1200000000</v>
      </c>
      <c r="M29" s="94">
        <v>1200000000</v>
      </c>
      <c r="N29" s="94">
        <f>VLOOKUP(I29,BUNGA!$C$97:$D$98,2,0)</f>
        <v>1</v>
      </c>
      <c r="O29" s="4" t="s">
        <v>578</v>
      </c>
      <c r="P29" s="102">
        <v>2000000000</v>
      </c>
      <c r="Q29" s="12">
        <v>2000000000</v>
      </c>
      <c r="R29" s="12">
        <v>2000000000</v>
      </c>
      <c r="S29" s="12">
        <v>2000000000</v>
      </c>
      <c r="T29" s="12">
        <v>2000000000</v>
      </c>
    </row>
    <row r="30" spans="1:24" s="3" customFormat="1" ht="30" customHeight="1" x14ac:dyDescent="0.2">
      <c r="A30" s="4">
        <f t="shared" si="1"/>
        <v>23</v>
      </c>
      <c r="B30" s="5" t="str">
        <f>VLOOKUP(C30,$W:$X,2,0)</f>
        <v>0305</v>
      </c>
      <c r="C30" s="23" t="s">
        <v>42</v>
      </c>
      <c r="D30" s="4" t="s">
        <v>225</v>
      </c>
      <c r="E30" s="5" t="s">
        <v>244</v>
      </c>
      <c r="F30" s="23" t="s">
        <v>228</v>
      </c>
      <c r="G30" s="5" t="s">
        <v>849</v>
      </c>
      <c r="H30" s="4" t="s">
        <v>549</v>
      </c>
      <c r="I30" s="4" t="s">
        <v>376</v>
      </c>
      <c r="J30" s="75">
        <f t="shared" ref="J30:J57" si="8">L30</f>
        <v>1600000000</v>
      </c>
      <c r="K30" s="4">
        <v>2025</v>
      </c>
      <c r="L30" s="56">
        <f t="shared" si="7"/>
        <v>1600000000</v>
      </c>
      <c r="M30" s="94">
        <v>1600000000</v>
      </c>
      <c r="N30" s="94">
        <f>VLOOKUP(I30,BUNGA!$C$97:$D$98,2,0)</f>
        <v>1</v>
      </c>
      <c r="O30" s="4" t="s">
        <v>578</v>
      </c>
      <c r="P30" s="102">
        <v>2000000000</v>
      </c>
      <c r="Q30" s="12">
        <v>2000000000</v>
      </c>
      <c r="R30" s="12">
        <v>2000000000</v>
      </c>
      <c r="S30" s="12">
        <v>2000000000</v>
      </c>
      <c r="T30" s="12">
        <v>2000000000</v>
      </c>
    </row>
    <row r="31" spans="1:24" s="3" customFormat="1" ht="30" customHeight="1" x14ac:dyDescent="0.2">
      <c r="A31" s="4">
        <f t="shared" si="1"/>
        <v>24</v>
      </c>
      <c r="B31" s="5" t="str">
        <f>VLOOKUP(C31,$W:$X,2,0)</f>
        <v>0305</v>
      </c>
      <c r="C31" s="23" t="s">
        <v>42</v>
      </c>
      <c r="D31" s="4" t="s">
        <v>225</v>
      </c>
      <c r="E31" s="5" t="s">
        <v>244</v>
      </c>
      <c r="F31" s="23" t="s">
        <v>228</v>
      </c>
      <c r="G31" s="5" t="s">
        <v>850</v>
      </c>
      <c r="H31" s="4" t="s">
        <v>549</v>
      </c>
      <c r="I31" s="4" t="s">
        <v>376</v>
      </c>
      <c r="J31" s="75">
        <f t="shared" si="8"/>
        <v>4500000000</v>
      </c>
      <c r="K31" s="4">
        <v>2025</v>
      </c>
      <c r="L31" s="56">
        <f t="shared" si="7"/>
        <v>4500000000</v>
      </c>
      <c r="M31" s="94">
        <v>4500000000</v>
      </c>
      <c r="N31" s="94">
        <f>VLOOKUP(I31,BUNGA!$C$97:$D$98,2,0)</f>
        <v>1</v>
      </c>
      <c r="O31" s="4" t="s">
        <v>578</v>
      </c>
      <c r="P31" s="102">
        <v>4500000000</v>
      </c>
      <c r="Q31" s="12">
        <v>4500000000</v>
      </c>
      <c r="R31" s="12">
        <v>4500000000</v>
      </c>
      <c r="S31" s="12">
        <v>4500000000</v>
      </c>
      <c r="T31" s="12">
        <v>4500000000</v>
      </c>
    </row>
    <row r="32" spans="1:24" s="3" customFormat="1" ht="30" customHeight="1" x14ac:dyDescent="0.2">
      <c r="A32" s="4">
        <f t="shared" si="1"/>
        <v>25</v>
      </c>
      <c r="B32" s="5" t="str">
        <f>VLOOKUP(C32,$W:$X,2,0)</f>
        <v>0305</v>
      </c>
      <c r="C32" s="23" t="s">
        <v>42</v>
      </c>
      <c r="D32" s="4" t="s">
        <v>225</v>
      </c>
      <c r="E32" s="5" t="s">
        <v>244</v>
      </c>
      <c r="F32" s="23" t="s">
        <v>228</v>
      </c>
      <c r="G32" s="5" t="s">
        <v>851</v>
      </c>
      <c r="H32" s="4" t="s">
        <v>549</v>
      </c>
      <c r="I32" s="4" t="s">
        <v>376</v>
      </c>
      <c r="J32" s="75">
        <f t="shared" si="8"/>
        <v>700000000</v>
      </c>
      <c r="K32" s="4">
        <v>2025</v>
      </c>
      <c r="L32" s="56">
        <f t="shared" si="7"/>
        <v>700000000</v>
      </c>
      <c r="M32" s="94">
        <v>700000000</v>
      </c>
      <c r="N32" s="94">
        <f>VLOOKUP(I32,BUNGA!$C$97:$D$98,2,0)</f>
        <v>1</v>
      </c>
      <c r="O32" s="4" t="s">
        <v>579</v>
      </c>
      <c r="P32" s="102">
        <v>2000000000</v>
      </c>
      <c r="Q32" s="12">
        <v>2000000000</v>
      </c>
      <c r="R32" s="12">
        <v>2000000000</v>
      </c>
      <c r="S32" s="12">
        <v>2000000000</v>
      </c>
      <c r="T32" s="12">
        <v>0</v>
      </c>
    </row>
    <row r="33" spans="1:20" s="3" customFormat="1" ht="30" customHeight="1" x14ac:dyDescent="0.2">
      <c r="A33" s="4">
        <f t="shared" si="1"/>
        <v>26</v>
      </c>
      <c r="B33" s="5" t="str">
        <f>VLOOKUP(C33,$W:$X,2,0)</f>
        <v>0305</v>
      </c>
      <c r="C33" s="23" t="s">
        <v>42</v>
      </c>
      <c r="D33" s="4" t="s">
        <v>225</v>
      </c>
      <c r="E33" s="5" t="s">
        <v>244</v>
      </c>
      <c r="F33" s="23" t="s">
        <v>228</v>
      </c>
      <c r="G33" s="5" t="s">
        <v>852</v>
      </c>
      <c r="H33" s="4" t="s">
        <v>549</v>
      </c>
      <c r="I33" s="4" t="s">
        <v>376</v>
      </c>
      <c r="J33" s="75">
        <f t="shared" si="8"/>
        <v>1200000000</v>
      </c>
      <c r="K33" s="4">
        <v>2025</v>
      </c>
      <c r="L33" s="56">
        <f t="shared" si="7"/>
        <v>1200000000</v>
      </c>
      <c r="M33" s="94">
        <v>1200000000</v>
      </c>
      <c r="N33" s="94">
        <f>VLOOKUP(I33,BUNGA!$C$97:$D$98,2,0)</f>
        <v>1</v>
      </c>
      <c r="O33" s="4" t="s">
        <v>579</v>
      </c>
      <c r="P33" s="102">
        <v>2000000000</v>
      </c>
      <c r="Q33" s="12">
        <v>2000000000</v>
      </c>
      <c r="R33" s="12">
        <v>2000000000</v>
      </c>
      <c r="S33" s="12">
        <v>2000000000</v>
      </c>
      <c r="T33" s="12">
        <v>2000000000</v>
      </c>
    </row>
    <row r="34" spans="1:20" s="3" customFormat="1" ht="30" customHeight="1" x14ac:dyDescent="0.2">
      <c r="A34" s="4">
        <f t="shared" si="1"/>
        <v>27</v>
      </c>
      <c r="B34" s="5" t="str">
        <f>VLOOKUP(C34,$W:$X,2,0)</f>
        <v>0305</v>
      </c>
      <c r="C34" s="23" t="s">
        <v>42</v>
      </c>
      <c r="D34" s="4" t="s">
        <v>225</v>
      </c>
      <c r="E34" s="5" t="s">
        <v>244</v>
      </c>
      <c r="F34" s="23" t="s">
        <v>228</v>
      </c>
      <c r="G34" s="5" t="s">
        <v>853</v>
      </c>
      <c r="H34" s="4" t="s">
        <v>549</v>
      </c>
      <c r="I34" s="4" t="s">
        <v>376</v>
      </c>
      <c r="J34" s="75">
        <f t="shared" si="8"/>
        <v>1000000000</v>
      </c>
      <c r="K34" s="4">
        <v>2025</v>
      </c>
      <c r="L34" s="56">
        <f t="shared" si="7"/>
        <v>1000000000</v>
      </c>
      <c r="M34" s="94">
        <v>1000000000</v>
      </c>
      <c r="N34" s="94">
        <f>VLOOKUP(I34,BUNGA!$C$97:$D$98,2,0)</f>
        <v>1</v>
      </c>
      <c r="O34" s="4" t="s">
        <v>579</v>
      </c>
      <c r="P34" s="102">
        <v>2000000000</v>
      </c>
      <c r="Q34" s="12">
        <v>2000000000</v>
      </c>
      <c r="R34" s="12">
        <v>2000000000</v>
      </c>
      <c r="S34" s="12">
        <v>2000000000</v>
      </c>
      <c r="T34" s="12">
        <v>2000000000</v>
      </c>
    </row>
    <row r="35" spans="1:20" s="3" customFormat="1" ht="30" customHeight="1" x14ac:dyDescent="0.2">
      <c r="A35" s="4">
        <f t="shared" si="1"/>
        <v>28</v>
      </c>
      <c r="B35" s="5" t="str">
        <f>VLOOKUP(C35,$W:$X,2,0)</f>
        <v>0305</v>
      </c>
      <c r="C35" s="23" t="s">
        <v>42</v>
      </c>
      <c r="D35" s="4" t="s">
        <v>225</v>
      </c>
      <c r="E35" s="5" t="s">
        <v>244</v>
      </c>
      <c r="F35" s="23" t="s">
        <v>228</v>
      </c>
      <c r="G35" s="5" t="s">
        <v>854</v>
      </c>
      <c r="H35" s="4" t="s">
        <v>549</v>
      </c>
      <c r="I35" s="4" t="s">
        <v>376</v>
      </c>
      <c r="J35" s="75">
        <f t="shared" si="8"/>
        <v>1200000000</v>
      </c>
      <c r="K35" s="4">
        <v>2025</v>
      </c>
      <c r="L35" s="56">
        <f t="shared" si="7"/>
        <v>1200000000</v>
      </c>
      <c r="M35" s="94">
        <v>1200000000</v>
      </c>
      <c r="N35" s="94">
        <f>VLOOKUP(I35,BUNGA!$C$97:$D$98,2,0)</f>
        <v>1</v>
      </c>
      <c r="O35" s="4" t="s">
        <v>579</v>
      </c>
      <c r="P35" s="102">
        <v>2000000000</v>
      </c>
      <c r="Q35" s="12">
        <v>2000000000</v>
      </c>
      <c r="R35" s="12">
        <v>2000000000</v>
      </c>
      <c r="S35" s="12">
        <v>2000000000</v>
      </c>
      <c r="T35" s="12">
        <v>2000000000</v>
      </c>
    </row>
    <row r="36" spans="1:20" s="3" customFormat="1" ht="30" customHeight="1" x14ac:dyDescent="0.2">
      <c r="A36" s="4">
        <f t="shared" si="1"/>
        <v>29</v>
      </c>
      <c r="B36" s="5" t="str">
        <f>VLOOKUP(C36,$W:$X,2,0)</f>
        <v>0305</v>
      </c>
      <c r="C36" s="23" t="s">
        <v>42</v>
      </c>
      <c r="D36" s="4" t="s">
        <v>225</v>
      </c>
      <c r="E36" s="5" t="s">
        <v>244</v>
      </c>
      <c r="F36" s="23" t="s">
        <v>228</v>
      </c>
      <c r="G36" s="5" t="s">
        <v>855</v>
      </c>
      <c r="H36" s="4" t="s">
        <v>549</v>
      </c>
      <c r="I36" s="4" t="s">
        <v>376</v>
      </c>
      <c r="J36" s="75">
        <f t="shared" si="8"/>
        <v>450000000</v>
      </c>
      <c r="K36" s="4">
        <v>2025</v>
      </c>
      <c r="L36" s="56">
        <f t="shared" si="7"/>
        <v>450000000</v>
      </c>
      <c r="M36" s="94">
        <v>450000000</v>
      </c>
      <c r="N36" s="94">
        <f>VLOOKUP(I36,BUNGA!$C$97:$D$98,2,0)</f>
        <v>1</v>
      </c>
      <c r="O36" s="4" t="s">
        <v>579</v>
      </c>
      <c r="P36" s="102">
        <v>700000000</v>
      </c>
      <c r="Q36" s="12">
        <v>700000000</v>
      </c>
      <c r="R36" s="12">
        <v>700000000</v>
      </c>
      <c r="S36" s="12">
        <v>700000000</v>
      </c>
      <c r="T36" s="12">
        <v>700000000</v>
      </c>
    </row>
    <row r="37" spans="1:20" s="3" customFormat="1" ht="30" customHeight="1" x14ac:dyDescent="0.2">
      <c r="A37" s="4">
        <f t="shared" si="1"/>
        <v>30</v>
      </c>
      <c r="B37" s="5" t="str">
        <f>VLOOKUP(C37,$W:$X,2,0)</f>
        <v>0305</v>
      </c>
      <c r="C37" s="23" t="s">
        <v>42</v>
      </c>
      <c r="D37" s="4" t="s">
        <v>225</v>
      </c>
      <c r="E37" s="5" t="s">
        <v>244</v>
      </c>
      <c r="F37" s="23" t="s">
        <v>228</v>
      </c>
      <c r="G37" s="5" t="s">
        <v>856</v>
      </c>
      <c r="H37" s="4" t="s">
        <v>549</v>
      </c>
      <c r="I37" s="4" t="s">
        <v>376</v>
      </c>
      <c r="J37" s="75">
        <f t="shared" si="8"/>
        <v>400000000</v>
      </c>
      <c r="K37" s="4">
        <v>2025</v>
      </c>
      <c r="L37" s="56">
        <f t="shared" si="7"/>
        <v>400000000</v>
      </c>
      <c r="M37" s="94">
        <v>400000000</v>
      </c>
      <c r="N37" s="94">
        <f>VLOOKUP(I37,BUNGA!$C$97:$D$98,2,0)</f>
        <v>1</v>
      </c>
      <c r="O37" s="4" t="s">
        <v>579</v>
      </c>
      <c r="P37" s="102">
        <v>1000000000</v>
      </c>
      <c r="Q37" s="12">
        <v>1000000000</v>
      </c>
      <c r="R37" s="12">
        <v>1000000000</v>
      </c>
      <c r="S37" s="12">
        <v>1000000000</v>
      </c>
      <c r="T37" s="12">
        <v>1000000000</v>
      </c>
    </row>
    <row r="38" spans="1:20" s="3" customFormat="1" ht="30" customHeight="1" x14ac:dyDescent="0.2">
      <c r="A38" s="4">
        <f t="shared" si="1"/>
        <v>31</v>
      </c>
      <c r="B38" s="5" t="str">
        <f>VLOOKUP(C38,$W:$X,2,0)</f>
        <v>0305</v>
      </c>
      <c r="C38" s="23" t="s">
        <v>42</v>
      </c>
      <c r="D38" s="4" t="s">
        <v>225</v>
      </c>
      <c r="E38" s="5" t="s">
        <v>244</v>
      </c>
      <c r="F38" s="23" t="s">
        <v>228</v>
      </c>
      <c r="G38" s="5" t="s">
        <v>857</v>
      </c>
      <c r="H38" s="4" t="s">
        <v>549</v>
      </c>
      <c r="I38" s="4" t="s">
        <v>376</v>
      </c>
      <c r="J38" s="75">
        <f t="shared" si="8"/>
        <v>2000000000</v>
      </c>
      <c r="K38" s="4">
        <v>2025</v>
      </c>
      <c r="L38" s="56">
        <f t="shared" si="7"/>
        <v>2000000000</v>
      </c>
      <c r="M38" s="94">
        <v>2000000000</v>
      </c>
      <c r="N38" s="94">
        <f>VLOOKUP(I38,BUNGA!$C$97:$D$98,2,0)</f>
        <v>1</v>
      </c>
      <c r="O38" s="4" t="s">
        <v>579</v>
      </c>
      <c r="P38" s="102">
        <v>3800000000</v>
      </c>
      <c r="Q38" s="12">
        <v>3800000000</v>
      </c>
      <c r="R38" s="12">
        <v>3800000000</v>
      </c>
      <c r="S38" s="12">
        <v>3800000000</v>
      </c>
      <c r="T38" s="12">
        <v>3800000000</v>
      </c>
    </row>
    <row r="39" spans="1:20" s="3" customFormat="1" ht="30" customHeight="1" x14ac:dyDescent="0.2">
      <c r="A39" s="4">
        <f t="shared" si="1"/>
        <v>32</v>
      </c>
      <c r="B39" s="5" t="str">
        <f>VLOOKUP(C39,$W:$X,2,0)</f>
        <v>0305</v>
      </c>
      <c r="C39" s="23" t="s">
        <v>42</v>
      </c>
      <c r="D39" s="4" t="s">
        <v>225</v>
      </c>
      <c r="E39" s="5" t="s">
        <v>244</v>
      </c>
      <c r="F39" s="23" t="s">
        <v>228</v>
      </c>
      <c r="G39" s="5" t="s">
        <v>858</v>
      </c>
      <c r="H39" s="4" t="s">
        <v>549</v>
      </c>
      <c r="I39" s="4" t="s">
        <v>376</v>
      </c>
      <c r="J39" s="75">
        <f t="shared" si="8"/>
        <v>1000000000</v>
      </c>
      <c r="K39" s="4">
        <v>2025</v>
      </c>
      <c r="L39" s="56">
        <f t="shared" si="7"/>
        <v>1000000000</v>
      </c>
      <c r="M39" s="94">
        <v>1000000000</v>
      </c>
      <c r="N39" s="94">
        <f>VLOOKUP(I39,BUNGA!$C$97:$D$98,2,0)</f>
        <v>1</v>
      </c>
      <c r="O39" s="4" t="s">
        <v>579</v>
      </c>
      <c r="P39" s="102">
        <v>2000000000</v>
      </c>
      <c r="Q39" s="12">
        <v>2000000000</v>
      </c>
      <c r="R39" s="12">
        <v>2000000000</v>
      </c>
      <c r="S39" s="12">
        <v>2000000000</v>
      </c>
      <c r="T39" s="12">
        <v>0</v>
      </c>
    </row>
    <row r="40" spans="1:20" s="3" customFormat="1" ht="30" customHeight="1" x14ac:dyDescent="0.2">
      <c r="A40" s="4">
        <f t="shared" si="1"/>
        <v>33</v>
      </c>
      <c r="B40" s="5" t="str">
        <f>VLOOKUP(C40,$W:$X,2,0)</f>
        <v>0305</v>
      </c>
      <c r="C40" s="23" t="s">
        <v>42</v>
      </c>
      <c r="D40" s="4" t="s">
        <v>225</v>
      </c>
      <c r="E40" s="5" t="s">
        <v>244</v>
      </c>
      <c r="F40" s="23" t="s">
        <v>228</v>
      </c>
      <c r="G40" s="5" t="s">
        <v>919</v>
      </c>
      <c r="H40" s="4" t="s">
        <v>549</v>
      </c>
      <c r="I40" s="4" t="s">
        <v>375</v>
      </c>
      <c r="J40" s="75">
        <f t="shared" si="8"/>
        <v>694383253</v>
      </c>
      <c r="K40" s="4">
        <v>2025</v>
      </c>
      <c r="L40" s="56">
        <f t="shared" si="7"/>
        <v>694383253</v>
      </c>
      <c r="M40" s="94">
        <v>41389</v>
      </c>
      <c r="N40" s="94">
        <f>VLOOKUP(I40,BUNGA!$C$97:$D$98,2,0)</f>
        <v>16777</v>
      </c>
      <c r="O40" s="4" t="s">
        <v>579</v>
      </c>
      <c r="P40" s="102">
        <v>667025085</v>
      </c>
      <c r="Q40" s="12">
        <v>3100000000</v>
      </c>
      <c r="R40" s="12">
        <v>3100000000</v>
      </c>
      <c r="S40" s="12">
        <v>2858800000</v>
      </c>
      <c r="T40" s="12">
        <v>0</v>
      </c>
    </row>
    <row r="41" spans="1:20" s="3" customFormat="1" ht="30" customHeight="1" x14ac:dyDescent="0.2">
      <c r="A41" s="4">
        <f t="shared" si="1"/>
        <v>34</v>
      </c>
      <c r="B41" s="5" t="str">
        <f>VLOOKUP(C41,$W:$X,2,0)</f>
        <v>0305</v>
      </c>
      <c r="C41" s="23" t="s">
        <v>42</v>
      </c>
      <c r="D41" s="4" t="s">
        <v>225</v>
      </c>
      <c r="E41" s="5" t="s">
        <v>244</v>
      </c>
      <c r="F41" s="23" t="s">
        <v>228</v>
      </c>
      <c r="G41" s="5" t="s">
        <v>859</v>
      </c>
      <c r="H41" s="4" t="s">
        <v>549</v>
      </c>
      <c r="I41" s="4" t="s">
        <v>376</v>
      </c>
      <c r="J41" s="75">
        <f t="shared" si="8"/>
        <v>1000000000</v>
      </c>
      <c r="K41" s="4">
        <v>2025</v>
      </c>
      <c r="L41" s="56">
        <f t="shared" si="7"/>
        <v>1000000000</v>
      </c>
      <c r="M41" s="94">
        <v>1000000000</v>
      </c>
      <c r="N41" s="94">
        <f>VLOOKUP(I41,BUNGA!$C$97:$D$98,2,0)</f>
        <v>1</v>
      </c>
      <c r="O41" s="4" t="s">
        <v>579</v>
      </c>
      <c r="P41" s="102">
        <v>2000000000</v>
      </c>
      <c r="Q41" s="12">
        <v>2000000000</v>
      </c>
      <c r="R41" s="12">
        <v>3000000000</v>
      </c>
      <c r="S41" s="12">
        <v>0</v>
      </c>
      <c r="T41" s="12">
        <v>0</v>
      </c>
    </row>
    <row r="42" spans="1:20" s="3" customFormat="1" ht="30" customHeight="1" x14ac:dyDescent="0.2">
      <c r="A42" s="4">
        <f t="shared" si="1"/>
        <v>35</v>
      </c>
      <c r="B42" s="5" t="str">
        <f>VLOOKUP(C42,$W:$X,2,0)</f>
        <v>0305</v>
      </c>
      <c r="C42" s="23" t="s">
        <v>42</v>
      </c>
      <c r="D42" s="4" t="s">
        <v>225</v>
      </c>
      <c r="E42" s="5" t="s">
        <v>244</v>
      </c>
      <c r="F42" s="23" t="s">
        <v>228</v>
      </c>
      <c r="G42" s="5" t="s">
        <v>921</v>
      </c>
      <c r="H42" s="4" t="s">
        <v>549</v>
      </c>
      <c r="I42" s="4" t="s">
        <v>375</v>
      </c>
      <c r="J42" s="75">
        <f t="shared" si="8"/>
        <v>5962210260</v>
      </c>
      <c r="K42" s="4">
        <v>2025</v>
      </c>
      <c r="L42" s="56">
        <f t="shared" si="7"/>
        <v>5962210260</v>
      </c>
      <c r="M42" s="94">
        <v>355380</v>
      </c>
      <c r="N42" s="94">
        <f>VLOOKUP(I42,BUNGA!$C$97:$D$98,2,0)</f>
        <v>16777</v>
      </c>
      <c r="O42" s="4" t="s">
        <v>579</v>
      </c>
      <c r="P42" s="102">
        <v>5550650460</v>
      </c>
      <c r="Q42" s="12">
        <v>5560200000</v>
      </c>
      <c r="R42" s="12">
        <v>0</v>
      </c>
      <c r="S42" s="12">
        <v>0</v>
      </c>
      <c r="T42" s="12">
        <v>0</v>
      </c>
    </row>
    <row r="43" spans="1:20" s="3" customFormat="1" ht="30" customHeight="1" x14ac:dyDescent="0.2">
      <c r="A43" s="4">
        <f t="shared" si="1"/>
        <v>36</v>
      </c>
      <c r="B43" s="5" t="str">
        <f>VLOOKUP(C43,$W:$X,2,0)</f>
        <v>0305</v>
      </c>
      <c r="C43" s="23" t="s">
        <v>42</v>
      </c>
      <c r="D43" s="4" t="s">
        <v>225</v>
      </c>
      <c r="E43" s="5" t="s">
        <v>244</v>
      </c>
      <c r="F43" s="23" t="s">
        <v>228</v>
      </c>
      <c r="G43" s="5" t="s">
        <v>920</v>
      </c>
      <c r="H43" s="4" t="s">
        <v>549</v>
      </c>
      <c r="I43" s="4" t="s">
        <v>375</v>
      </c>
      <c r="J43" s="75">
        <f t="shared" si="8"/>
        <v>1837081500</v>
      </c>
      <c r="K43" s="4">
        <v>2025</v>
      </c>
      <c r="L43" s="56">
        <f t="shared" si="7"/>
        <v>1837081500</v>
      </c>
      <c r="M43" s="94">
        <v>109500</v>
      </c>
      <c r="N43" s="94">
        <f>VLOOKUP(I43,BUNGA!$C$97:$D$98,2,0)</f>
        <v>16777</v>
      </c>
      <c r="O43" s="4" t="s">
        <v>578</v>
      </c>
      <c r="P43" s="102">
        <v>1527174075</v>
      </c>
      <c r="Q43" s="12">
        <v>1544500000</v>
      </c>
      <c r="R43" s="12">
        <v>0</v>
      </c>
      <c r="S43" s="12">
        <v>0</v>
      </c>
      <c r="T43" s="12">
        <v>0</v>
      </c>
    </row>
    <row r="44" spans="1:20" s="3" customFormat="1" ht="30" customHeight="1" x14ac:dyDescent="0.2">
      <c r="A44" s="4">
        <f t="shared" si="1"/>
        <v>37</v>
      </c>
      <c r="B44" s="5" t="str">
        <f>VLOOKUP(C44,$W:$X,2,0)</f>
        <v>0305</v>
      </c>
      <c r="C44" s="23" t="s">
        <v>42</v>
      </c>
      <c r="D44" s="4" t="s">
        <v>225</v>
      </c>
      <c r="E44" s="5" t="s">
        <v>244</v>
      </c>
      <c r="F44" s="23" t="s">
        <v>228</v>
      </c>
      <c r="G44" s="5" t="s">
        <v>860</v>
      </c>
      <c r="H44" s="4" t="s">
        <v>549</v>
      </c>
      <c r="I44" s="4" t="s">
        <v>375</v>
      </c>
      <c r="J44" s="75">
        <f t="shared" si="8"/>
        <v>3296680500</v>
      </c>
      <c r="K44" s="4">
        <v>2025</v>
      </c>
      <c r="L44" s="56">
        <f t="shared" si="7"/>
        <v>3296680500</v>
      </c>
      <c r="M44" s="94">
        <v>196500</v>
      </c>
      <c r="N44" s="94">
        <f>VLOOKUP(I44,BUNGA!$C$97:$D$98,2,0)</f>
        <v>16777</v>
      </c>
      <c r="O44" s="4" t="s">
        <v>578</v>
      </c>
      <c r="P44" s="102">
        <v>3039862650</v>
      </c>
      <c r="Q44" s="12">
        <v>0</v>
      </c>
      <c r="R44" s="12">
        <v>0</v>
      </c>
      <c r="S44" s="12">
        <v>0</v>
      </c>
      <c r="T44" s="12">
        <v>0</v>
      </c>
    </row>
    <row r="45" spans="1:20" s="3" customFormat="1" ht="30" customHeight="1" x14ac:dyDescent="0.2">
      <c r="A45" s="4">
        <f t="shared" si="1"/>
        <v>38</v>
      </c>
      <c r="B45" s="5" t="str">
        <f>VLOOKUP(C45,$W:$X,2,0)</f>
        <v>0305</v>
      </c>
      <c r="C45" s="23" t="s">
        <v>42</v>
      </c>
      <c r="D45" s="4" t="s">
        <v>225</v>
      </c>
      <c r="E45" s="5" t="s">
        <v>244</v>
      </c>
      <c r="F45" s="23" t="s">
        <v>228</v>
      </c>
      <c r="G45" s="5" t="s">
        <v>861</v>
      </c>
      <c r="H45" s="4" t="s">
        <v>549</v>
      </c>
      <c r="I45" s="4" t="s">
        <v>376</v>
      </c>
      <c r="J45" s="75">
        <f t="shared" si="8"/>
        <v>100000000</v>
      </c>
      <c r="K45" s="4">
        <v>2025</v>
      </c>
      <c r="L45" s="56">
        <f t="shared" si="7"/>
        <v>100000000</v>
      </c>
      <c r="M45" s="94">
        <v>100000000</v>
      </c>
      <c r="N45" s="94">
        <f>VLOOKUP(I45,BUNGA!$C$97:$D$98,2,0)</f>
        <v>1</v>
      </c>
      <c r="O45" s="4" t="s">
        <v>579</v>
      </c>
      <c r="P45" s="102">
        <v>100000000</v>
      </c>
      <c r="Q45" s="12">
        <v>0</v>
      </c>
      <c r="R45" s="12">
        <v>0</v>
      </c>
      <c r="S45" s="12">
        <v>0</v>
      </c>
      <c r="T45" s="12">
        <v>0</v>
      </c>
    </row>
    <row r="46" spans="1:20" s="3" customFormat="1" ht="30" customHeight="1" x14ac:dyDescent="0.2">
      <c r="A46" s="4">
        <f t="shared" si="1"/>
        <v>39</v>
      </c>
      <c r="B46" s="5" t="str">
        <f>VLOOKUP(C46,$W:$X,2,0)</f>
        <v>0305</v>
      </c>
      <c r="C46" s="23" t="s">
        <v>42</v>
      </c>
      <c r="D46" s="4" t="s">
        <v>225</v>
      </c>
      <c r="E46" s="5" t="s">
        <v>244</v>
      </c>
      <c r="F46" s="23" t="s">
        <v>228</v>
      </c>
      <c r="G46" s="5" t="s">
        <v>862</v>
      </c>
      <c r="H46" s="4" t="s">
        <v>549</v>
      </c>
      <c r="I46" s="4" t="s">
        <v>376</v>
      </c>
      <c r="J46" s="75">
        <f t="shared" si="8"/>
        <v>3000000000</v>
      </c>
      <c r="K46" s="4">
        <v>2025</v>
      </c>
      <c r="L46" s="56">
        <f t="shared" si="7"/>
        <v>3000000000</v>
      </c>
      <c r="M46" s="94">
        <v>3000000000</v>
      </c>
      <c r="N46" s="94">
        <f>VLOOKUP(I46,BUNGA!$C$97:$D$98,2,0)</f>
        <v>1</v>
      </c>
      <c r="O46" s="4" t="s">
        <v>579</v>
      </c>
      <c r="P46" s="102">
        <v>3000000000</v>
      </c>
      <c r="Q46" s="12">
        <v>0</v>
      </c>
      <c r="R46" s="12">
        <v>0</v>
      </c>
      <c r="S46" s="12">
        <v>0</v>
      </c>
      <c r="T46" s="12">
        <v>0</v>
      </c>
    </row>
    <row r="47" spans="1:20" s="3" customFormat="1" ht="30" customHeight="1" x14ac:dyDescent="0.2">
      <c r="A47" s="4">
        <f t="shared" si="1"/>
        <v>40</v>
      </c>
      <c r="B47" s="5" t="str">
        <f>VLOOKUP(C47,$W:$X,2,0)</f>
        <v>0305</v>
      </c>
      <c r="C47" s="23" t="s">
        <v>42</v>
      </c>
      <c r="D47" s="4" t="s">
        <v>225</v>
      </c>
      <c r="E47" s="5" t="s">
        <v>244</v>
      </c>
      <c r="F47" s="23" t="s">
        <v>228</v>
      </c>
      <c r="G47" s="5" t="s">
        <v>863</v>
      </c>
      <c r="H47" s="4" t="s">
        <v>549</v>
      </c>
      <c r="I47" s="4" t="s">
        <v>376</v>
      </c>
      <c r="J47" s="75">
        <f t="shared" si="8"/>
        <v>2000000000</v>
      </c>
      <c r="K47" s="4">
        <v>2025</v>
      </c>
      <c r="L47" s="56">
        <f t="shared" ref="L47" si="9">ROUNDDOWN(M47*N47,0)</f>
        <v>2000000000</v>
      </c>
      <c r="M47" s="94">
        <v>2000000000</v>
      </c>
      <c r="N47" s="94">
        <f>VLOOKUP(I47,BUNGA!$C$97:$D$98,2,0)</f>
        <v>1</v>
      </c>
      <c r="O47" s="4" t="s">
        <v>578</v>
      </c>
      <c r="P47" s="102">
        <v>0</v>
      </c>
      <c r="Q47" s="12">
        <v>0</v>
      </c>
      <c r="R47" s="12">
        <v>0</v>
      </c>
      <c r="S47" s="12">
        <v>0</v>
      </c>
      <c r="T47" s="12">
        <v>0</v>
      </c>
    </row>
    <row r="48" spans="1:20" s="3" customFormat="1" ht="30" customHeight="1" x14ac:dyDescent="0.2">
      <c r="A48" s="4">
        <f t="shared" si="1"/>
        <v>41</v>
      </c>
      <c r="B48" s="5" t="str">
        <f>VLOOKUP(C48,$W:$X,2,0)</f>
        <v>0305</v>
      </c>
      <c r="C48" s="23" t="s">
        <v>42</v>
      </c>
      <c r="D48" s="4" t="s">
        <v>225</v>
      </c>
      <c r="E48" s="5" t="s">
        <v>244</v>
      </c>
      <c r="F48" s="23" t="s">
        <v>228</v>
      </c>
      <c r="G48" s="5" t="s">
        <v>864</v>
      </c>
      <c r="H48" s="4" t="s">
        <v>549</v>
      </c>
      <c r="I48" s="4" t="s">
        <v>376</v>
      </c>
      <c r="J48" s="75">
        <f t="shared" si="8"/>
        <v>400000000</v>
      </c>
      <c r="K48" s="4">
        <v>2025</v>
      </c>
      <c r="L48" s="56">
        <f t="shared" ref="L48:L51" si="10">ROUNDDOWN(M48*N48,0)</f>
        <v>400000000</v>
      </c>
      <c r="M48" s="94">
        <v>400000000</v>
      </c>
      <c r="N48" s="94">
        <f>VLOOKUP(I48,BUNGA!$C$97:$D$98,2,0)</f>
        <v>1</v>
      </c>
      <c r="O48" s="4" t="s">
        <v>579</v>
      </c>
      <c r="P48" s="102">
        <v>0</v>
      </c>
      <c r="Q48" s="12">
        <v>0</v>
      </c>
      <c r="R48" s="12">
        <v>0</v>
      </c>
      <c r="S48" s="12">
        <v>0</v>
      </c>
      <c r="T48" s="12">
        <v>0</v>
      </c>
    </row>
    <row r="49" spans="1:20" s="3" customFormat="1" ht="30" customHeight="1" x14ac:dyDescent="0.2">
      <c r="A49" s="4">
        <f t="shared" si="1"/>
        <v>42</v>
      </c>
      <c r="B49" s="5" t="str">
        <f>VLOOKUP(C49,$W:$X,2,0)</f>
        <v>0305</v>
      </c>
      <c r="C49" s="23" t="s">
        <v>42</v>
      </c>
      <c r="D49" s="4" t="s">
        <v>225</v>
      </c>
      <c r="E49" s="5" t="s">
        <v>244</v>
      </c>
      <c r="F49" s="23" t="s">
        <v>228</v>
      </c>
      <c r="G49" s="5" t="s">
        <v>865</v>
      </c>
      <c r="H49" s="4" t="s">
        <v>549</v>
      </c>
      <c r="I49" s="4" t="s">
        <v>376</v>
      </c>
      <c r="J49" s="75">
        <f t="shared" si="8"/>
        <v>5000000000</v>
      </c>
      <c r="K49" s="4">
        <v>2025</v>
      </c>
      <c r="L49" s="56">
        <f t="shared" si="10"/>
        <v>5000000000</v>
      </c>
      <c r="M49" s="94">
        <v>5000000000</v>
      </c>
      <c r="N49" s="94">
        <f>VLOOKUP(I49,BUNGA!$C$97:$D$98,2,0)</f>
        <v>1</v>
      </c>
      <c r="O49" s="4" t="s">
        <v>579</v>
      </c>
      <c r="P49" s="102">
        <v>0</v>
      </c>
      <c r="Q49" s="12">
        <v>0</v>
      </c>
      <c r="R49" s="12">
        <v>0</v>
      </c>
      <c r="S49" s="12">
        <v>0</v>
      </c>
      <c r="T49" s="12">
        <v>0</v>
      </c>
    </row>
    <row r="50" spans="1:20" s="3" customFormat="1" ht="30" customHeight="1" x14ac:dyDescent="0.2">
      <c r="A50" s="4">
        <f t="shared" si="1"/>
        <v>43</v>
      </c>
      <c r="B50" s="5" t="str">
        <f>VLOOKUP(C50,$W:$X,2,0)</f>
        <v>0305</v>
      </c>
      <c r="C50" s="23" t="s">
        <v>42</v>
      </c>
      <c r="D50" s="4" t="s">
        <v>225</v>
      </c>
      <c r="E50" s="5" t="s">
        <v>244</v>
      </c>
      <c r="F50" s="23" t="s">
        <v>228</v>
      </c>
      <c r="G50" s="5" t="s">
        <v>866</v>
      </c>
      <c r="H50" s="4" t="s">
        <v>549</v>
      </c>
      <c r="I50" s="4" t="s">
        <v>376</v>
      </c>
      <c r="J50" s="75">
        <f t="shared" si="8"/>
        <v>100000000</v>
      </c>
      <c r="K50" s="4">
        <v>2025</v>
      </c>
      <c r="L50" s="56">
        <f t="shared" si="10"/>
        <v>100000000</v>
      </c>
      <c r="M50" s="94">
        <v>100000000</v>
      </c>
      <c r="N50" s="94">
        <f>VLOOKUP(I50,BUNGA!$C$97:$D$98,2,0)</f>
        <v>1</v>
      </c>
      <c r="O50" s="4" t="s">
        <v>579</v>
      </c>
      <c r="P50" s="102">
        <v>0</v>
      </c>
      <c r="Q50" s="12">
        <v>0</v>
      </c>
      <c r="R50" s="12">
        <v>0</v>
      </c>
      <c r="S50" s="12">
        <v>0</v>
      </c>
      <c r="T50" s="12">
        <v>0</v>
      </c>
    </row>
    <row r="51" spans="1:20" s="3" customFormat="1" ht="30" customHeight="1" x14ac:dyDescent="0.2">
      <c r="A51" s="4">
        <f t="shared" si="1"/>
        <v>44</v>
      </c>
      <c r="B51" s="5" t="str">
        <f>VLOOKUP(C51,$W:$X,2,0)</f>
        <v>0305</v>
      </c>
      <c r="C51" s="23" t="s">
        <v>42</v>
      </c>
      <c r="D51" s="4" t="s">
        <v>225</v>
      </c>
      <c r="E51" s="5" t="s">
        <v>244</v>
      </c>
      <c r="F51" s="23" t="s">
        <v>228</v>
      </c>
      <c r="G51" s="5" t="s">
        <v>867</v>
      </c>
      <c r="H51" s="4" t="s">
        <v>549</v>
      </c>
      <c r="I51" s="4" t="s">
        <v>375</v>
      </c>
      <c r="J51" s="75">
        <f t="shared" si="8"/>
        <v>1804836106</v>
      </c>
      <c r="K51" s="4">
        <v>2025</v>
      </c>
      <c r="L51" s="56">
        <f t="shared" si="10"/>
        <v>1804836106</v>
      </c>
      <c r="M51" s="94">
        <v>107578</v>
      </c>
      <c r="N51" s="94">
        <f>VLOOKUP(I51,BUNGA!$C$97:$D$98,2,0)</f>
        <v>16777</v>
      </c>
      <c r="O51" s="4" t="s">
        <v>579</v>
      </c>
      <c r="P51" s="102">
        <v>0</v>
      </c>
      <c r="Q51" s="12">
        <v>0</v>
      </c>
      <c r="R51" s="12">
        <v>0</v>
      </c>
      <c r="S51" s="12">
        <v>0</v>
      </c>
      <c r="T51" s="12">
        <v>0</v>
      </c>
    </row>
    <row r="52" spans="1:20" s="3" customFormat="1" ht="30" customHeight="1" x14ac:dyDescent="0.2">
      <c r="A52" s="4">
        <f t="shared" si="1"/>
        <v>45</v>
      </c>
      <c r="B52" s="5" t="str">
        <f>VLOOKUP(C52,$W:$X,2,0)</f>
        <v>0305</v>
      </c>
      <c r="C52" s="23" t="s">
        <v>42</v>
      </c>
      <c r="D52" s="4" t="s">
        <v>225</v>
      </c>
      <c r="E52" s="5" t="s">
        <v>244</v>
      </c>
      <c r="F52" s="23" t="s">
        <v>228</v>
      </c>
      <c r="G52" s="5" t="s">
        <v>868</v>
      </c>
      <c r="H52" s="4" t="s">
        <v>549</v>
      </c>
      <c r="I52" s="4" t="s">
        <v>375</v>
      </c>
      <c r="J52" s="75">
        <f t="shared" si="8"/>
        <v>4175510091</v>
      </c>
      <c r="K52" s="4">
        <v>2025</v>
      </c>
      <c r="L52" s="56">
        <f t="shared" ref="L52:L57" si="11">ROUNDDOWN(M52*N52,0)</f>
        <v>4175510091</v>
      </c>
      <c r="M52" s="94">
        <v>248883</v>
      </c>
      <c r="N52" s="94">
        <f>VLOOKUP(I52,BUNGA!$C$97:$D$98,2,0)</f>
        <v>16777</v>
      </c>
      <c r="O52" s="4" t="s">
        <v>579</v>
      </c>
      <c r="P52" s="102">
        <v>0</v>
      </c>
      <c r="Q52" s="12">
        <v>0</v>
      </c>
      <c r="R52" s="12">
        <v>0</v>
      </c>
      <c r="S52" s="12">
        <v>0</v>
      </c>
      <c r="T52" s="12">
        <v>0</v>
      </c>
    </row>
    <row r="53" spans="1:20" s="3" customFormat="1" ht="30" customHeight="1" x14ac:dyDescent="0.2">
      <c r="A53" s="4">
        <f t="shared" si="1"/>
        <v>46</v>
      </c>
      <c r="B53" s="5" t="str">
        <f>VLOOKUP(C53,$W:$X,2,0)</f>
        <v>0305</v>
      </c>
      <c r="C53" s="23" t="s">
        <v>42</v>
      </c>
      <c r="D53" s="4" t="s">
        <v>225</v>
      </c>
      <c r="E53" s="5" t="s">
        <v>244</v>
      </c>
      <c r="F53" s="23" t="s">
        <v>228</v>
      </c>
      <c r="G53" s="38" t="s">
        <v>1070</v>
      </c>
      <c r="H53" s="4" t="s">
        <v>549</v>
      </c>
      <c r="I53" s="4" t="s">
        <v>375</v>
      </c>
      <c r="J53" s="75">
        <f t="shared" si="8"/>
        <v>688242871</v>
      </c>
      <c r="K53" s="4">
        <v>2025</v>
      </c>
      <c r="L53" s="56">
        <f t="shared" si="11"/>
        <v>688242871</v>
      </c>
      <c r="M53" s="94">
        <v>41023</v>
      </c>
      <c r="N53" s="94">
        <f>VLOOKUP(I53,BUNGA!$C$97:$D$98,2,0)</f>
        <v>16777</v>
      </c>
      <c r="O53" s="4" t="s">
        <v>579</v>
      </c>
      <c r="P53" s="102">
        <v>0</v>
      </c>
      <c r="Q53" s="12">
        <v>0</v>
      </c>
      <c r="R53" s="12">
        <v>0</v>
      </c>
      <c r="S53" s="12">
        <v>0</v>
      </c>
      <c r="T53" s="12">
        <v>0</v>
      </c>
    </row>
    <row r="54" spans="1:20" s="3" customFormat="1" ht="30" customHeight="1" x14ac:dyDescent="0.2">
      <c r="A54" s="4">
        <f t="shared" si="1"/>
        <v>47</v>
      </c>
      <c r="B54" s="5" t="str">
        <f>VLOOKUP(C54,$W:$X,2,0)</f>
        <v>0305</v>
      </c>
      <c r="C54" s="23" t="s">
        <v>42</v>
      </c>
      <c r="D54" s="4" t="s">
        <v>225</v>
      </c>
      <c r="E54" s="5" t="s">
        <v>244</v>
      </c>
      <c r="F54" s="23" t="s">
        <v>228</v>
      </c>
      <c r="G54" s="5" t="s">
        <v>870</v>
      </c>
      <c r="H54" s="4" t="s">
        <v>549</v>
      </c>
      <c r="I54" s="4" t="s">
        <v>375</v>
      </c>
      <c r="J54" s="75">
        <f t="shared" si="8"/>
        <v>1668690751</v>
      </c>
      <c r="K54" s="4">
        <v>2025</v>
      </c>
      <c r="L54" s="56">
        <f t="shared" si="11"/>
        <v>1668690751</v>
      </c>
      <c r="M54" s="94">
        <v>99463</v>
      </c>
      <c r="N54" s="94">
        <f>VLOOKUP(I54,BUNGA!$C$97:$D$98,2,0)</f>
        <v>16777</v>
      </c>
      <c r="O54" s="4" t="s">
        <v>579</v>
      </c>
      <c r="P54" s="102">
        <v>0</v>
      </c>
      <c r="Q54" s="12">
        <v>0</v>
      </c>
      <c r="R54" s="12">
        <v>0</v>
      </c>
      <c r="S54" s="12">
        <v>0</v>
      </c>
      <c r="T54" s="12">
        <v>0</v>
      </c>
    </row>
    <row r="55" spans="1:20" s="3" customFormat="1" ht="30" customHeight="1" x14ac:dyDescent="0.2">
      <c r="A55" s="4">
        <f t="shared" si="1"/>
        <v>48</v>
      </c>
      <c r="B55" s="5" t="str">
        <f>VLOOKUP(C55,$W:$X,2,0)</f>
        <v>0305</v>
      </c>
      <c r="C55" s="23" t="s">
        <v>42</v>
      </c>
      <c r="D55" s="4" t="s">
        <v>225</v>
      </c>
      <c r="E55" s="5" t="s">
        <v>244</v>
      </c>
      <c r="F55" s="23" t="s">
        <v>228</v>
      </c>
      <c r="G55" s="5" t="s">
        <v>871</v>
      </c>
      <c r="H55" s="4" t="s">
        <v>549</v>
      </c>
      <c r="I55" s="4" t="s">
        <v>375</v>
      </c>
      <c r="J55" s="75">
        <f t="shared" si="8"/>
        <v>1822653280</v>
      </c>
      <c r="K55" s="4">
        <v>2025</v>
      </c>
      <c r="L55" s="56">
        <f t="shared" si="11"/>
        <v>1822653280</v>
      </c>
      <c r="M55" s="94">
        <v>108640</v>
      </c>
      <c r="N55" s="94">
        <f>VLOOKUP(I55,BUNGA!$C$97:$D$98,2,0)</f>
        <v>16777</v>
      </c>
      <c r="O55" s="4" t="s">
        <v>579</v>
      </c>
      <c r="P55" s="102">
        <v>0</v>
      </c>
      <c r="Q55" s="12">
        <v>0</v>
      </c>
      <c r="R55" s="12">
        <v>0</v>
      </c>
      <c r="S55" s="12">
        <v>0</v>
      </c>
      <c r="T55" s="12">
        <v>0</v>
      </c>
    </row>
    <row r="56" spans="1:20" s="3" customFormat="1" ht="30" customHeight="1" x14ac:dyDescent="0.2">
      <c r="A56" s="4">
        <f t="shared" si="1"/>
        <v>49</v>
      </c>
      <c r="B56" s="5" t="str">
        <f>VLOOKUP(C56,$W:$X,2,0)</f>
        <v>0305</v>
      </c>
      <c r="C56" s="23" t="s">
        <v>42</v>
      </c>
      <c r="D56" s="4" t="s">
        <v>225</v>
      </c>
      <c r="E56" s="5" t="s">
        <v>244</v>
      </c>
      <c r="F56" s="23" t="s">
        <v>228</v>
      </c>
      <c r="G56" s="5" t="s">
        <v>872</v>
      </c>
      <c r="H56" s="4" t="s">
        <v>549</v>
      </c>
      <c r="I56" s="4" t="s">
        <v>375</v>
      </c>
      <c r="J56" s="75">
        <f t="shared" si="8"/>
        <v>1802973859</v>
      </c>
      <c r="K56" s="4">
        <v>2025</v>
      </c>
      <c r="L56" s="56">
        <f t="shared" si="11"/>
        <v>1802973859</v>
      </c>
      <c r="M56" s="94">
        <v>107467</v>
      </c>
      <c r="N56" s="94">
        <f>VLOOKUP(I56,BUNGA!$C$97:$D$98,2,0)</f>
        <v>16777</v>
      </c>
      <c r="O56" s="4" t="s">
        <v>579</v>
      </c>
      <c r="P56" s="102">
        <v>0</v>
      </c>
      <c r="Q56" s="12">
        <v>0</v>
      </c>
      <c r="R56" s="12">
        <v>0</v>
      </c>
      <c r="S56" s="12">
        <v>0</v>
      </c>
      <c r="T56" s="12">
        <v>0</v>
      </c>
    </row>
    <row r="57" spans="1:20" s="3" customFormat="1" ht="30" customHeight="1" x14ac:dyDescent="0.2">
      <c r="A57" s="4">
        <f t="shared" si="1"/>
        <v>50</v>
      </c>
      <c r="B57" s="5" t="str">
        <f>VLOOKUP(C57,$W:$X,2,0)</f>
        <v>0305</v>
      </c>
      <c r="C57" s="23" t="s">
        <v>42</v>
      </c>
      <c r="D57" s="4" t="s">
        <v>225</v>
      </c>
      <c r="E57" s="5" t="s">
        <v>244</v>
      </c>
      <c r="F57" s="23" t="s">
        <v>228</v>
      </c>
      <c r="G57" s="5" t="s">
        <v>873</v>
      </c>
      <c r="H57" s="4" t="s">
        <v>549</v>
      </c>
      <c r="I57" s="4" t="s">
        <v>375</v>
      </c>
      <c r="J57" s="75">
        <f t="shared" si="8"/>
        <v>1970525758</v>
      </c>
      <c r="K57" s="4">
        <v>2025</v>
      </c>
      <c r="L57" s="56">
        <f t="shared" si="11"/>
        <v>1970525758</v>
      </c>
      <c r="M57" s="94">
        <v>117454</v>
      </c>
      <c r="N57" s="94">
        <f>VLOOKUP(I57,BUNGA!$C$97:$D$98,2,0)</f>
        <v>16777</v>
      </c>
      <c r="O57" s="4" t="s">
        <v>579</v>
      </c>
      <c r="P57" s="102">
        <v>0</v>
      </c>
      <c r="Q57" s="12">
        <v>0</v>
      </c>
      <c r="R57" s="12">
        <v>0</v>
      </c>
      <c r="S57" s="12">
        <v>0</v>
      </c>
      <c r="T57" s="12">
        <v>0</v>
      </c>
    </row>
    <row r="58" spans="1:20" s="3" customFormat="1" ht="30" customHeight="1" x14ac:dyDescent="0.2">
      <c r="A58" s="4">
        <f t="shared" si="1"/>
        <v>51</v>
      </c>
      <c r="B58" s="5" t="str">
        <f>VLOOKUP(C58,$W:$X,2,0)</f>
        <v>0305</v>
      </c>
      <c r="C58" s="23" t="s">
        <v>42</v>
      </c>
      <c r="D58" s="4" t="s">
        <v>225</v>
      </c>
      <c r="E58" s="5" t="s">
        <v>607</v>
      </c>
      <c r="F58" s="23" t="s">
        <v>378</v>
      </c>
      <c r="G58" s="5" t="s">
        <v>874</v>
      </c>
      <c r="H58" s="4" t="s">
        <v>591</v>
      </c>
      <c r="I58" s="4" t="s">
        <v>376</v>
      </c>
      <c r="J58" s="75">
        <f t="shared" ref="J58" si="12">L58</f>
        <v>2000000000</v>
      </c>
      <c r="K58" s="4">
        <v>2020</v>
      </c>
      <c r="L58" s="56">
        <f t="shared" ref="L58" si="13">ROUNDDOWN(M58*N58,0)</f>
        <v>2000000000</v>
      </c>
      <c r="M58" s="94">
        <v>2000000000</v>
      </c>
      <c r="N58" s="94">
        <f>VLOOKUP(I58,BUNGA!$C$97:$D$98,2,0)</f>
        <v>1</v>
      </c>
      <c r="O58" s="4" t="s">
        <v>578</v>
      </c>
      <c r="P58" s="102">
        <v>2000000000</v>
      </c>
      <c r="Q58" s="12">
        <v>2000000000</v>
      </c>
      <c r="R58" s="12">
        <v>2000000000</v>
      </c>
      <c r="S58" s="12">
        <v>2000000000</v>
      </c>
      <c r="T58" s="12">
        <v>2000000000</v>
      </c>
    </row>
    <row r="59" spans="1:20" s="3" customFormat="1" ht="30" customHeight="1" x14ac:dyDescent="0.2">
      <c r="A59" s="4">
        <f t="shared" si="1"/>
        <v>52</v>
      </c>
      <c r="B59" s="5" t="str">
        <f>VLOOKUP(C59,$W:$X,2,0)</f>
        <v>0305</v>
      </c>
      <c r="C59" s="23" t="s">
        <v>42</v>
      </c>
      <c r="D59" s="4" t="s">
        <v>225</v>
      </c>
      <c r="E59" s="5" t="s">
        <v>607</v>
      </c>
      <c r="F59" s="23" t="s">
        <v>378</v>
      </c>
      <c r="G59" s="5" t="s">
        <v>875</v>
      </c>
      <c r="H59" s="4" t="s">
        <v>591</v>
      </c>
      <c r="I59" s="4" t="s">
        <v>376</v>
      </c>
      <c r="J59" s="75">
        <f t="shared" ref="J59:J65" si="14">L59</f>
        <v>2000000000</v>
      </c>
      <c r="K59" s="4">
        <v>2020</v>
      </c>
      <c r="L59" s="56">
        <f t="shared" ref="L59:L65" si="15">ROUNDDOWN(M59*N59,0)</f>
        <v>2000000000</v>
      </c>
      <c r="M59" s="94">
        <v>2000000000</v>
      </c>
      <c r="N59" s="94">
        <f>VLOOKUP(I59,BUNGA!$C$97:$D$98,2,0)</f>
        <v>1</v>
      </c>
      <c r="O59" s="4" t="s">
        <v>578</v>
      </c>
      <c r="P59" s="102">
        <v>3000000000</v>
      </c>
      <c r="Q59" s="12">
        <v>3000000000</v>
      </c>
      <c r="R59" s="12">
        <v>3000000000</v>
      </c>
      <c r="S59" s="12">
        <v>3000000000</v>
      </c>
      <c r="T59" s="12">
        <v>3000000000</v>
      </c>
    </row>
    <row r="60" spans="1:20" s="3" customFormat="1" ht="30" customHeight="1" x14ac:dyDescent="0.2">
      <c r="A60" s="4">
        <f t="shared" si="1"/>
        <v>53</v>
      </c>
      <c r="B60" s="5" t="str">
        <f>VLOOKUP(C60,$W:$X,2,0)</f>
        <v>0305</v>
      </c>
      <c r="C60" s="23" t="s">
        <v>42</v>
      </c>
      <c r="D60" s="4" t="s">
        <v>225</v>
      </c>
      <c r="E60" s="5" t="s">
        <v>607</v>
      </c>
      <c r="F60" s="23" t="s">
        <v>378</v>
      </c>
      <c r="G60" s="5" t="s">
        <v>857</v>
      </c>
      <c r="H60" s="4" t="s">
        <v>591</v>
      </c>
      <c r="I60" s="4" t="s">
        <v>376</v>
      </c>
      <c r="J60" s="75">
        <f t="shared" si="14"/>
        <v>2000000000</v>
      </c>
      <c r="K60" s="4">
        <v>2020</v>
      </c>
      <c r="L60" s="56">
        <f t="shared" si="15"/>
        <v>2000000000</v>
      </c>
      <c r="M60" s="94">
        <v>2000000000</v>
      </c>
      <c r="N60" s="94">
        <f>VLOOKUP(I60,BUNGA!$C$97:$D$98,2,0)</f>
        <v>1</v>
      </c>
      <c r="O60" s="4" t="s">
        <v>579</v>
      </c>
      <c r="P60" s="102">
        <v>2000000000</v>
      </c>
      <c r="Q60" s="12">
        <v>2000000000</v>
      </c>
      <c r="R60" s="12">
        <v>2000000000</v>
      </c>
      <c r="S60" s="12">
        <v>2000000000</v>
      </c>
      <c r="T60" s="12">
        <v>2000000000</v>
      </c>
    </row>
    <row r="61" spans="1:20" s="3" customFormat="1" ht="30" customHeight="1" x14ac:dyDescent="0.2">
      <c r="A61" s="4">
        <f t="shared" si="1"/>
        <v>54</v>
      </c>
      <c r="B61" s="5" t="str">
        <f>VLOOKUP(C61,$W:$X,2,0)</f>
        <v>0305</v>
      </c>
      <c r="C61" s="23" t="s">
        <v>42</v>
      </c>
      <c r="D61" s="4" t="s">
        <v>225</v>
      </c>
      <c r="E61" s="5" t="s">
        <v>607</v>
      </c>
      <c r="F61" s="23" t="s">
        <v>378</v>
      </c>
      <c r="G61" s="5" t="s">
        <v>874</v>
      </c>
      <c r="H61" s="4" t="s">
        <v>591</v>
      </c>
      <c r="I61" s="4" t="s">
        <v>376</v>
      </c>
      <c r="J61" s="75">
        <f t="shared" si="14"/>
        <v>2000000000</v>
      </c>
      <c r="K61" s="4">
        <v>2020</v>
      </c>
      <c r="L61" s="56">
        <f t="shared" si="15"/>
        <v>2000000000</v>
      </c>
      <c r="M61" s="94">
        <v>2000000000</v>
      </c>
      <c r="N61" s="94">
        <f>VLOOKUP(I61,BUNGA!$C$97:$D$98,2,0)</f>
        <v>1</v>
      </c>
      <c r="O61" s="4" t="s">
        <v>579</v>
      </c>
      <c r="P61" s="102">
        <v>3000000000</v>
      </c>
      <c r="Q61" s="12">
        <v>3000000000</v>
      </c>
      <c r="R61" s="12">
        <v>3000000000</v>
      </c>
      <c r="S61" s="12">
        <v>3000000000</v>
      </c>
      <c r="T61" s="12">
        <v>3000000000</v>
      </c>
    </row>
    <row r="62" spans="1:20" s="3" customFormat="1" ht="30" customHeight="1" x14ac:dyDescent="0.2">
      <c r="A62" s="4">
        <f t="shared" si="1"/>
        <v>55</v>
      </c>
      <c r="B62" s="5" t="str">
        <f>VLOOKUP(C62,$W:$X,2,0)</f>
        <v>0305</v>
      </c>
      <c r="C62" s="23" t="s">
        <v>42</v>
      </c>
      <c r="D62" s="4" t="s">
        <v>225</v>
      </c>
      <c r="E62" s="5" t="s">
        <v>607</v>
      </c>
      <c r="F62" s="23" t="s">
        <v>378</v>
      </c>
      <c r="G62" s="5" t="s">
        <v>876</v>
      </c>
      <c r="H62" s="4" t="s">
        <v>591</v>
      </c>
      <c r="I62" s="4" t="s">
        <v>376</v>
      </c>
      <c r="J62" s="75">
        <f t="shared" si="14"/>
        <v>2000000000</v>
      </c>
      <c r="K62" s="4">
        <v>2021</v>
      </c>
      <c r="L62" s="56">
        <f t="shared" si="15"/>
        <v>2000000000</v>
      </c>
      <c r="M62" s="94">
        <v>2000000000</v>
      </c>
      <c r="N62" s="94">
        <f>VLOOKUP(I62,BUNGA!$C$97:$D$98,2,0)</f>
        <v>1</v>
      </c>
      <c r="O62" s="4" t="s">
        <v>578</v>
      </c>
      <c r="P62" s="102">
        <v>2000000000</v>
      </c>
      <c r="Q62" s="12">
        <v>2000000000</v>
      </c>
      <c r="R62" s="12">
        <v>0</v>
      </c>
      <c r="S62" s="12">
        <v>0</v>
      </c>
      <c r="T62" s="12">
        <v>0</v>
      </c>
    </row>
    <row r="63" spans="1:20" s="3" customFormat="1" ht="30" customHeight="1" x14ac:dyDescent="0.2">
      <c r="A63" s="4">
        <f t="shared" si="1"/>
        <v>56</v>
      </c>
      <c r="B63" s="5" t="str">
        <f>VLOOKUP(C63,$W:$X,2,0)</f>
        <v>0305</v>
      </c>
      <c r="C63" s="23" t="s">
        <v>42</v>
      </c>
      <c r="D63" s="4" t="s">
        <v>225</v>
      </c>
      <c r="E63" s="5" t="s">
        <v>607</v>
      </c>
      <c r="F63" s="23" t="s">
        <v>378</v>
      </c>
      <c r="G63" s="5" t="s">
        <v>877</v>
      </c>
      <c r="H63" s="4" t="s">
        <v>591</v>
      </c>
      <c r="I63" s="4" t="s">
        <v>375</v>
      </c>
      <c r="J63" s="75">
        <f t="shared" si="14"/>
        <v>2013240000</v>
      </c>
      <c r="K63" s="4">
        <v>2024</v>
      </c>
      <c r="L63" s="56">
        <f t="shared" si="15"/>
        <v>2013240000</v>
      </c>
      <c r="M63" s="94">
        <v>120000</v>
      </c>
      <c r="N63" s="94">
        <f>VLOOKUP(I63,BUNGA!$C$97:$D$98,2,0)</f>
        <v>16777</v>
      </c>
      <c r="O63" s="4" t="s">
        <v>578</v>
      </c>
      <c r="P63" s="102">
        <v>804750000</v>
      </c>
      <c r="Q63" s="12">
        <v>0</v>
      </c>
      <c r="R63" s="12">
        <v>0</v>
      </c>
      <c r="S63" s="12">
        <v>0</v>
      </c>
      <c r="T63" s="12">
        <v>0</v>
      </c>
    </row>
    <row r="64" spans="1:20" s="3" customFormat="1" ht="30" customHeight="1" x14ac:dyDescent="0.2">
      <c r="A64" s="4">
        <f t="shared" si="1"/>
        <v>57</v>
      </c>
      <c r="B64" s="5" t="str">
        <f>VLOOKUP(C64,$W:$X,2,0)</f>
        <v>0305</v>
      </c>
      <c r="C64" s="23" t="s">
        <v>42</v>
      </c>
      <c r="D64" s="4" t="s">
        <v>225</v>
      </c>
      <c r="E64" s="5" t="s">
        <v>607</v>
      </c>
      <c r="F64" s="23" t="s">
        <v>378</v>
      </c>
      <c r="G64" s="5" t="s">
        <v>878</v>
      </c>
      <c r="H64" s="4" t="s">
        <v>591</v>
      </c>
      <c r="I64" s="4" t="s">
        <v>375</v>
      </c>
      <c r="J64" s="75">
        <f t="shared" si="14"/>
        <v>2013240000</v>
      </c>
      <c r="K64" s="4">
        <v>2024</v>
      </c>
      <c r="L64" s="56">
        <f t="shared" si="15"/>
        <v>2013240000</v>
      </c>
      <c r="M64" s="94">
        <v>120000</v>
      </c>
      <c r="N64" s="94">
        <f>VLOOKUP(I64,BUNGA!$C$97:$D$98,2,0)</f>
        <v>16777</v>
      </c>
      <c r="O64" s="4" t="s">
        <v>578</v>
      </c>
      <c r="P64" s="102">
        <v>3219000000</v>
      </c>
      <c r="Q64" s="12">
        <v>0</v>
      </c>
      <c r="R64" s="12">
        <v>0</v>
      </c>
      <c r="S64" s="12">
        <v>0</v>
      </c>
      <c r="T64" s="12">
        <v>0</v>
      </c>
    </row>
    <row r="65" spans="1:22" s="3" customFormat="1" ht="30" customHeight="1" x14ac:dyDescent="0.2">
      <c r="A65" s="4">
        <f t="shared" si="1"/>
        <v>58</v>
      </c>
      <c r="B65" s="5" t="str">
        <f>VLOOKUP(C65,$W:$X,2,0)</f>
        <v>0305</v>
      </c>
      <c r="C65" s="23" t="s">
        <v>42</v>
      </c>
      <c r="D65" s="4" t="s">
        <v>225</v>
      </c>
      <c r="E65" s="5" t="s">
        <v>607</v>
      </c>
      <c r="F65" s="23" t="s">
        <v>378</v>
      </c>
      <c r="G65" s="5" t="s">
        <v>879</v>
      </c>
      <c r="H65" s="4" t="s">
        <v>591</v>
      </c>
      <c r="I65" s="4" t="s">
        <v>375</v>
      </c>
      <c r="J65" s="75">
        <f t="shared" si="14"/>
        <v>3355400000</v>
      </c>
      <c r="K65" s="4">
        <v>2024</v>
      </c>
      <c r="L65" s="56">
        <f t="shared" si="15"/>
        <v>3355400000</v>
      </c>
      <c r="M65" s="94">
        <v>200000</v>
      </c>
      <c r="N65" s="94">
        <f>VLOOKUP(I65,BUNGA!$C$97:$D$98,2,0)</f>
        <v>16777</v>
      </c>
      <c r="O65" s="4" t="s">
        <v>578</v>
      </c>
      <c r="P65" s="102">
        <v>3219000000</v>
      </c>
      <c r="Q65" s="12">
        <v>0</v>
      </c>
      <c r="R65" s="12">
        <v>0</v>
      </c>
      <c r="S65" s="12">
        <v>0</v>
      </c>
      <c r="T65" s="12">
        <v>0</v>
      </c>
    </row>
    <row r="66" spans="1:22" s="3" customFormat="1" ht="30" customHeight="1" x14ac:dyDescent="0.2">
      <c r="A66" s="4">
        <f t="shared" si="1"/>
        <v>59</v>
      </c>
      <c r="B66" s="5" t="str">
        <f>VLOOKUP(C66,$W:$X,2,0)</f>
        <v>0305</v>
      </c>
      <c r="C66" s="23" t="s">
        <v>42</v>
      </c>
      <c r="D66" s="4" t="s">
        <v>225</v>
      </c>
      <c r="E66" s="5" t="s">
        <v>607</v>
      </c>
      <c r="F66" s="23" t="s">
        <v>378</v>
      </c>
      <c r="G66" s="5" t="s">
        <v>880</v>
      </c>
      <c r="H66" s="4" t="s">
        <v>591</v>
      </c>
      <c r="I66" s="4" t="s">
        <v>376</v>
      </c>
      <c r="J66" s="75">
        <f t="shared" ref="J66" si="16">L66</f>
        <v>2000000000</v>
      </c>
      <c r="K66" s="4">
        <v>2025</v>
      </c>
      <c r="L66" s="56">
        <f t="shared" ref="L66" si="17">ROUNDDOWN(M66*N66,0)</f>
        <v>2000000000</v>
      </c>
      <c r="M66" s="94">
        <v>2000000000</v>
      </c>
      <c r="N66" s="94">
        <f>VLOOKUP(I66,BUNGA!$C$97:$D$98,2,0)</f>
        <v>1</v>
      </c>
      <c r="O66" s="4" t="s">
        <v>578</v>
      </c>
      <c r="P66" s="102">
        <v>0</v>
      </c>
      <c r="Q66" s="12">
        <v>0</v>
      </c>
      <c r="R66" s="12">
        <v>0</v>
      </c>
      <c r="S66" s="12">
        <v>0</v>
      </c>
      <c r="T66" s="12">
        <v>0</v>
      </c>
    </row>
    <row r="67" spans="1:22" s="3" customFormat="1" ht="30" customHeight="1" x14ac:dyDescent="0.2">
      <c r="A67" s="4">
        <f t="shared" si="1"/>
        <v>60</v>
      </c>
      <c r="B67" s="5" t="str">
        <f>VLOOKUP(C67,$W:$X,2,0)</f>
        <v>0305</v>
      </c>
      <c r="C67" s="23" t="s">
        <v>42</v>
      </c>
      <c r="D67" s="4" t="s">
        <v>225</v>
      </c>
      <c r="E67" s="5" t="s">
        <v>607</v>
      </c>
      <c r="F67" s="23" t="s">
        <v>378</v>
      </c>
      <c r="G67" s="5" t="s">
        <v>863</v>
      </c>
      <c r="H67" s="4" t="s">
        <v>591</v>
      </c>
      <c r="I67" s="4" t="s">
        <v>376</v>
      </c>
      <c r="J67" s="75">
        <f t="shared" ref="J67:J70" si="18">L67</f>
        <v>3000000000</v>
      </c>
      <c r="K67" s="4">
        <v>2025</v>
      </c>
      <c r="L67" s="56">
        <f t="shared" ref="L67:L70" si="19">ROUNDDOWN(M67*N67,0)</f>
        <v>3000000000</v>
      </c>
      <c r="M67" s="94">
        <v>3000000000</v>
      </c>
      <c r="N67" s="94">
        <f>VLOOKUP(I67,BUNGA!$C$97:$D$98,2,0)</f>
        <v>1</v>
      </c>
      <c r="O67" s="4" t="s">
        <v>578</v>
      </c>
      <c r="P67" s="102">
        <v>0</v>
      </c>
      <c r="Q67" s="12">
        <v>0</v>
      </c>
      <c r="R67" s="12">
        <v>0</v>
      </c>
      <c r="S67" s="12">
        <v>0</v>
      </c>
      <c r="T67" s="12">
        <v>0</v>
      </c>
    </row>
    <row r="68" spans="1:22" s="3" customFormat="1" ht="30" customHeight="1" x14ac:dyDescent="0.2">
      <c r="A68" s="4">
        <f t="shared" si="1"/>
        <v>61</v>
      </c>
      <c r="B68" s="5" t="str">
        <f>VLOOKUP(C68,$W:$X,2,0)</f>
        <v>0305</v>
      </c>
      <c r="C68" s="23" t="s">
        <v>42</v>
      </c>
      <c r="D68" s="4" t="s">
        <v>225</v>
      </c>
      <c r="E68" s="5" t="s">
        <v>607</v>
      </c>
      <c r="F68" s="23" t="s">
        <v>378</v>
      </c>
      <c r="G68" s="5" t="s">
        <v>872</v>
      </c>
      <c r="H68" s="4" t="s">
        <v>591</v>
      </c>
      <c r="I68" s="4" t="s">
        <v>375</v>
      </c>
      <c r="J68" s="75">
        <f t="shared" si="18"/>
        <v>1845470000</v>
      </c>
      <c r="K68" s="4">
        <v>2024</v>
      </c>
      <c r="L68" s="56">
        <f t="shared" si="19"/>
        <v>1845470000</v>
      </c>
      <c r="M68" s="94">
        <v>110000</v>
      </c>
      <c r="N68" s="94">
        <f>VLOOKUP(I68,BUNGA!$C$97:$D$98,2,0)</f>
        <v>16777</v>
      </c>
      <c r="O68" s="4" t="s">
        <v>578</v>
      </c>
      <c r="P68" s="102">
        <v>0</v>
      </c>
      <c r="Q68" s="12">
        <v>0</v>
      </c>
      <c r="R68" s="12">
        <v>0</v>
      </c>
      <c r="S68" s="12">
        <v>0</v>
      </c>
      <c r="T68" s="12">
        <v>0</v>
      </c>
    </row>
    <row r="69" spans="1:22" s="3" customFormat="1" ht="30" customHeight="1" x14ac:dyDescent="0.2">
      <c r="A69" s="4">
        <f t="shared" si="1"/>
        <v>62</v>
      </c>
      <c r="B69" s="5" t="str">
        <f>VLOOKUP(C69,$W:$X,2,0)</f>
        <v>0305</v>
      </c>
      <c r="C69" s="23" t="s">
        <v>42</v>
      </c>
      <c r="D69" s="4" t="s">
        <v>225</v>
      </c>
      <c r="E69" s="5" t="s">
        <v>607</v>
      </c>
      <c r="F69" s="23" t="s">
        <v>378</v>
      </c>
      <c r="G69" s="5" t="s">
        <v>881</v>
      </c>
      <c r="H69" s="4" t="s">
        <v>591</v>
      </c>
      <c r="I69" s="4" t="s">
        <v>375</v>
      </c>
      <c r="J69" s="75">
        <f t="shared" si="18"/>
        <v>3355400000</v>
      </c>
      <c r="K69" s="4">
        <v>2024</v>
      </c>
      <c r="L69" s="56">
        <f t="shared" si="19"/>
        <v>3355400000</v>
      </c>
      <c r="M69" s="94">
        <v>200000</v>
      </c>
      <c r="N69" s="94">
        <f>VLOOKUP(I69,BUNGA!$C$97:$D$98,2,0)</f>
        <v>16777</v>
      </c>
      <c r="O69" s="4" t="s">
        <v>578</v>
      </c>
      <c r="P69" s="102">
        <v>0</v>
      </c>
      <c r="Q69" s="12">
        <v>0</v>
      </c>
      <c r="R69" s="12">
        <v>0</v>
      </c>
      <c r="S69" s="12">
        <v>0</v>
      </c>
      <c r="T69" s="12">
        <v>0</v>
      </c>
    </row>
    <row r="70" spans="1:22" s="3" customFormat="1" ht="30" customHeight="1" x14ac:dyDescent="0.2">
      <c r="A70" s="4">
        <f t="shared" si="1"/>
        <v>63</v>
      </c>
      <c r="B70" s="5" t="str">
        <f>VLOOKUP(C70,$W:$X,2,0)</f>
        <v>0305</v>
      </c>
      <c r="C70" s="23" t="s">
        <v>42</v>
      </c>
      <c r="D70" s="4" t="s">
        <v>225</v>
      </c>
      <c r="E70" s="5" t="s">
        <v>607</v>
      </c>
      <c r="F70" s="23" t="s">
        <v>378</v>
      </c>
      <c r="G70" s="5" t="s">
        <v>860</v>
      </c>
      <c r="H70" s="4" t="s">
        <v>591</v>
      </c>
      <c r="I70" s="4" t="s">
        <v>375</v>
      </c>
      <c r="J70" s="75">
        <f t="shared" si="18"/>
        <v>3355400000</v>
      </c>
      <c r="K70" s="4">
        <v>2024</v>
      </c>
      <c r="L70" s="56">
        <f t="shared" si="19"/>
        <v>3355400000</v>
      </c>
      <c r="M70" s="94">
        <v>200000</v>
      </c>
      <c r="N70" s="94">
        <f>VLOOKUP(I70,BUNGA!$C$97:$D$98,2,0)</f>
        <v>16777</v>
      </c>
      <c r="O70" s="4" t="s">
        <v>578</v>
      </c>
      <c r="P70" s="102">
        <v>0</v>
      </c>
      <c r="Q70" s="12">
        <v>0</v>
      </c>
      <c r="R70" s="12">
        <v>0</v>
      </c>
      <c r="S70" s="12">
        <v>0</v>
      </c>
      <c r="T70" s="12">
        <v>0</v>
      </c>
    </row>
    <row r="71" spans="1:22" s="3" customFormat="1" ht="30" customHeight="1" x14ac:dyDescent="0.2">
      <c r="A71" s="4">
        <f t="shared" si="1"/>
        <v>64</v>
      </c>
      <c r="B71" s="5" t="str">
        <f>VLOOKUP(C71,$W:$X,2,0)</f>
        <v>0305</v>
      </c>
      <c r="C71" s="23" t="s">
        <v>42</v>
      </c>
      <c r="D71" s="4" t="s">
        <v>225</v>
      </c>
      <c r="E71" s="5" t="s">
        <v>607</v>
      </c>
      <c r="F71" s="23" t="s">
        <v>378</v>
      </c>
      <c r="G71" s="5" t="s">
        <v>882</v>
      </c>
      <c r="H71" s="4" t="s">
        <v>591</v>
      </c>
      <c r="I71" s="4" t="s">
        <v>375</v>
      </c>
      <c r="J71" s="75">
        <f t="shared" ref="J71:J72" si="20">L71</f>
        <v>3019860000</v>
      </c>
      <c r="K71" s="4">
        <v>2024</v>
      </c>
      <c r="L71" s="56">
        <f t="shared" ref="L71" si="21">ROUNDDOWN(M71*N71,0)</f>
        <v>3019860000</v>
      </c>
      <c r="M71" s="94">
        <v>180000</v>
      </c>
      <c r="N71" s="94">
        <f>VLOOKUP(I71,BUNGA!$C$97:$D$98,2,0)</f>
        <v>16777</v>
      </c>
      <c r="O71" s="4" t="s">
        <v>578</v>
      </c>
      <c r="P71" s="102">
        <v>0</v>
      </c>
      <c r="Q71" s="12">
        <v>0</v>
      </c>
      <c r="R71" s="12">
        <v>0</v>
      </c>
      <c r="S71" s="12">
        <v>0</v>
      </c>
      <c r="T71" s="12">
        <v>0</v>
      </c>
    </row>
    <row r="72" spans="1:22" s="3" customFormat="1" ht="30" customHeight="1" x14ac:dyDescent="0.2">
      <c r="A72" s="4">
        <f t="shared" si="1"/>
        <v>65</v>
      </c>
      <c r="B72" s="5" t="str">
        <f>VLOOKUP(C72,$W:$X,2,0)</f>
        <v>0305</v>
      </c>
      <c r="C72" s="23" t="s">
        <v>42</v>
      </c>
      <c r="D72" s="4" t="s">
        <v>225</v>
      </c>
      <c r="E72" s="5" t="s">
        <v>623</v>
      </c>
      <c r="F72" s="23" t="s">
        <v>611</v>
      </c>
      <c r="G72" s="5" t="s">
        <v>848</v>
      </c>
      <c r="H72" s="4" t="s">
        <v>622</v>
      </c>
      <c r="I72" s="4" t="s">
        <v>376</v>
      </c>
      <c r="J72" s="75">
        <f t="shared" si="20"/>
        <v>1100000000</v>
      </c>
      <c r="K72" s="4">
        <v>2020</v>
      </c>
      <c r="L72" s="56">
        <f t="shared" ref="L72" si="22">ROUNDDOWN(M72*N72,0)</f>
        <v>1100000000</v>
      </c>
      <c r="M72" s="94">
        <v>1100000000</v>
      </c>
      <c r="N72" s="94">
        <f>VLOOKUP(I72,BUNGA!$C$97:$D$98,2,0)</f>
        <v>1</v>
      </c>
      <c r="O72" s="4" t="s">
        <v>579</v>
      </c>
      <c r="P72" s="102">
        <v>1100000000</v>
      </c>
      <c r="Q72" s="12">
        <v>1100000000</v>
      </c>
      <c r="R72" s="12">
        <v>1200000000</v>
      </c>
      <c r="S72" s="12">
        <v>1100000000</v>
      </c>
      <c r="T72" s="12">
        <v>1100000000</v>
      </c>
    </row>
    <row r="73" spans="1:22" s="3" customFormat="1" ht="30" customHeight="1" x14ac:dyDescent="0.2">
      <c r="A73" s="4">
        <f t="shared" si="1"/>
        <v>66</v>
      </c>
      <c r="B73" s="5" t="str">
        <f>VLOOKUP(C73,$W:$X,2,0)</f>
        <v>0305</v>
      </c>
      <c r="C73" s="23" t="s">
        <v>42</v>
      </c>
      <c r="D73" s="4" t="s">
        <v>225</v>
      </c>
      <c r="E73" s="5" t="s">
        <v>623</v>
      </c>
      <c r="F73" s="23" t="s">
        <v>611</v>
      </c>
      <c r="G73" s="5" t="s">
        <v>883</v>
      </c>
      <c r="H73" s="4" t="s">
        <v>622</v>
      </c>
      <c r="I73" s="4" t="s">
        <v>376</v>
      </c>
      <c r="J73" s="75">
        <f t="shared" ref="J73:J74" si="23">L73</f>
        <v>5000000000</v>
      </c>
      <c r="K73" s="4">
        <v>2025</v>
      </c>
      <c r="L73" s="56">
        <f t="shared" ref="L73:L74" si="24">ROUNDDOWN(M73*N73,0)</f>
        <v>5000000000</v>
      </c>
      <c r="M73" s="94">
        <v>5000000000</v>
      </c>
      <c r="N73" s="94">
        <f>VLOOKUP(I73,BUNGA!$C$97:$D$98,2,0)</f>
        <v>1</v>
      </c>
      <c r="O73" s="4" t="s">
        <v>578</v>
      </c>
      <c r="P73" s="102">
        <v>0</v>
      </c>
      <c r="Q73" s="12">
        <v>0</v>
      </c>
      <c r="R73" s="12">
        <v>0</v>
      </c>
      <c r="S73" s="12">
        <v>0</v>
      </c>
      <c r="T73" s="12">
        <v>0</v>
      </c>
    </row>
    <row r="74" spans="1:22" s="3" customFormat="1" ht="30" customHeight="1" x14ac:dyDescent="0.2">
      <c r="A74" s="4">
        <f t="shared" ref="A74:A139" si="25">A73+1</f>
        <v>67</v>
      </c>
      <c r="B74" s="5" t="str">
        <f>VLOOKUP(C74,$W:$X,2,0)</f>
        <v>0311</v>
      </c>
      <c r="C74" s="23" t="s">
        <v>51</v>
      </c>
      <c r="D74" s="4" t="s">
        <v>225</v>
      </c>
      <c r="E74" s="5" t="s">
        <v>623</v>
      </c>
      <c r="F74" s="23" t="s">
        <v>611</v>
      </c>
      <c r="G74" s="5" t="s">
        <v>884</v>
      </c>
      <c r="H74" s="4" t="s">
        <v>622</v>
      </c>
      <c r="I74" s="4" t="s">
        <v>376</v>
      </c>
      <c r="J74" s="75">
        <f t="shared" si="23"/>
        <v>762623126</v>
      </c>
      <c r="K74" s="4">
        <v>2025</v>
      </c>
      <c r="L74" s="56">
        <f t="shared" si="24"/>
        <v>762623126</v>
      </c>
      <c r="M74" s="94">
        <v>762623126</v>
      </c>
      <c r="N74" s="94">
        <f>VLOOKUP(I74,BUNGA!$C$97:$D$98,2,0)</f>
        <v>1</v>
      </c>
      <c r="O74" s="4" t="s">
        <v>578</v>
      </c>
      <c r="P74" s="102">
        <v>0</v>
      </c>
      <c r="Q74" s="12">
        <v>0</v>
      </c>
      <c r="R74" s="12">
        <v>0</v>
      </c>
      <c r="S74" s="12">
        <v>0</v>
      </c>
      <c r="T74" s="12">
        <v>0</v>
      </c>
    </row>
    <row r="75" spans="1:22" s="3" customFormat="1" ht="30" customHeight="1" x14ac:dyDescent="0.2">
      <c r="A75" s="4">
        <f t="shared" si="25"/>
        <v>68</v>
      </c>
      <c r="B75" s="5" t="str">
        <f>VLOOKUP(C75,$W:$X,2,0)</f>
        <v>0305</v>
      </c>
      <c r="C75" s="23" t="s">
        <v>42</v>
      </c>
      <c r="D75" s="4" t="s">
        <v>225</v>
      </c>
      <c r="E75" s="5" t="s">
        <v>626</v>
      </c>
      <c r="F75" s="23" t="s">
        <v>624</v>
      </c>
      <c r="G75" s="5" t="s">
        <v>885</v>
      </c>
      <c r="H75" s="4" t="s">
        <v>639</v>
      </c>
      <c r="I75" s="4" t="s">
        <v>376</v>
      </c>
      <c r="J75" s="75">
        <f t="shared" ref="J75" si="26">L75</f>
        <v>1000000000</v>
      </c>
      <c r="K75" s="4">
        <v>2025</v>
      </c>
      <c r="L75" s="56">
        <f t="shared" ref="L75" si="27">ROUNDDOWN(M75*N75,0)</f>
        <v>1000000000</v>
      </c>
      <c r="M75" s="94">
        <v>1000000000</v>
      </c>
      <c r="N75" s="94">
        <f>VLOOKUP(I75,BUNGA!$C$97:$D$98,2,0)</f>
        <v>1</v>
      </c>
      <c r="O75" s="4" t="s">
        <v>579</v>
      </c>
      <c r="P75" s="102">
        <v>1000000000</v>
      </c>
      <c r="Q75" s="12">
        <v>0</v>
      </c>
      <c r="R75" s="12">
        <v>0</v>
      </c>
      <c r="S75" s="12">
        <v>0</v>
      </c>
      <c r="T75" s="12">
        <v>0</v>
      </c>
    </row>
    <row r="76" spans="1:22" s="3" customFormat="1" ht="30" customHeight="1" x14ac:dyDescent="0.2">
      <c r="A76" s="4">
        <f t="shared" si="25"/>
        <v>69</v>
      </c>
      <c r="B76" s="5" t="str">
        <f>VLOOKUP(C76,$W:$X,2,0)</f>
        <v>0307</v>
      </c>
      <c r="C76" s="23" t="s">
        <v>188</v>
      </c>
      <c r="D76" s="4" t="s">
        <v>225</v>
      </c>
      <c r="E76" s="5" t="s">
        <v>667</v>
      </c>
      <c r="F76" s="23" t="s">
        <v>636</v>
      </c>
      <c r="G76" s="5" t="s">
        <v>886</v>
      </c>
      <c r="H76" s="4" t="s">
        <v>666</v>
      </c>
      <c r="I76" s="4" t="s">
        <v>376</v>
      </c>
      <c r="J76" s="75">
        <f t="shared" ref="J76:J84" si="28">L76</f>
        <v>1813946821</v>
      </c>
      <c r="K76" s="4">
        <v>2025</v>
      </c>
      <c r="L76" s="56">
        <f t="shared" ref="L76:L84" si="29">ROUNDDOWN(M76*N76,0)</f>
        <v>1813946821</v>
      </c>
      <c r="M76" s="94">
        <v>1813946821</v>
      </c>
      <c r="N76" s="94">
        <f>VLOOKUP(I76,BUNGA!$C$97:$D$98,2,0)</f>
        <v>1</v>
      </c>
      <c r="O76" s="4" t="s">
        <v>578</v>
      </c>
      <c r="P76" s="102">
        <v>1379351022</v>
      </c>
      <c r="Q76" s="12">
        <v>1123453763</v>
      </c>
      <c r="R76" s="12">
        <v>1327518281</v>
      </c>
      <c r="S76" s="12">
        <v>1647697881</v>
      </c>
      <c r="T76" s="12">
        <v>0</v>
      </c>
      <c r="U76" s="25"/>
      <c r="V76" s="24"/>
    </row>
    <row r="77" spans="1:22" s="3" customFormat="1" ht="30" customHeight="1" x14ac:dyDescent="0.2">
      <c r="A77" s="4">
        <f t="shared" si="25"/>
        <v>70</v>
      </c>
      <c r="B77" s="5" t="str">
        <f>VLOOKUP(C77,$W:$X,2,0)</f>
        <v>0307</v>
      </c>
      <c r="C77" s="23" t="s">
        <v>188</v>
      </c>
      <c r="D77" s="4" t="s">
        <v>225</v>
      </c>
      <c r="E77" s="5" t="s">
        <v>667</v>
      </c>
      <c r="F77" s="23" t="s">
        <v>636</v>
      </c>
      <c r="G77" s="5" t="s">
        <v>887</v>
      </c>
      <c r="H77" s="4" t="s">
        <v>666</v>
      </c>
      <c r="I77" s="4" t="s">
        <v>376</v>
      </c>
      <c r="J77" s="75">
        <f t="shared" ref="J77" si="30">L77</f>
        <v>1667771935</v>
      </c>
      <c r="K77" s="4">
        <v>2025</v>
      </c>
      <c r="L77" s="56">
        <f t="shared" ref="L77" si="31">ROUNDDOWN(M77*N77,0)</f>
        <v>1667771935</v>
      </c>
      <c r="M77" s="94">
        <v>1667771935</v>
      </c>
      <c r="N77" s="94">
        <f>VLOOKUP(I77,BUNGA!$C$97:$D$98,2,0)</f>
        <v>1</v>
      </c>
      <c r="O77" s="4" t="s">
        <v>578</v>
      </c>
      <c r="P77" s="102">
        <v>0</v>
      </c>
      <c r="Q77" s="12">
        <v>0</v>
      </c>
      <c r="R77" s="12">
        <v>0</v>
      </c>
      <c r="S77" s="12">
        <v>0</v>
      </c>
      <c r="T77" s="12">
        <v>0</v>
      </c>
      <c r="U77" s="25"/>
      <c r="V77" s="24"/>
    </row>
    <row r="78" spans="1:22" s="3" customFormat="1" ht="30" customHeight="1" x14ac:dyDescent="0.2">
      <c r="A78" s="4">
        <f t="shared" si="25"/>
        <v>71</v>
      </c>
      <c r="B78" s="5" t="str">
        <f>VLOOKUP(C78,$W:$X,2,0)</f>
        <v>0305</v>
      </c>
      <c r="C78" s="23" t="s">
        <v>42</v>
      </c>
      <c r="D78" s="4" t="s">
        <v>225</v>
      </c>
      <c r="E78" s="5" t="s">
        <v>667</v>
      </c>
      <c r="F78" s="23" t="s">
        <v>636</v>
      </c>
      <c r="G78" s="5" t="s">
        <v>654</v>
      </c>
      <c r="H78" s="4" t="s">
        <v>666</v>
      </c>
      <c r="I78" s="4" t="s">
        <v>376</v>
      </c>
      <c r="J78" s="75">
        <f t="shared" si="28"/>
        <v>900000000</v>
      </c>
      <c r="K78" s="4">
        <v>2025</v>
      </c>
      <c r="L78" s="56">
        <f t="shared" si="29"/>
        <v>900000000</v>
      </c>
      <c r="M78" s="94">
        <v>900000000</v>
      </c>
      <c r="N78" s="94">
        <f>VLOOKUP(I78,BUNGA!$C$97:$D$98,2,0)</f>
        <v>1</v>
      </c>
      <c r="O78" s="4" t="s">
        <v>578</v>
      </c>
      <c r="P78" s="102">
        <v>859500000</v>
      </c>
      <c r="Q78" s="12">
        <v>900000000</v>
      </c>
      <c r="R78" s="12">
        <v>0</v>
      </c>
      <c r="S78" s="12">
        <v>0</v>
      </c>
      <c r="T78" s="12">
        <v>0</v>
      </c>
      <c r="U78" s="25"/>
      <c r="V78" s="24"/>
    </row>
    <row r="79" spans="1:22" s="3" customFormat="1" ht="30" customHeight="1" x14ac:dyDescent="0.2">
      <c r="A79" s="4">
        <f t="shared" si="25"/>
        <v>72</v>
      </c>
      <c r="B79" s="5" t="str">
        <f>VLOOKUP(C79,$W:$X,2,0)</f>
        <v>0305</v>
      </c>
      <c r="C79" s="23" t="s">
        <v>42</v>
      </c>
      <c r="D79" s="4" t="s">
        <v>225</v>
      </c>
      <c r="E79" s="5" t="s">
        <v>667</v>
      </c>
      <c r="F79" s="23" t="s">
        <v>636</v>
      </c>
      <c r="G79" s="5" t="s">
        <v>654</v>
      </c>
      <c r="H79" s="4" t="s">
        <v>666</v>
      </c>
      <c r="I79" s="4" t="s">
        <v>376</v>
      </c>
      <c r="J79" s="75">
        <f t="shared" si="28"/>
        <v>620000000</v>
      </c>
      <c r="K79" s="4">
        <v>2025</v>
      </c>
      <c r="L79" s="56">
        <f t="shared" si="29"/>
        <v>620000000</v>
      </c>
      <c r="M79" s="94">
        <v>620000000</v>
      </c>
      <c r="N79" s="94">
        <f>VLOOKUP(I79,BUNGA!$C$97:$D$98,2,0)</f>
        <v>1</v>
      </c>
      <c r="O79" s="4" t="s">
        <v>579</v>
      </c>
      <c r="P79" s="102">
        <v>620750000</v>
      </c>
      <c r="Q79" s="12">
        <v>650000000</v>
      </c>
      <c r="R79" s="12">
        <v>0</v>
      </c>
      <c r="S79" s="12">
        <v>0</v>
      </c>
      <c r="T79" s="12">
        <v>0</v>
      </c>
      <c r="U79" s="25"/>
      <c r="V79" s="24"/>
    </row>
    <row r="80" spans="1:22" s="3" customFormat="1" ht="30" customHeight="1" x14ac:dyDescent="0.2">
      <c r="A80" s="4">
        <f t="shared" si="25"/>
        <v>73</v>
      </c>
      <c r="B80" s="5" t="str">
        <f>VLOOKUP(C80,$W:$X,2,0)</f>
        <v>0305</v>
      </c>
      <c r="C80" s="23" t="s">
        <v>42</v>
      </c>
      <c r="D80" s="4" t="s">
        <v>225</v>
      </c>
      <c r="E80" s="5" t="s">
        <v>667</v>
      </c>
      <c r="F80" s="23" t="s">
        <v>636</v>
      </c>
      <c r="G80" s="5" t="s">
        <v>655</v>
      </c>
      <c r="H80" s="4" t="s">
        <v>666</v>
      </c>
      <c r="I80" s="4" t="s">
        <v>376</v>
      </c>
      <c r="J80" s="75">
        <f t="shared" si="28"/>
        <v>1835000000</v>
      </c>
      <c r="K80" s="4">
        <v>2025</v>
      </c>
      <c r="L80" s="56">
        <f t="shared" si="29"/>
        <v>1835000000</v>
      </c>
      <c r="M80" s="94">
        <v>1835000000</v>
      </c>
      <c r="N80" s="94">
        <f>VLOOKUP(I80,BUNGA!$C$97:$D$98,2,0)</f>
        <v>1</v>
      </c>
      <c r="O80" s="4" t="s">
        <v>579</v>
      </c>
      <c r="P80" s="102">
        <v>2190230000</v>
      </c>
      <c r="Q80" s="12">
        <v>2000000000</v>
      </c>
      <c r="R80" s="12">
        <v>0</v>
      </c>
      <c r="S80" s="12">
        <v>0</v>
      </c>
      <c r="T80" s="12">
        <v>0</v>
      </c>
      <c r="U80" s="25"/>
      <c r="V80" s="24"/>
    </row>
    <row r="81" spans="1:22" s="3" customFormat="1" ht="30" customHeight="1" x14ac:dyDescent="0.2">
      <c r="A81" s="4">
        <f t="shared" si="25"/>
        <v>74</v>
      </c>
      <c r="B81" s="5" t="str">
        <f>VLOOKUP(C81,$W:$X,2,0)</f>
        <v>0305</v>
      </c>
      <c r="C81" s="23" t="s">
        <v>42</v>
      </c>
      <c r="D81" s="4" t="s">
        <v>225</v>
      </c>
      <c r="E81" s="5" t="s">
        <v>667</v>
      </c>
      <c r="F81" s="23" t="s">
        <v>636</v>
      </c>
      <c r="G81" s="5" t="s">
        <v>669</v>
      </c>
      <c r="H81" s="4" t="s">
        <v>666</v>
      </c>
      <c r="I81" s="4" t="s">
        <v>376</v>
      </c>
      <c r="J81" s="75">
        <f t="shared" si="28"/>
        <v>480000000</v>
      </c>
      <c r="K81" s="4">
        <v>2025</v>
      </c>
      <c r="L81" s="56">
        <f t="shared" si="29"/>
        <v>480000000</v>
      </c>
      <c r="M81" s="94">
        <v>480000000</v>
      </c>
      <c r="N81" s="94">
        <f>VLOOKUP(I81,BUNGA!$C$97:$D$98,2,0)</f>
        <v>1</v>
      </c>
      <c r="O81" s="4" t="s">
        <v>579</v>
      </c>
      <c r="P81" s="102">
        <v>480000000</v>
      </c>
      <c r="Q81" s="12">
        <v>480000000</v>
      </c>
      <c r="R81" s="12">
        <v>0</v>
      </c>
      <c r="S81" s="12">
        <v>0</v>
      </c>
      <c r="T81" s="12">
        <v>0</v>
      </c>
      <c r="U81" s="25"/>
      <c r="V81" s="24"/>
    </row>
    <row r="82" spans="1:22" s="3" customFormat="1" ht="30" customHeight="1" x14ac:dyDescent="0.2">
      <c r="A82" s="4">
        <f t="shared" si="25"/>
        <v>75</v>
      </c>
      <c r="B82" s="5" t="str">
        <f>VLOOKUP(C82,$W:$X,2,0)</f>
        <v>0305</v>
      </c>
      <c r="C82" s="23" t="s">
        <v>42</v>
      </c>
      <c r="D82" s="4" t="s">
        <v>225</v>
      </c>
      <c r="E82" s="5" t="s">
        <v>667</v>
      </c>
      <c r="F82" s="23" t="s">
        <v>636</v>
      </c>
      <c r="G82" s="5" t="s">
        <v>879</v>
      </c>
      <c r="H82" s="4" t="s">
        <v>666</v>
      </c>
      <c r="I82" s="4" t="s">
        <v>375</v>
      </c>
      <c r="J82" s="75">
        <f t="shared" si="28"/>
        <v>2931277440</v>
      </c>
      <c r="K82" s="4">
        <v>2025</v>
      </c>
      <c r="L82" s="56">
        <f t="shared" si="29"/>
        <v>2931277440</v>
      </c>
      <c r="M82" s="94">
        <v>174720</v>
      </c>
      <c r="N82" s="94">
        <f>VLOOKUP(I82,BUNGA!$C$97:$D$98,2,0)</f>
        <v>16777</v>
      </c>
      <c r="O82" s="4" t="s">
        <v>578</v>
      </c>
      <c r="P82" s="102">
        <v>2754659250</v>
      </c>
      <c r="Q82" s="12">
        <v>0</v>
      </c>
      <c r="R82" s="12">
        <v>0</v>
      </c>
      <c r="S82" s="12">
        <v>0</v>
      </c>
      <c r="T82" s="12">
        <v>0</v>
      </c>
      <c r="U82" s="25"/>
      <c r="V82" s="24"/>
    </row>
    <row r="83" spans="1:22" s="3" customFormat="1" ht="30" customHeight="1" x14ac:dyDescent="0.2">
      <c r="A83" s="4">
        <f t="shared" si="25"/>
        <v>76</v>
      </c>
      <c r="B83" s="5" t="str">
        <f>VLOOKUP(C83,$W:$X,2,0)</f>
        <v>0305</v>
      </c>
      <c r="C83" s="23" t="s">
        <v>42</v>
      </c>
      <c r="D83" s="4" t="s">
        <v>225</v>
      </c>
      <c r="E83" s="5" t="s">
        <v>667</v>
      </c>
      <c r="F83" s="23" t="s">
        <v>636</v>
      </c>
      <c r="G83" s="5" t="s">
        <v>662</v>
      </c>
      <c r="H83" s="4" t="s">
        <v>666</v>
      </c>
      <c r="I83" s="4" t="s">
        <v>376</v>
      </c>
      <c r="J83" s="75">
        <f t="shared" si="28"/>
        <v>3400000000</v>
      </c>
      <c r="K83" s="4">
        <v>2025</v>
      </c>
      <c r="L83" s="56">
        <f t="shared" si="29"/>
        <v>3400000000</v>
      </c>
      <c r="M83" s="94">
        <v>3400000000</v>
      </c>
      <c r="N83" s="94">
        <f>VLOOKUP(I83,BUNGA!$C$97:$D$98,2,0)</f>
        <v>1</v>
      </c>
      <c r="O83" s="4" t="s">
        <v>579</v>
      </c>
      <c r="P83" s="102">
        <v>3274500000</v>
      </c>
      <c r="Q83" s="12">
        <v>0</v>
      </c>
      <c r="R83" s="12">
        <v>0</v>
      </c>
      <c r="S83" s="12">
        <v>0</v>
      </c>
      <c r="T83" s="12">
        <v>0</v>
      </c>
      <c r="U83" s="25"/>
      <c r="V83" s="24"/>
    </row>
    <row r="84" spans="1:22" s="3" customFormat="1" ht="30" customHeight="1" x14ac:dyDescent="0.2">
      <c r="A84" s="4">
        <f t="shared" si="25"/>
        <v>77</v>
      </c>
      <c r="B84" s="5" t="str">
        <f>VLOOKUP(C84,$W:$X,2,0)</f>
        <v>0305</v>
      </c>
      <c r="C84" s="23" t="s">
        <v>42</v>
      </c>
      <c r="D84" s="4" t="s">
        <v>225</v>
      </c>
      <c r="E84" s="5" t="s">
        <v>667</v>
      </c>
      <c r="F84" s="23" t="s">
        <v>636</v>
      </c>
      <c r="G84" s="5" t="s">
        <v>665</v>
      </c>
      <c r="H84" s="4" t="s">
        <v>666</v>
      </c>
      <c r="I84" s="4" t="s">
        <v>376</v>
      </c>
      <c r="J84" s="75">
        <f t="shared" si="28"/>
        <v>1280000000</v>
      </c>
      <c r="K84" s="4">
        <v>2025</v>
      </c>
      <c r="L84" s="56">
        <f t="shared" si="29"/>
        <v>1280000000</v>
      </c>
      <c r="M84" s="94">
        <v>1280000000</v>
      </c>
      <c r="N84" s="94">
        <f>VLOOKUP(I84,BUNGA!$C$97:$D$98,2,0)</f>
        <v>1</v>
      </c>
      <c r="O84" s="4" t="s">
        <v>579</v>
      </c>
      <c r="P84" s="102">
        <v>480000000</v>
      </c>
      <c r="Q84" s="12">
        <v>0</v>
      </c>
      <c r="R84" s="12">
        <v>0</v>
      </c>
      <c r="S84" s="12">
        <v>0</v>
      </c>
      <c r="T84" s="12">
        <v>0</v>
      </c>
      <c r="U84" s="25"/>
      <c r="V84" s="24"/>
    </row>
    <row r="85" spans="1:22" s="3" customFormat="1" ht="30" customHeight="1" x14ac:dyDescent="0.2">
      <c r="A85" s="4">
        <f t="shared" si="25"/>
        <v>78</v>
      </c>
      <c r="B85" s="5" t="str">
        <f>VLOOKUP(C85,$W:$X,2,0)</f>
        <v>0305</v>
      </c>
      <c r="C85" s="23" t="s">
        <v>42</v>
      </c>
      <c r="D85" s="4" t="s">
        <v>225</v>
      </c>
      <c r="E85" s="5" t="s">
        <v>667</v>
      </c>
      <c r="F85" s="23" t="s">
        <v>636</v>
      </c>
      <c r="G85" s="5" t="s">
        <v>668</v>
      </c>
      <c r="H85" s="4" t="s">
        <v>666</v>
      </c>
      <c r="I85" s="4" t="s">
        <v>375</v>
      </c>
      <c r="J85" s="75">
        <f t="shared" ref="J85:J94" si="32">L85</f>
        <v>2677609200</v>
      </c>
      <c r="K85" s="4">
        <v>2025</v>
      </c>
      <c r="L85" s="56">
        <f t="shared" ref="L85:L94" si="33">ROUNDDOWN(M85*N85,0)</f>
        <v>2677609200</v>
      </c>
      <c r="M85" s="94">
        <v>159600</v>
      </c>
      <c r="N85" s="94">
        <f>VLOOKUP(I85,BUNGA!$C$97:$D$98,2,0)</f>
        <v>16777</v>
      </c>
      <c r="O85" s="4" t="s">
        <v>578</v>
      </c>
      <c r="P85" s="102">
        <v>0</v>
      </c>
      <c r="Q85" s="12">
        <v>0</v>
      </c>
      <c r="R85" s="12">
        <v>0</v>
      </c>
      <c r="S85" s="12">
        <v>0</v>
      </c>
      <c r="T85" s="12">
        <v>0</v>
      </c>
      <c r="U85" s="25"/>
      <c r="V85" s="24"/>
    </row>
    <row r="86" spans="1:22" s="3" customFormat="1" ht="30" customHeight="1" x14ac:dyDescent="0.2">
      <c r="A86" s="4">
        <f t="shared" si="25"/>
        <v>79</v>
      </c>
      <c r="B86" s="5" t="str">
        <f>VLOOKUP(C86,$W:$X,2,0)</f>
        <v>0305</v>
      </c>
      <c r="C86" s="23" t="s">
        <v>42</v>
      </c>
      <c r="D86" s="4" t="s">
        <v>225</v>
      </c>
      <c r="E86" s="5" t="s">
        <v>667</v>
      </c>
      <c r="F86" s="23" t="s">
        <v>636</v>
      </c>
      <c r="G86" s="5" t="s">
        <v>888</v>
      </c>
      <c r="H86" s="4" t="s">
        <v>666</v>
      </c>
      <c r="I86" s="4" t="s">
        <v>376</v>
      </c>
      <c r="J86" s="75">
        <f t="shared" si="32"/>
        <v>3142400000</v>
      </c>
      <c r="K86" s="4">
        <v>2025</v>
      </c>
      <c r="L86" s="56">
        <f t="shared" si="33"/>
        <v>3142400000</v>
      </c>
      <c r="M86" s="94">
        <v>3142400000</v>
      </c>
      <c r="N86" s="94">
        <f>VLOOKUP(I86,BUNGA!$C$97:$D$98,2,0)</f>
        <v>1</v>
      </c>
      <c r="O86" s="4" t="s">
        <v>578</v>
      </c>
      <c r="P86" s="102">
        <v>0</v>
      </c>
      <c r="Q86" s="12">
        <v>0</v>
      </c>
      <c r="R86" s="12">
        <v>0</v>
      </c>
      <c r="S86" s="12">
        <v>0</v>
      </c>
      <c r="T86" s="12">
        <v>0</v>
      </c>
      <c r="U86" s="25"/>
      <c r="V86" s="24"/>
    </row>
    <row r="87" spans="1:22" s="3" customFormat="1" ht="30" customHeight="1" x14ac:dyDescent="0.2">
      <c r="A87" s="4">
        <f t="shared" si="25"/>
        <v>80</v>
      </c>
      <c r="B87" s="5" t="str">
        <f>VLOOKUP(C87,$W:$X,2,0)</f>
        <v>0305</v>
      </c>
      <c r="C87" s="23" t="s">
        <v>42</v>
      </c>
      <c r="D87" s="4" t="s">
        <v>225</v>
      </c>
      <c r="E87" s="5" t="s">
        <v>667</v>
      </c>
      <c r="F87" s="23" t="s">
        <v>636</v>
      </c>
      <c r="G87" s="5" t="s">
        <v>889</v>
      </c>
      <c r="H87" s="4" t="s">
        <v>666</v>
      </c>
      <c r="I87" s="4" t="s">
        <v>376</v>
      </c>
      <c r="J87" s="75">
        <f t="shared" si="32"/>
        <v>1200000000</v>
      </c>
      <c r="K87" s="4">
        <v>2025</v>
      </c>
      <c r="L87" s="56">
        <f t="shared" si="33"/>
        <v>1200000000</v>
      </c>
      <c r="M87" s="94">
        <v>1200000000</v>
      </c>
      <c r="N87" s="94">
        <f>VLOOKUP(I87,BUNGA!$C$97:$D$98,2,0)</f>
        <v>1</v>
      </c>
      <c r="O87" s="4" t="s">
        <v>579</v>
      </c>
      <c r="P87" s="102">
        <v>0</v>
      </c>
      <c r="Q87" s="12">
        <v>0</v>
      </c>
      <c r="R87" s="12">
        <v>0</v>
      </c>
      <c r="S87" s="12">
        <v>0</v>
      </c>
      <c r="T87" s="12">
        <v>0</v>
      </c>
      <c r="U87" s="25"/>
      <c r="V87" s="24"/>
    </row>
    <row r="88" spans="1:22" s="3" customFormat="1" ht="30" customHeight="1" x14ac:dyDescent="0.2">
      <c r="A88" s="4">
        <f t="shared" si="25"/>
        <v>81</v>
      </c>
      <c r="B88" s="5" t="str">
        <f>VLOOKUP(C88,$W:$X,2,0)</f>
        <v>0305</v>
      </c>
      <c r="C88" s="23" t="s">
        <v>42</v>
      </c>
      <c r="D88" s="4" t="s">
        <v>225</v>
      </c>
      <c r="E88" s="5" t="s">
        <v>667</v>
      </c>
      <c r="F88" s="23" t="s">
        <v>636</v>
      </c>
      <c r="G88" s="5" t="s">
        <v>890</v>
      </c>
      <c r="H88" s="4" t="s">
        <v>666</v>
      </c>
      <c r="I88" s="4" t="s">
        <v>376</v>
      </c>
      <c r="J88" s="75">
        <f t="shared" si="32"/>
        <v>1000000000</v>
      </c>
      <c r="K88" s="4">
        <v>2025</v>
      </c>
      <c r="L88" s="56">
        <f t="shared" si="33"/>
        <v>1000000000</v>
      </c>
      <c r="M88" s="94">
        <v>1000000000</v>
      </c>
      <c r="N88" s="94">
        <f>VLOOKUP(I88,BUNGA!$C$97:$D$98,2,0)</f>
        <v>1</v>
      </c>
      <c r="O88" s="4" t="s">
        <v>579</v>
      </c>
      <c r="P88" s="102">
        <v>0</v>
      </c>
      <c r="Q88" s="12">
        <v>0</v>
      </c>
      <c r="R88" s="12">
        <v>0</v>
      </c>
      <c r="S88" s="12">
        <v>0</v>
      </c>
      <c r="T88" s="12">
        <v>0</v>
      </c>
      <c r="U88" s="25"/>
      <c r="V88" s="24"/>
    </row>
    <row r="89" spans="1:22" s="3" customFormat="1" ht="30" customHeight="1" x14ac:dyDescent="0.2">
      <c r="A89" s="4">
        <f t="shared" si="25"/>
        <v>82</v>
      </c>
      <c r="B89" s="5" t="str">
        <f>VLOOKUP(C89,$W:$X,2,0)</f>
        <v>0305</v>
      </c>
      <c r="C89" s="23" t="s">
        <v>42</v>
      </c>
      <c r="D89" s="4" t="s">
        <v>225</v>
      </c>
      <c r="E89" s="5" t="s">
        <v>667</v>
      </c>
      <c r="F89" s="23" t="s">
        <v>636</v>
      </c>
      <c r="G89" s="5" t="s">
        <v>883</v>
      </c>
      <c r="H89" s="4" t="s">
        <v>666</v>
      </c>
      <c r="I89" s="4" t="s">
        <v>376</v>
      </c>
      <c r="J89" s="75">
        <f t="shared" si="32"/>
        <v>3000000000</v>
      </c>
      <c r="K89" s="4">
        <v>2025</v>
      </c>
      <c r="L89" s="56">
        <f t="shared" si="33"/>
        <v>3000000000</v>
      </c>
      <c r="M89" s="94">
        <v>3000000000</v>
      </c>
      <c r="N89" s="94">
        <f>VLOOKUP(I89,BUNGA!$C$97:$D$98,2,0)</f>
        <v>1</v>
      </c>
      <c r="O89" s="4" t="s">
        <v>579</v>
      </c>
      <c r="P89" s="102">
        <v>0</v>
      </c>
      <c r="Q89" s="12">
        <v>0</v>
      </c>
      <c r="R89" s="12">
        <v>0</v>
      </c>
      <c r="S89" s="12">
        <v>0</v>
      </c>
      <c r="T89" s="12">
        <v>0</v>
      </c>
      <c r="U89" s="25"/>
      <c r="V89" s="24"/>
    </row>
    <row r="90" spans="1:22" s="3" customFormat="1" ht="30" customHeight="1" x14ac:dyDescent="0.2">
      <c r="A90" s="4">
        <f t="shared" si="25"/>
        <v>83</v>
      </c>
      <c r="B90" s="5" t="str">
        <f>VLOOKUP(C90,$W:$X,2,0)</f>
        <v>0305</v>
      </c>
      <c r="C90" s="23" t="s">
        <v>42</v>
      </c>
      <c r="D90" s="4" t="s">
        <v>225</v>
      </c>
      <c r="E90" s="5" t="s">
        <v>667</v>
      </c>
      <c r="F90" s="23" t="s">
        <v>636</v>
      </c>
      <c r="G90" s="5" t="s">
        <v>891</v>
      </c>
      <c r="H90" s="4" t="s">
        <v>666</v>
      </c>
      <c r="I90" s="4" t="s">
        <v>376</v>
      </c>
      <c r="J90" s="75">
        <f t="shared" si="32"/>
        <v>1000000000</v>
      </c>
      <c r="K90" s="4">
        <v>2025</v>
      </c>
      <c r="L90" s="56">
        <f t="shared" si="33"/>
        <v>1000000000</v>
      </c>
      <c r="M90" s="94">
        <v>1000000000</v>
      </c>
      <c r="N90" s="94">
        <f>VLOOKUP(I90,BUNGA!$C$97:$D$98,2,0)</f>
        <v>1</v>
      </c>
      <c r="O90" s="4" t="s">
        <v>579</v>
      </c>
      <c r="P90" s="102">
        <v>0</v>
      </c>
      <c r="Q90" s="12">
        <v>0</v>
      </c>
      <c r="R90" s="12">
        <v>0</v>
      </c>
      <c r="S90" s="12">
        <v>0</v>
      </c>
      <c r="T90" s="12">
        <v>0</v>
      </c>
      <c r="U90" s="25"/>
      <c r="V90" s="24"/>
    </row>
    <row r="91" spans="1:22" s="3" customFormat="1" ht="30" customHeight="1" x14ac:dyDescent="0.2">
      <c r="A91" s="4">
        <f t="shared" si="25"/>
        <v>84</v>
      </c>
      <c r="B91" s="5" t="str">
        <f>VLOOKUP(C91,$W:$X,2,0)</f>
        <v>0305</v>
      </c>
      <c r="C91" s="23" t="s">
        <v>42</v>
      </c>
      <c r="D91" s="4" t="s">
        <v>225</v>
      </c>
      <c r="E91" s="5" t="s">
        <v>667</v>
      </c>
      <c r="F91" s="23" t="s">
        <v>636</v>
      </c>
      <c r="G91" s="5" t="s">
        <v>892</v>
      </c>
      <c r="H91" s="4" t="s">
        <v>666</v>
      </c>
      <c r="I91" s="4" t="s">
        <v>376</v>
      </c>
      <c r="J91" s="75">
        <f t="shared" si="32"/>
        <v>1800000000</v>
      </c>
      <c r="K91" s="4">
        <v>2025</v>
      </c>
      <c r="L91" s="56">
        <f t="shared" si="33"/>
        <v>1800000000</v>
      </c>
      <c r="M91" s="94">
        <v>1800000000</v>
      </c>
      <c r="N91" s="94">
        <f>VLOOKUP(I91,BUNGA!$C$97:$D$98,2,0)</f>
        <v>1</v>
      </c>
      <c r="O91" s="4" t="s">
        <v>579</v>
      </c>
      <c r="P91" s="102">
        <v>0</v>
      </c>
      <c r="Q91" s="12">
        <v>0</v>
      </c>
      <c r="R91" s="12">
        <v>0</v>
      </c>
      <c r="S91" s="12">
        <v>0</v>
      </c>
      <c r="T91" s="12">
        <v>0</v>
      </c>
      <c r="U91" s="25"/>
      <c r="V91" s="24"/>
    </row>
    <row r="92" spans="1:22" s="3" customFormat="1" ht="30" customHeight="1" x14ac:dyDescent="0.2">
      <c r="A92" s="4">
        <f t="shared" si="25"/>
        <v>85</v>
      </c>
      <c r="B92" s="5" t="str">
        <f>VLOOKUP(C92,$W:$X,2,0)</f>
        <v>0307</v>
      </c>
      <c r="C92" s="23" t="s">
        <v>188</v>
      </c>
      <c r="D92" s="4" t="s">
        <v>225</v>
      </c>
      <c r="E92" s="5" t="s">
        <v>674</v>
      </c>
      <c r="F92" s="23" t="s">
        <v>672</v>
      </c>
      <c r="G92" s="5" t="s">
        <v>30</v>
      </c>
      <c r="H92" s="4" t="s">
        <v>679</v>
      </c>
      <c r="I92" s="4" t="s">
        <v>376</v>
      </c>
      <c r="J92" s="75">
        <f t="shared" si="32"/>
        <v>1804323275</v>
      </c>
      <c r="K92" s="4">
        <v>2025</v>
      </c>
      <c r="L92" s="56">
        <f t="shared" si="33"/>
        <v>1804323275</v>
      </c>
      <c r="M92" s="94">
        <v>1804323275</v>
      </c>
      <c r="N92" s="94">
        <f>VLOOKUP(I92,BUNGA!$C$97:$D$98,2,0)</f>
        <v>1</v>
      </c>
      <c r="O92" s="4" t="s">
        <v>578</v>
      </c>
      <c r="P92" s="102">
        <v>898405525</v>
      </c>
      <c r="Q92" s="12">
        <v>742907956</v>
      </c>
      <c r="R92" s="12">
        <v>1297506878</v>
      </c>
      <c r="S92" s="12">
        <v>1145783640</v>
      </c>
      <c r="T92" s="12">
        <v>1102303000</v>
      </c>
      <c r="U92" s="25"/>
      <c r="V92" s="24"/>
    </row>
    <row r="93" spans="1:22" s="3" customFormat="1" ht="30" customHeight="1" x14ac:dyDescent="0.2">
      <c r="A93" s="4">
        <f t="shared" si="25"/>
        <v>86</v>
      </c>
      <c r="B93" s="5" t="str">
        <f>VLOOKUP(C93,$W:$X,2,0)</f>
        <v>0307</v>
      </c>
      <c r="C93" s="23" t="s">
        <v>188</v>
      </c>
      <c r="D93" s="4" t="s">
        <v>225</v>
      </c>
      <c r="E93" s="5" t="s">
        <v>675</v>
      </c>
      <c r="F93" s="23" t="s">
        <v>673</v>
      </c>
      <c r="G93" s="5" t="s">
        <v>30</v>
      </c>
      <c r="H93" s="4" t="s">
        <v>679</v>
      </c>
      <c r="I93" s="4" t="s">
        <v>376</v>
      </c>
      <c r="J93" s="75">
        <f t="shared" si="32"/>
        <v>10695902</v>
      </c>
      <c r="K93" s="4">
        <v>2025</v>
      </c>
      <c r="L93" s="56">
        <f t="shared" si="33"/>
        <v>10695902</v>
      </c>
      <c r="M93" s="94">
        <v>10695902</v>
      </c>
      <c r="N93" s="94">
        <f>VLOOKUP(I93,BUNGA!$C$97:$D$98,2,0)</f>
        <v>1</v>
      </c>
      <c r="O93" s="4" t="s">
        <v>578</v>
      </c>
      <c r="P93" s="102">
        <v>10192121</v>
      </c>
      <c r="Q93" s="12">
        <v>9722025</v>
      </c>
      <c r="R93" s="12">
        <v>9333818</v>
      </c>
      <c r="S93" s="12">
        <v>0</v>
      </c>
      <c r="T93" s="12">
        <v>0</v>
      </c>
      <c r="U93" s="25"/>
      <c r="V93" s="24"/>
    </row>
    <row r="94" spans="1:22" s="3" customFormat="1" ht="30" customHeight="1" x14ac:dyDescent="0.2">
      <c r="A94" s="4">
        <f t="shared" si="25"/>
        <v>87</v>
      </c>
      <c r="B94" s="5" t="str">
        <f>VLOOKUP(C94,$W:$X,2,0)</f>
        <v>0307</v>
      </c>
      <c r="C94" s="23" t="s">
        <v>188</v>
      </c>
      <c r="D94" s="4" t="s">
        <v>225</v>
      </c>
      <c r="E94" s="5" t="s">
        <v>676</v>
      </c>
      <c r="F94" s="23" t="s">
        <v>677</v>
      </c>
      <c r="G94" s="5" t="s">
        <v>30</v>
      </c>
      <c r="H94" s="4" t="s">
        <v>679</v>
      </c>
      <c r="I94" s="4" t="s">
        <v>376</v>
      </c>
      <c r="J94" s="75">
        <f t="shared" si="32"/>
        <v>6191367</v>
      </c>
      <c r="K94" s="4">
        <v>2025</v>
      </c>
      <c r="L94" s="56">
        <f t="shared" si="33"/>
        <v>6191367</v>
      </c>
      <c r="M94" s="94">
        <v>6191367</v>
      </c>
      <c r="N94" s="94">
        <f>VLOOKUP(I94,BUNGA!$C$97:$D$98,2,0)</f>
        <v>1</v>
      </c>
      <c r="O94" s="4" t="s">
        <v>578</v>
      </c>
      <c r="P94" s="102">
        <v>0</v>
      </c>
      <c r="Q94" s="12">
        <v>6248898</v>
      </c>
      <c r="R94" s="12">
        <v>5806764</v>
      </c>
      <c r="S94" s="12">
        <v>0</v>
      </c>
      <c r="T94" s="12">
        <v>0</v>
      </c>
      <c r="U94" s="25"/>
      <c r="V94" s="24"/>
    </row>
    <row r="95" spans="1:22" s="3" customFormat="1" ht="30" customHeight="1" x14ac:dyDescent="0.2">
      <c r="A95" s="4">
        <f t="shared" si="25"/>
        <v>88</v>
      </c>
      <c r="B95" s="5" t="str">
        <f>VLOOKUP(C95,$W:$X,2,0)</f>
        <v>0303</v>
      </c>
      <c r="C95" s="23" t="s">
        <v>530</v>
      </c>
      <c r="D95" s="4" t="s">
        <v>225</v>
      </c>
      <c r="E95" s="5" t="s">
        <v>681</v>
      </c>
      <c r="F95" s="23" t="s">
        <v>682</v>
      </c>
      <c r="G95" s="5" t="s">
        <v>30</v>
      </c>
      <c r="H95" s="4" t="s">
        <v>683</v>
      </c>
      <c r="I95" s="4" t="s">
        <v>376</v>
      </c>
      <c r="J95" s="75">
        <f t="shared" ref="J95:J102" si="34">L95</f>
        <v>3657152090</v>
      </c>
      <c r="K95" s="4">
        <v>2025</v>
      </c>
      <c r="L95" s="56">
        <f t="shared" ref="L95:L102" si="35">ROUNDDOWN(M95*N95,0)</f>
        <v>3657152090</v>
      </c>
      <c r="M95" s="94">
        <v>3657152090</v>
      </c>
      <c r="N95" s="94">
        <f>VLOOKUP(I95,BUNGA!$C$97:$D$98,2,0)</f>
        <v>1</v>
      </c>
      <c r="O95" s="4" t="s">
        <v>578</v>
      </c>
      <c r="P95" s="102">
        <v>1770860000</v>
      </c>
      <c r="Q95" s="12">
        <v>2156900000</v>
      </c>
      <c r="R95" s="12">
        <v>1808800000</v>
      </c>
      <c r="S95" s="12">
        <v>2077600000</v>
      </c>
      <c r="T95" s="12">
        <v>2129580000</v>
      </c>
      <c r="U95" s="25"/>
      <c r="V95" s="24"/>
    </row>
    <row r="96" spans="1:22" s="3" customFormat="1" ht="30" customHeight="1" x14ac:dyDescent="0.2">
      <c r="A96" s="4">
        <f t="shared" si="25"/>
        <v>89</v>
      </c>
      <c r="B96" s="5" t="str">
        <f>VLOOKUP(C96,$W:$X,2,0)</f>
        <v>0305</v>
      </c>
      <c r="C96" s="23" t="s">
        <v>42</v>
      </c>
      <c r="D96" s="4" t="s">
        <v>225</v>
      </c>
      <c r="E96" s="5" t="s">
        <v>803</v>
      </c>
      <c r="F96" s="23" t="s">
        <v>802</v>
      </c>
      <c r="G96" s="5" t="s">
        <v>922</v>
      </c>
      <c r="H96" s="4" t="s">
        <v>795</v>
      </c>
      <c r="I96" s="4" t="s">
        <v>376</v>
      </c>
      <c r="J96" s="75">
        <f t="shared" si="34"/>
        <v>950000000</v>
      </c>
      <c r="K96" s="4">
        <v>2025</v>
      </c>
      <c r="L96" s="56">
        <f t="shared" si="35"/>
        <v>950000000</v>
      </c>
      <c r="M96" s="94">
        <v>950000000</v>
      </c>
      <c r="N96" s="94">
        <f>VLOOKUP(I96,BUNGA!$C$97:$D$98,2,0)</f>
        <v>1</v>
      </c>
      <c r="O96" s="4" t="s">
        <v>578</v>
      </c>
      <c r="P96" s="102">
        <v>950000000</v>
      </c>
      <c r="Q96" s="12">
        <v>950000000</v>
      </c>
      <c r="R96" s="12">
        <v>950000000</v>
      </c>
      <c r="S96" s="12">
        <v>950000000</v>
      </c>
      <c r="T96" s="12">
        <v>950000000</v>
      </c>
      <c r="U96" s="25"/>
      <c r="V96" s="24"/>
    </row>
    <row r="97" spans="1:22" s="3" customFormat="1" ht="30" customHeight="1" x14ac:dyDescent="0.2">
      <c r="A97" s="4">
        <f t="shared" si="25"/>
        <v>90</v>
      </c>
      <c r="B97" s="5" t="str">
        <f>VLOOKUP(C97,$W:$X,2,0)</f>
        <v>0305</v>
      </c>
      <c r="C97" s="23" t="s">
        <v>42</v>
      </c>
      <c r="D97" s="4" t="s">
        <v>225</v>
      </c>
      <c r="E97" s="5" t="s">
        <v>803</v>
      </c>
      <c r="F97" s="23" t="s">
        <v>802</v>
      </c>
      <c r="G97" s="5" t="s">
        <v>893</v>
      </c>
      <c r="H97" s="4" t="s">
        <v>795</v>
      </c>
      <c r="I97" s="4" t="s">
        <v>376</v>
      </c>
      <c r="J97" s="75">
        <f t="shared" si="34"/>
        <v>1000000000</v>
      </c>
      <c r="K97" s="4">
        <v>2025</v>
      </c>
      <c r="L97" s="56">
        <f t="shared" si="35"/>
        <v>1000000000</v>
      </c>
      <c r="M97" s="94">
        <v>1000000000</v>
      </c>
      <c r="N97" s="94">
        <f>VLOOKUP(I97,BUNGA!$C$97:$D$98,2,0)</f>
        <v>1</v>
      </c>
      <c r="O97" s="4" t="s">
        <v>579</v>
      </c>
      <c r="P97" s="102">
        <v>2100000000</v>
      </c>
      <c r="Q97" s="12">
        <v>2100000000</v>
      </c>
      <c r="R97" s="12">
        <v>2100000000</v>
      </c>
      <c r="S97" s="12">
        <v>2100000000</v>
      </c>
      <c r="T97" s="12">
        <v>2100000000</v>
      </c>
      <c r="U97" s="25"/>
      <c r="V97" s="24"/>
    </row>
    <row r="98" spans="1:22" s="3" customFormat="1" ht="30" customHeight="1" x14ac:dyDescent="0.2">
      <c r="A98" s="4">
        <f t="shared" si="25"/>
        <v>91</v>
      </c>
      <c r="B98" s="5" t="str">
        <f>VLOOKUP(C98,$W:$X,2,0)</f>
        <v>0305</v>
      </c>
      <c r="C98" s="23" t="s">
        <v>42</v>
      </c>
      <c r="D98" s="4" t="s">
        <v>225</v>
      </c>
      <c r="E98" s="5" t="s">
        <v>803</v>
      </c>
      <c r="F98" s="23" t="s">
        <v>802</v>
      </c>
      <c r="G98" s="5" t="s">
        <v>894</v>
      </c>
      <c r="H98" s="4" t="s">
        <v>795</v>
      </c>
      <c r="I98" s="4" t="s">
        <v>376</v>
      </c>
      <c r="J98" s="75">
        <f t="shared" si="34"/>
        <v>1190000000</v>
      </c>
      <c r="K98" s="4">
        <v>2025</v>
      </c>
      <c r="L98" s="56">
        <f t="shared" si="35"/>
        <v>1190000000</v>
      </c>
      <c r="M98" s="94">
        <v>1190000000</v>
      </c>
      <c r="N98" s="94">
        <f>VLOOKUP(I98,BUNGA!$C$97:$D$98,2,0)</f>
        <v>1</v>
      </c>
      <c r="O98" s="4" t="s">
        <v>578</v>
      </c>
      <c r="P98" s="102">
        <v>3000000000</v>
      </c>
      <c r="Q98" s="12">
        <v>0</v>
      </c>
      <c r="R98" s="12">
        <v>0</v>
      </c>
      <c r="S98" s="12">
        <v>0</v>
      </c>
      <c r="T98" s="12">
        <v>0</v>
      </c>
      <c r="U98" s="25"/>
      <c r="V98" s="24"/>
    </row>
    <row r="99" spans="1:22" s="3" customFormat="1" ht="30" customHeight="1" x14ac:dyDescent="0.2">
      <c r="A99" s="4">
        <f t="shared" si="25"/>
        <v>92</v>
      </c>
      <c r="B99" s="5" t="str">
        <f>VLOOKUP(C99,$W:$X,2,0)</f>
        <v>0305</v>
      </c>
      <c r="C99" s="23" t="s">
        <v>42</v>
      </c>
      <c r="D99" s="4" t="s">
        <v>225</v>
      </c>
      <c r="E99" s="5" t="s">
        <v>803</v>
      </c>
      <c r="F99" s="23" t="s">
        <v>802</v>
      </c>
      <c r="G99" s="5" t="s">
        <v>895</v>
      </c>
      <c r="H99" s="4" t="s">
        <v>795</v>
      </c>
      <c r="I99" s="4" t="s">
        <v>376</v>
      </c>
      <c r="J99" s="75">
        <f t="shared" si="34"/>
        <v>1200000000</v>
      </c>
      <c r="K99" s="4">
        <v>2025</v>
      </c>
      <c r="L99" s="56">
        <f t="shared" si="35"/>
        <v>1200000000</v>
      </c>
      <c r="M99" s="94">
        <v>1200000000</v>
      </c>
      <c r="N99" s="94">
        <f>VLOOKUP(I99,BUNGA!$C$97:$D$98,2,0)</f>
        <v>1</v>
      </c>
      <c r="O99" s="4" t="s">
        <v>578</v>
      </c>
      <c r="P99" s="102">
        <v>3050000000</v>
      </c>
      <c r="Q99" s="12">
        <v>0</v>
      </c>
      <c r="R99" s="12">
        <v>0</v>
      </c>
      <c r="S99" s="12">
        <v>0</v>
      </c>
      <c r="T99" s="12">
        <v>0</v>
      </c>
      <c r="U99" s="25"/>
      <c r="V99" s="24"/>
    </row>
    <row r="100" spans="1:22" s="3" customFormat="1" ht="30" customHeight="1" x14ac:dyDescent="0.2">
      <c r="A100" s="4">
        <f t="shared" si="25"/>
        <v>93</v>
      </c>
      <c r="B100" s="5" t="str">
        <f>VLOOKUP(C100,$W:$X,2,0)</f>
        <v>0305</v>
      </c>
      <c r="C100" s="23" t="s">
        <v>42</v>
      </c>
      <c r="D100" s="4" t="s">
        <v>225</v>
      </c>
      <c r="E100" s="5" t="s">
        <v>803</v>
      </c>
      <c r="F100" s="23" t="s">
        <v>802</v>
      </c>
      <c r="G100" s="5" t="s">
        <v>896</v>
      </c>
      <c r="H100" s="4" t="s">
        <v>795</v>
      </c>
      <c r="I100" s="4" t="s">
        <v>376</v>
      </c>
      <c r="J100" s="75">
        <f t="shared" si="34"/>
        <v>3000000000</v>
      </c>
      <c r="K100" s="4">
        <v>2025</v>
      </c>
      <c r="L100" s="56">
        <f t="shared" si="35"/>
        <v>3000000000</v>
      </c>
      <c r="M100" s="94">
        <v>3000000000</v>
      </c>
      <c r="N100" s="94">
        <f>VLOOKUP(I100,BUNGA!$C$97:$D$98,2,0)</f>
        <v>1</v>
      </c>
      <c r="O100" s="4" t="s">
        <v>578</v>
      </c>
      <c r="P100" s="102">
        <v>1280000000</v>
      </c>
      <c r="Q100" s="12">
        <v>0</v>
      </c>
      <c r="R100" s="12">
        <v>0</v>
      </c>
      <c r="S100" s="12">
        <v>0</v>
      </c>
      <c r="T100" s="12">
        <v>0</v>
      </c>
      <c r="U100" s="25"/>
      <c r="V100" s="24"/>
    </row>
    <row r="101" spans="1:22" s="3" customFormat="1" ht="30" customHeight="1" x14ac:dyDescent="0.2">
      <c r="A101" s="4">
        <f t="shared" si="25"/>
        <v>94</v>
      </c>
      <c r="B101" s="5" t="str">
        <f>VLOOKUP(C101,$W:$X,2,0)</f>
        <v>0305</v>
      </c>
      <c r="C101" s="23" t="s">
        <v>42</v>
      </c>
      <c r="D101" s="4" t="s">
        <v>225</v>
      </c>
      <c r="E101" s="5" t="s">
        <v>803</v>
      </c>
      <c r="F101" s="23" t="s">
        <v>802</v>
      </c>
      <c r="G101" s="5" t="s">
        <v>897</v>
      </c>
      <c r="H101" s="4" t="s">
        <v>795</v>
      </c>
      <c r="I101" s="4" t="s">
        <v>376</v>
      </c>
      <c r="J101" s="75">
        <f t="shared" si="34"/>
        <v>1000000000</v>
      </c>
      <c r="K101" s="4">
        <v>2025</v>
      </c>
      <c r="L101" s="56">
        <f t="shared" si="35"/>
        <v>1000000000</v>
      </c>
      <c r="M101" s="94">
        <v>1000000000</v>
      </c>
      <c r="N101" s="94">
        <f>VLOOKUP(I101,BUNGA!$C$97:$D$98,2,0)</f>
        <v>1</v>
      </c>
      <c r="O101" s="4" t="s">
        <v>579</v>
      </c>
      <c r="P101" s="102">
        <v>1000000000</v>
      </c>
      <c r="Q101" s="12">
        <v>0</v>
      </c>
      <c r="R101" s="12">
        <v>0</v>
      </c>
      <c r="S101" s="12">
        <v>0</v>
      </c>
      <c r="T101" s="12">
        <v>0</v>
      </c>
      <c r="U101" s="25"/>
      <c r="V101" s="24"/>
    </row>
    <row r="102" spans="1:22" s="3" customFormat="1" ht="30" customHeight="1" x14ac:dyDescent="0.2">
      <c r="A102" s="4">
        <f t="shared" si="25"/>
        <v>95</v>
      </c>
      <c r="B102" s="5" t="str">
        <f>VLOOKUP(C102,$W:$X,2,0)</f>
        <v>0305</v>
      </c>
      <c r="C102" s="23" t="s">
        <v>42</v>
      </c>
      <c r="D102" s="4" t="s">
        <v>225</v>
      </c>
      <c r="E102" s="5" t="s">
        <v>803</v>
      </c>
      <c r="F102" s="23" t="s">
        <v>802</v>
      </c>
      <c r="G102" s="5" t="s">
        <v>895</v>
      </c>
      <c r="H102" s="4" t="s">
        <v>795</v>
      </c>
      <c r="I102" s="4" t="s">
        <v>376</v>
      </c>
      <c r="J102" s="75">
        <f t="shared" si="34"/>
        <v>1800000000</v>
      </c>
      <c r="K102" s="4">
        <v>2025</v>
      </c>
      <c r="L102" s="56">
        <f t="shared" si="35"/>
        <v>1800000000</v>
      </c>
      <c r="M102" s="94">
        <v>1800000000</v>
      </c>
      <c r="N102" s="94">
        <f>VLOOKUP(I102,BUNGA!$C$97:$D$98,2,0)</f>
        <v>1</v>
      </c>
      <c r="O102" s="4" t="s">
        <v>579</v>
      </c>
      <c r="P102" s="102">
        <v>1000000000</v>
      </c>
      <c r="Q102" s="12">
        <v>0</v>
      </c>
      <c r="R102" s="12">
        <v>0</v>
      </c>
      <c r="S102" s="12">
        <v>0</v>
      </c>
      <c r="T102" s="12">
        <v>0</v>
      </c>
      <c r="U102" s="25"/>
      <c r="V102" s="24"/>
    </row>
    <row r="103" spans="1:22" s="3" customFormat="1" ht="30" customHeight="1" x14ac:dyDescent="0.2">
      <c r="A103" s="4">
        <f t="shared" si="25"/>
        <v>96</v>
      </c>
      <c r="B103" s="5" t="str">
        <f>VLOOKUP(C103,$W:$X,2,0)</f>
        <v>0305</v>
      </c>
      <c r="C103" s="23" t="s">
        <v>42</v>
      </c>
      <c r="D103" s="4" t="s">
        <v>225</v>
      </c>
      <c r="E103" s="5" t="s">
        <v>758</v>
      </c>
      <c r="F103" s="23" t="s">
        <v>713</v>
      </c>
      <c r="G103" s="5" t="s">
        <v>898</v>
      </c>
      <c r="H103" s="4" t="s">
        <v>759</v>
      </c>
      <c r="I103" s="4" t="s">
        <v>376</v>
      </c>
      <c r="J103" s="75">
        <f t="shared" ref="J103:J111" si="36">L103</f>
        <v>1000000000</v>
      </c>
      <c r="K103" s="4">
        <v>2025</v>
      </c>
      <c r="L103" s="56">
        <f t="shared" ref="L103:L111" si="37">ROUNDDOWN(M103*N103,0)</f>
        <v>1000000000</v>
      </c>
      <c r="M103" s="94">
        <v>1000000000</v>
      </c>
      <c r="N103" s="94">
        <f>VLOOKUP(I103,BUNGA!$C$97:$D$98,2,0)</f>
        <v>1</v>
      </c>
      <c r="O103" s="4" t="s">
        <v>578</v>
      </c>
      <c r="P103" s="102">
        <v>1000000000</v>
      </c>
      <c r="Q103" s="12">
        <v>1000000000</v>
      </c>
      <c r="R103" s="12">
        <v>1000000000</v>
      </c>
      <c r="S103" s="12">
        <v>1000000000</v>
      </c>
      <c r="T103" s="12">
        <v>1000000000</v>
      </c>
      <c r="U103" s="25"/>
      <c r="V103" s="24"/>
    </row>
    <row r="104" spans="1:22" s="3" customFormat="1" ht="30" customHeight="1" x14ac:dyDescent="0.2">
      <c r="A104" s="4">
        <f t="shared" si="25"/>
        <v>97</v>
      </c>
      <c r="B104" s="5" t="str">
        <f>VLOOKUP(C104,$W:$X,2,0)</f>
        <v>0305</v>
      </c>
      <c r="C104" s="23" t="s">
        <v>42</v>
      </c>
      <c r="D104" s="4" t="s">
        <v>225</v>
      </c>
      <c r="E104" s="5" t="s">
        <v>758</v>
      </c>
      <c r="F104" s="23" t="s">
        <v>713</v>
      </c>
      <c r="G104" s="5" t="s">
        <v>849</v>
      </c>
      <c r="H104" s="4" t="s">
        <v>759</v>
      </c>
      <c r="I104" s="4" t="s">
        <v>376</v>
      </c>
      <c r="J104" s="75">
        <f t="shared" si="36"/>
        <v>510000000</v>
      </c>
      <c r="K104" s="4">
        <v>2025</v>
      </c>
      <c r="L104" s="56">
        <f t="shared" si="37"/>
        <v>510000000</v>
      </c>
      <c r="M104" s="94">
        <v>510000000</v>
      </c>
      <c r="N104" s="94">
        <f>VLOOKUP(I104,BUNGA!$C$97:$D$98,2,0)</f>
        <v>1</v>
      </c>
      <c r="O104" s="4" t="s">
        <v>578</v>
      </c>
      <c r="P104" s="102">
        <v>521903400</v>
      </c>
      <c r="Q104" s="12">
        <v>510000000</v>
      </c>
      <c r="R104" s="12">
        <v>510000000</v>
      </c>
      <c r="S104" s="12">
        <v>510000000</v>
      </c>
      <c r="T104" s="12">
        <v>510000000</v>
      </c>
      <c r="U104" s="25"/>
      <c r="V104" s="24"/>
    </row>
    <row r="105" spans="1:22" s="3" customFormat="1" ht="30" customHeight="1" x14ac:dyDescent="0.2">
      <c r="A105" s="4">
        <f t="shared" si="25"/>
        <v>98</v>
      </c>
      <c r="B105" s="5" t="str">
        <f>VLOOKUP(C105,$W:$X,2,0)</f>
        <v>0305</v>
      </c>
      <c r="C105" s="23" t="s">
        <v>42</v>
      </c>
      <c r="D105" s="4" t="s">
        <v>225</v>
      </c>
      <c r="E105" s="5" t="s">
        <v>758</v>
      </c>
      <c r="F105" s="23" t="s">
        <v>713</v>
      </c>
      <c r="G105" s="5" t="s">
        <v>899</v>
      </c>
      <c r="H105" s="4" t="s">
        <v>759</v>
      </c>
      <c r="I105" s="4" t="s">
        <v>376</v>
      </c>
      <c r="J105" s="75">
        <f t="shared" si="36"/>
        <v>940000000</v>
      </c>
      <c r="K105" s="4">
        <v>2025</v>
      </c>
      <c r="L105" s="56">
        <f t="shared" si="37"/>
        <v>940000000</v>
      </c>
      <c r="M105" s="94">
        <v>940000000</v>
      </c>
      <c r="N105" s="94">
        <f>VLOOKUP(I105,BUNGA!$C$97:$D$98,2,0)</f>
        <v>1</v>
      </c>
      <c r="O105" s="4" t="s">
        <v>578</v>
      </c>
      <c r="P105" s="102">
        <v>1946080000</v>
      </c>
      <c r="Q105" s="12">
        <v>2000000000</v>
      </c>
      <c r="R105" s="12">
        <v>2000000000</v>
      </c>
      <c r="S105" s="12">
        <v>0</v>
      </c>
      <c r="T105" s="12">
        <v>0</v>
      </c>
      <c r="U105" s="25"/>
      <c r="V105" s="24"/>
    </row>
    <row r="106" spans="1:22" s="3" customFormat="1" ht="30" customHeight="1" x14ac:dyDescent="0.2">
      <c r="A106" s="4">
        <f t="shared" si="25"/>
        <v>99</v>
      </c>
      <c r="B106" s="5" t="str">
        <f>VLOOKUP(C106,$W:$X,2,0)</f>
        <v>0305</v>
      </c>
      <c r="C106" s="23" t="s">
        <v>42</v>
      </c>
      <c r="D106" s="4" t="s">
        <v>225</v>
      </c>
      <c r="E106" s="5" t="s">
        <v>758</v>
      </c>
      <c r="F106" s="23" t="s">
        <v>713</v>
      </c>
      <c r="G106" s="5" t="s">
        <v>837</v>
      </c>
      <c r="H106" s="4" t="s">
        <v>759</v>
      </c>
      <c r="I106" s="4" t="s">
        <v>375</v>
      </c>
      <c r="J106" s="75">
        <f t="shared" si="36"/>
        <v>718055600</v>
      </c>
      <c r="K106" s="4">
        <v>2025</v>
      </c>
      <c r="L106" s="56">
        <f t="shared" si="37"/>
        <v>718055600</v>
      </c>
      <c r="M106" s="94">
        <v>42800</v>
      </c>
      <c r="N106" s="94">
        <f>VLOOKUP(I106,BUNGA!$C$97:$D$98,2,0)</f>
        <v>16777</v>
      </c>
      <c r="O106" s="4" t="s">
        <v>578</v>
      </c>
      <c r="P106" s="102">
        <v>2167851645</v>
      </c>
      <c r="Q106" s="12">
        <v>2162300000</v>
      </c>
      <c r="R106" s="12">
        <v>0</v>
      </c>
      <c r="S106" s="12">
        <v>0</v>
      </c>
      <c r="T106" s="12">
        <v>0</v>
      </c>
      <c r="U106" s="25"/>
      <c r="V106" s="24"/>
    </row>
    <row r="107" spans="1:22" s="3" customFormat="1" ht="30" customHeight="1" x14ac:dyDescent="0.2">
      <c r="A107" s="4">
        <f t="shared" si="25"/>
        <v>100</v>
      </c>
      <c r="B107" s="5" t="str">
        <f>VLOOKUP(C107,$W:$X,2,0)</f>
        <v>0305</v>
      </c>
      <c r="C107" s="23" t="s">
        <v>42</v>
      </c>
      <c r="D107" s="4" t="s">
        <v>225</v>
      </c>
      <c r="E107" s="5" t="s">
        <v>758</v>
      </c>
      <c r="F107" s="23" t="s">
        <v>713</v>
      </c>
      <c r="G107" s="5" t="s">
        <v>900</v>
      </c>
      <c r="H107" s="4" t="s">
        <v>759</v>
      </c>
      <c r="I107" s="4" t="s">
        <v>376</v>
      </c>
      <c r="J107" s="75">
        <f t="shared" si="36"/>
        <v>250000000</v>
      </c>
      <c r="K107" s="4">
        <v>2025</v>
      </c>
      <c r="L107" s="56">
        <f t="shared" si="37"/>
        <v>250000000</v>
      </c>
      <c r="M107" s="94">
        <v>250000000</v>
      </c>
      <c r="N107" s="94">
        <f>VLOOKUP(I107,BUNGA!$C$97:$D$98,2,0)</f>
        <v>1</v>
      </c>
      <c r="O107" s="4" t="s">
        <v>578</v>
      </c>
      <c r="P107" s="102">
        <v>250000000</v>
      </c>
      <c r="Q107" s="12">
        <v>0</v>
      </c>
      <c r="R107" s="12">
        <v>0</v>
      </c>
      <c r="S107" s="12">
        <v>0</v>
      </c>
      <c r="T107" s="12">
        <v>0</v>
      </c>
      <c r="U107" s="25"/>
      <c r="V107" s="24"/>
    </row>
    <row r="108" spans="1:22" s="3" customFormat="1" ht="30" customHeight="1" x14ac:dyDescent="0.2">
      <c r="A108" s="4">
        <f t="shared" si="25"/>
        <v>101</v>
      </c>
      <c r="B108" s="5" t="str">
        <f>VLOOKUP(C108,$W:$X,2,0)</f>
        <v>0305</v>
      </c>
      <c r="C108" s="23" t="s">
        <v>42</v>
      </c>
      <c r="D108" s="4" t="s">
        <v>225</v>
      </c>
      <c r="E108" s="5" t="s">
        <v>758</v>
      </c>
      <c r="F108" s="23" t="s">
        <v>713</v>
      </c>
      <c r="G108" s="5" t="s">
        <v>901</v>
      </c>
      <c r="H108" s="4" t="s">
        <v>759</v>
      </c>
      <c r="I108" s="4" t="s">
        <v>376</v>
      </c>
      <c r="J108" s="75">
        <f t="shared" si="36"/>
        <v>350000000</v>
      </c>
      <c r="K108" s="4">
        <v>2025</v>
      </c>
      <c r="L108" s="56">
        <f t="shared" si="37"/>
        <v>350000000</v>
      </c>
      <c r="M108" s="94">
        <v>350000000</v>
      </c>
      <c r="N108" s="94">
        <f>VLOOKUP(I108,BUNGA!$C$97:$D$98,2,0)</f>
        <v>1</v>
      </c>
      <c r="O108" s="4" t="s">
        <v>578</v>
      </c>
      <c r="P108" s="102">
        <v>344743000</v>
      </c>
      <c r="Q108" s="12">
        <v>0</v>
      </c>
      <c r="R108" s="12">
        <v>0</v>
      </c>
      <c r="S108" s="12">
        <v>0</v>
      </c>
      <c r="T108" s="12">
        <v>0</v>
      </c>
      <c r="U108" s="25"/>
      <c r="V108" s="24"/>
    </row>
    <row r="109" spans="1:22" s="3" customFormat="1" ht="30" customHeight="1" x14ac:dyDescent="0.2">
      <c r="A109" s="4">
        <f t="shared" si="25"/>
        <v>102</v>
      </c>
      <c r="B109" s="5" t="str">
        <f>VLOOKUP(C109,$W:$X,2,0)</f>
        <v>0305</v>
      </c>
      <c r="C109" s="23" t="s">
        <v>42</v>
      </c>
      <c r="D109" s="4" t="s">
        <v>225</v>
      </c>
      <c r="E109" s="5" t="s">
        <v>758</v>
      </c>
      <c r="F109" s="23" t="s">
        <v>713</v>
      </c>
      <c r="G109" s="5" t="s">
        <v>902</v>
      </c>
      <c r="H109" s="4" t="s">
        <v>759</v>
      </c>
      <c r="I109" s="4" t="s">
        <v>376</v>
      </c>
      <c r="J109" s="75">
        <f t="shared" si="36"/>
        <v>1000000000</v>
      </c>
      <c r="K109" s="4">
        <v>2025</v>
      </c>
      <c r="L109" s="56">
        <f t="shared" si="37"/>
        <v>1000000000</v>
      </c>
      <c r="M109" s="94">
        <v>1000000000</v>
      </c>
      <c r="N109" s="94">
        <f>VLOOKUP(I109,BUNGA!$C$97:$D$98,2,0)</f>
        <v>1</v>
      </c>
      <c r="O109" s="4" t="s">
        <v>578</v>
      </c>
      <c r="P109" s="102">
        <v>2050000000</v>
      </c>
      <c r="Q109" s="12">
        <v>0</v>
      </c>
      <c r="R109" s="12">
        <v>0</v>
      </c>
      <c r="S109" s="12">
        <v>0</v>
      </c>
      <c r="T109" s="12">
        <v>0</v>
      </c>
      <c r="U109" s="25"/>
      <c r="V109" s="24"/>
    </row>
    <row r="110" spans="1:22" s="3" customFormat="1" ht="30" customHeight="1" x14ac:dyDescent="0.2">
      <c r="A110" s="4">
        <f t="shared" si="25"/>
        <v>103</v>
      </c>
      <c r="B110" s="5" t="str">
        <f>VLOOKUP(C110,$W:$X,2,0)</f>
        <v>0305</v>
      </c>
      <c r="C110" s="23" t="s">
        <v>42</v>
      </c>
      <c r="D110" s="4" t="s">
        <v>225</v>
      </c>
      <c r="E110" s="5" t="s">
        <v>758</v>
      </c>
      <c r="F110" s="23" t="s">
        <v>713</v>
      </c>
      <c r="G110" s="5" t="s">
        <v>903</v>
      </c>
      <c r="H110" s="4" t="s">
        <v>759</v>
      </c>
      <c r="I110" s="4" t="s">
        <v>376</v>
      </c>
      <c r="J110" s="75">
        <f t="shared" si="36"/>
        <v>3020000000</v>
      </c>
      <c r="K110" s="4">
        <v>2025</v>
      </c>
      <c r="L110" s="56">
        <f t="shared" si="37"/>
        <v>3020000000</v>
      </c>
      <c r="M110" s="94">
        <v>3020000000</v>
      </c>
      <c r="N110" s="94">
        <f>VLOOKUP(I110,BUNGA!$C$97:$D$98,2,0)</f>
        <v>1</v>
      </c>
      <c r="O110" s="4" t="s">
        <v>578</v>
      </c>
      <c r="P110" s="102">
        <v>3329008500</v>
      </c>
      <c r="Q110" s="12">
        <v>0</v>
      </c>
      <c r="R110" s="12">
        <v>0</v>
      </c>
      <c r="S110" s="12">
        <v>0</v>
      </c>
      <c r="T110" s="12">
        <v>0</v>
      </c>
      <c r="U110" s="25"/>
      <c r="V110" s="24"/>
    </row>
    <row r="111" spans="1:22" s="3" customFormat="1" ht="30" customHeight="1" x14ac:dyDescent="0.2">
      <c r="A111" s="4">
        <f t="shared" si="25"/>
        <v>104</v>
      </c>
      <c r="B111" s="5" t="str">
        <f>VLOOKUP(C111,$W:$X,2,0)</f>
        <v>0305</v>
      </c>
      <c r="C111" s="23" t="s">
        <v>42</v>
      </c>
      <c r="D111" s="4" t="s">
        <v>225</v>
      </c>
      <c r="E111" s="5" t="s">
        <v>758</v>
      </c>
      <c r="F111" s="23" t="s">
        <v>713</v>
      </c>
      <c r="G111" s="5" t="s">
        <v>900</v>
      </c>
      <c r="H111" s="4" t="s">
        <v>759</v>
      </c>
      <c r="I111" s="4" t="s">
        <v>376</v>
      </c>
      <c r="J111" s="75">
        <f t="shared" si="36"/>
        <v>200000000</v>
      </c>
      <c r="K111" s="4">
        <v>2025</v>
      </c>
      <c r="L111" s="56">
        <f t="shared" si="37"/>
        <v>200000000</v>
      </c>
      <c r="M111" s="94">
        <v>200000000</v>
      </c>
      <c r="N111" s="94">
        <f>VLOOKUP(I111,BUNGA!$C$97:$D$98,2,0)</f>
        <v>1</v>
      </c>
      <c r="O111" s="4" t="s">
        <v>579</v>
      </c>
      <c r="P111" s="102">
        <v>200000000</v>
      </c>
      <c r="Q111" s="12">
        <v>0</v>
      </c>
      <c r="R111" s="12">
        <v>0</v>
      </c>
      <c r="S111" s="12">
        <v>0</v>
      </c>
      <c r="T111" s="12">
        <v>0</v>
      </c>
      <c r="U111" s="25"/>
      <c r="V111" s="24"/>
    </row>
    <row r="112" spans="1:22" s="3" customFormat="1" ht="30" customHeight="1" x14ac:dyDescent="0.2">
      <c r="A112" s="4">
        <f t="shared" si="25"/>
        <v>105</v>
      </c>
      <c r="B112" s="5" t="str">
        <f>VLOOKUP(C112,$W:$X,2,0)</f>
        <v>0305</v>
      </c>
      <c r="C112" s="23" t="s">
        <v>42</v>
      </c>
      <c r="D112" s="4" t="s">
        <v>225</v>
      </c>
      <c r="E112" s="5" t="s">
        <v>758</v>
      </c>
      <c r="F112" s="23" t="s">
        <v>713</v>
      </c>
      <c r="G112" s="5" t="s">
        <v>664</v>
      </c>
      <c r="H112" s="4" t="s">
        <v>759</v>
      </c>
      <c r="I112" s="4" t="s">
        <v>376</v>
      </c>
      <c r="J112" s="75">
        <f t="shared" ref="J112:J113" si="38">L112</f>
        <v>300000000</v>
      </c>
      <c r="K112" s="4">
        <v>2025</v>
      </c>
      <c r="L112" s="56">
        <f t="shared" ref="L112:L113" si="39">ROUNDDOWN(M112*N112,0)</f>
        <v>300000000</v>
      </c>
      <c r="M112" s="94">
        <v>300000000</v>
      </c>
      <c r="N112" s="94">
        <f>VLOOKUP(I112,BUNGA!$C$97:$D$98,2,0)</f>
        <v>1</v>
      </c>
      <c r="O112" s="4" t="s">
        <v>579</v>
      </c>
      <c r="P112" s="102">
        <v>292719000</v>
      </c>
      <c r="Q112" s="12">
        <v>0</v>
      </c>
      <c r="R112" s="12">
        <v>0</v>
      </c>
      <c r="S112" s="12">
        <v>0</v>
      </c>
      <c r="T112" s="12">
        <v>0</v>
      </c>
      <c r="U112" s="25"/>
      <c r="V112" s="24"/>
    </row>
    <row r="113" spans="1:22" s="3" customFormat="1" ht="30" customHeight="1" x14ac:dyDescent="0.2">
      <c r="A113" s="4">
        <f t="shared" si="25"/>
        <v>106</v>
      </c>
      <c r="B113" s="5" t="str">
        <f>VLOOKUP(C113,$W:$X,2,0)</f>
        <v>0305</v>
      </c>
      <c r="C113" s="23" t="s">
        <v>42</v>
      </c>
      <c r="D113" s="4" t="s">
        <v>225</v>
      </c>
      <c r="E113" s="5" t="s">
        <v>758</v>
      </c>
      <c r="F113" s="23" t="s">
        <v>713</v>
      </c>
      <c r="G113" s="5" t="s">
        <v>904</v>
      </c>
      <c r="H113" s="4" t="s">
        <v>759</v>
      </c>
      <c r="I113" s="4" t="s">
        <v>376</v>
      </c>
      <c r="J113" s="75">
        <f t="shared" si="38"/>
        <v>3810000000</v>
      </c>
      <c r="K113" s="4">
        <v>2025</v>
      </c>
      <c r="L113" s="56">
        <f t="shared" si="39"/>
        <v>3810000000</v>
      </c>
      <c r="M113" s="94">
        <v>3810000000</v>
      </c>
      <c r="N113" s="94">
        <f>VLOOKUP(I113,BUNGA!$C$97:$D$98,2,0)</f>
        <v>1</v>
      </c>
      <c r="O113" s="4" t="s">
        <v>578</v>
      </c>
      <c r="P113" s="102">
        <v>0</v>
      </c>
      <c r="Q113" s="12">
        <v>0</v>
      </c>
      <c r="R113" s="12">
        <v>0</v>
      </c>
      <c r="S113" s="12">
        <v>0</v>
      </c>
      <c r="T113" s="12">
        <v>0</v>
      </c>
      <c r="U113" s="25"/>
      <c r="V113" s="24"/>
    </row>
    <row r="114" spans="1:22" s="3" customFormat="1" ht="30" customHeight="1" x14ac:dyDescent="0.2">
      <c r="A114" s="4">
        <f t="shared" si="25"/>
        <v>107</v>
      </c>
      <c r="B114" s="5" t="str">
        <f>VLOOKUP(C114,$W:$X,2,0)</f>
        <v>0311</v>
      </c>
      <c r="C114" s="23" t="s">
        <v>51</v>
      </c>
      <c r="D114" s="4" t="s">
        <v>225</v>
      </c>
      <c r="E114" s="5" t="s">
        <v>758</v>
      </c>
      <c r="F114" s="23" t="s">
        <v>713</v>
      </c>
      <c r="G114" s="5" t="s">
        <v>905</v>
      </c>
      <c r="H114" s="4" t="s">
        <v>759</v>
      </c>
      <c r="I114" s="4" t="s">
        <v>375</v>
      </c>
      <c r="J114" s="75">
        <f t="shared" ref="J114:J115" si="40">L114</f>
        <v>496515315</v>
      </c>
      <c r="K114" s="4">
        <v>2025</v>
      </c>
      <c r="L114" s="56">
        <f t="shared" ref="L114:L115" si="41">ROUNDDOWN(M114*N114,0)</f>
        <v>496515315</v>
      </c>
      <c r="M114" s="94">
        <v>29595</v>
      </c>
      <c r="N114" s="94">
        <f>VLOOKUP(I114,BUNGA!$C$97:$D$98,2,0)</f>
        <v>16777</v>
      </c>
      <c r="O114" s="4" t="s">
        <v>579</v>
      </c>
      <c r="P114" s="102">
        <v>0</v>
      </c>
      <c r="Q114" s="12">
        <v>0</v>
      </c>
      <c r="R114" s="12">
        <v>0</v>
      </c>
      <c r="S114" s="12">
        <v>0</v>
      </c>
      <c r="T114" s="12">
        <v>0</v>
      </c>
      <c r="U114" s="25"/>
      <c r="V114" s="24"/>
    </row>
    <row r="115" spans="1:22" s="3" customFormat="1" ht="30" customHeight="1" x14ac:dyDescent="0.2">
      <c r="A115" s="4">
        <f t="shared" si="25"/>
        <v>108</v>
      </c>
      <c r="B115" s="5" t="str">
        <f>VLOOKUP(C115,$W:$X,2,0)</f>
        <v>0305</v>
      </c>
      <c r="C115" s="23" t="s">
        <v>42</v>
      </c>
      <c r="D115" s="4" t="s">
        <v>225</v>
      </c>
      <c r="E115" s="5" t="s">
        <v>758</v>
      </c>
      <c r="F115" s="23" t="s">
        <v>713</v>
      </c>
      <c r="G115" s="5" t="s">
        <v>906</v>
      </c>
      <c r="H115" s="4" t="s">
        <v>759</v>
      </c>
      <c r="I115" s="4" t="s">
        <v>376</v>
      </c>
      <c r="J115" s="75">
        <f t="shared" si="40"/>
        <v>550000000</v>
      </c>
      <c r="K115" s="4">
        <v>2025</v>
      </c>
      <c r="L115" s="56">
        <f t="shared" si="41"/>
        <v>550000000</v>
      </c>
      <c r="M115" s="94">
        <v>550000000</v>
      </c>
      <c r="N115" s="94">
        <f>VLOOKUP(I115,BUNGA!$C$97:$D$98,2,0)</f>
        <v>1</v>
      </c>
      <c r="O115" s="4" t="s">
        <v>579</v>
      </c>
      <c r="P115" s="102">
        <v>0</v>
      </c>
      <c r="Q115" s="12">
        <v>0</v>
      </c>
      <c r="R115" s="12">
        <v>0</v>
      </c>
      <c r="S115" s="12">
        <v>0</v>
      </c>
      <c r="T115" s="12">
        <v>0</v>
      </c>
      <c r="U115" s="25"/>
      <c r="V115" s="24"/>
    </row>
    <row r="116" spans="1:22" s="3" customFormat="1" ht="30" customHeight="1" x14ac:dyDescent="0.2">
      <c r="A116" s="4">
        <f t="shared" si="25"/>
        <v>109</v>
      </c>
      <c r="B116" s="5" t="str">
        <f>VLOOKUP(C116,$W:$X,2,0)</f>
        <v>0305</v>
      </c>
      <c r="C116" s="23" t="s">
        <v>42</v>
      </c>
      <c r="D116" s="4" t="s">
        <v>225</v>
      </c>
      <c r="E116" s="5" t="s">
        <v>758</v>
      </c>
      <c r="F116" s="23" t="s">
        <v>713</v>
      </c>
      <c r="G116" s="5" t="s">
        <v>903</v>
      </c>
      <c r="H116" s="4" t="s">
        <v>759</v>
      </c>
      <c r="I116" s="4" t="s">
        <v>376</v>
      </c>
      <c r="J116" s="75">
        <f t="shared" ref="J116" si="42">L116</f>
        <v>3150000000</v>
      </c>
      <c r="K116" s="4">
        <v>2025</v>
      </c>
      <c r="L116" s="56">
        <f t="shared" ref="L116" si="43">ROUNDDOWN(M116*N116,0)</f>
        <v>3150000000</v>
      </c>
      <c r="M116" s="94">
        <v>3150000000</v>
      </c>
      <c r="N116" s="94">
        <f>VLOOKUP(I116,BUNGA!$C$97:$D$98,2,0)</f>
        <v>1</v>
      </c>
      <c r="O116" s="4" t="s">
        <v>579</v>
      </c>
      <c r="P116" s="102">
        <v>0</v>
      </c>
      <c r="Q116" s="12">
        <v>0</v>
      </c>
      <c r="R116" s="12">
        <v>0</v>
      </c>
      <c r="S116" s="12">
        <v>0</v>
      </c>
      <c r="T116" s="12">
        <v>0</v>
      </c>
      <c r="U116" s="25"/>
      <c r="V116" s="24"/>
    </row>
    <row r="117" spans="1:22" s="3" customFormat="1" ht="30" customHeight="1" x14ac:dyDescent="0.2">
      <c r="A117" s="4">
        <f t="shared" si="25"/>
        <v>110</v>
      </c>
      <c r="B117" s="5" t="str">
        <f>VLOOKUP(C117,$W:$X,2,0)</f>
        <v>0305</v>
      </c>
      <c r="C117" s="23" t="s">
        <v>42</v>
      </c>
      <c r="D117" s="4" t="s">
        <v>225</v>
      </c>
      <c r="E117" s="5" t="s">
        <v>758</v>
      </c>
      <c r="F117" s="23" t="s">
        <v>713</v>
      </c>
      <c r="G117" s="5" t="s">
        <v>863</v>
      </c>
      <c r="H117" s="4" t="s">
        <v>759</v>
      </c>
      <c r="I117" s="4" t="s">
        <v>376</v>
      </c>
      <c r="J117" s="75">
        <f t="shared" ref="J117:J124" si="44">L117</f>
        <v>2000000000</v>
      </c>
      <c r="K117" s="4">
        <v>2025</v>
      </c>
      <c r="L117" s="56">
        <f t="shared" ref="L117:L124" si="45">ROUNDDOWN(M117*N117,0)</f>
        <v>2000000000</v>
      </c>
      <c r="M117" s="94">
        <v>2000000000</v>
      </c>
      <c r="N117" s="94">
        <f>VLOOKUP(I117,BUNGA!$C$97:$D$98,2,0)</f>
        <v>1</v>
      </c>
      <c r="O117" s="4" t="s">
        <v>579</v>
      </c>
      <c r="P117" s="102">
        <v>0</v>
      </c>
      <c r="Q117" s="12">
        <v>0</v>
      </c>
      <c r="R117" s="12">
        <v>0</v>
      </c>
      <c r="S117" s="12">
        <v>0</v>
      </c>
      <c r="T117" s="12">
        <v>0</v>
      </c>
      <c r="U117" s="25"/>
      <c r="V117" s="24"/>
    </row>
    <row r="118" spans="1:22" s="3" customFormat="1" ht="30" customHeight="1" x14ac:dyDescent="0.2">
      <c r="A118" s="4">
        <f t="shared" si="25"/>
        <v>111</v>
      </c>
      <c r="B118" s="5" t="str">
        <f>VLOOKUP(C118,$W:$X,2,0)</f>
        <v>0305</v>
      </c>
      <c r="C118" s="23" t="s">
        <v>42</v>
      </c>
      <c r="D118" s="4" t="s">
        <v>225</v>
      </c>
      <c r="E118" s="5" t="s">
        <v>758</v>
      </c>
      <c r="F118" s="23" t="s">
        <v>713</v>
      </c>
      <c r="G118" s="5" t="s">
        <v>907</v>
      </c>
      <c r="H118" s="4" t="s">
        <v>759</v>
      </c>
      <c r="I118" s="4" t="s">
        <v>376</v>
      </c>
      <c r="J118" s="75">
        <f t="shared" si="44"/>
        <v>1000000000</v>
      </c>
      <c r="K118" s="4">
        <v>2025</v>
      </c>
      <c r="L118" s="56">
        <f t="shared" si="45"/>
        <v>1000000000</v>
      </c>
      <c r="M118" s="94">
        <v>1000000000</v>
      </c>
      <c r="N118" s="94">
        <f>VLOOKUP(I118,BUNGA!$C$97:$D$98,2,0)</f>
        <v>1</v>
      </c>
      <c r="O118" s="4" t="s">
        <v>579</v>
      </c>
      <c r="P118" s="102">
        <v>0</v>
      </c>
      <c r="Q118" s="12">
        <v>0</v>
      </c>
      <c r="R118" s="12">
        <v>0</v>
      </c>
      <c r="S118" s="12">
        <v>0</v>
      </c>
      <c r="T118" s="12">
        <v>0</v>
      </c>
      <c r="U118" s="25"/>
      <c r="V118" s="24"/>
    </row>
    <row r="119" spans="1:22" s="3" customFormat="1" ht="30" customHeight="1" x14ac:dyDescent="0.2">
      <c r="A119" s="4">
        <f t="shared" si="25"/>
        <v>112</v>
      </c>
      <c r="B119" s="5" t="str">
        <f>VLOOKUP(C119,$W:$X,2,0)</f>
        <v>0305</v>
      </c>
      <c r="C119" s="23" t="s">
        <v>42</v>
      </c>
      <c r="D119" s="4" t="s">
        <v>225</v>
      </c>
      <c r="E119" s="5" t="s">
        <v>758</v>
      </c>
      <c r="F119" s="23" t="s">
        <v>713</v>
      </c>
      <c r="G119" s="5" t="s">
        <v>908</v>
      </c>
      <c r="H119" s="4" t="s">
        <v>759</v>
      </c>
      <c r="I119" s="4" t="s">
        <v>376</v>
      </c>
      <c r="J119" s="75">
        <f t="shared" si="44"/>
        <v>4000000000</v>
      </c>
      <c r="K119" s="4">
        <v>2025</v>
      </c>
      <c r="L119" s="56">
        <f t="shared" si="45"/>
        <v>4000000000</v>
      </c>
      <c r="M119" s="94">
        <v>4000000000</v>
      </c>
      <c r="N119" s="94">
        <f>VLOOKUP(I119,BUNGA!$C$97:$D$98,2,0)</f>
        <v>1</v>
      </c>
      <c r="O119" s="4" t="s">
        <v>579</v>
      </c>
      <c r="P119" s="102">
        <v>0</v>
      </c>
      <c r="Q119" s="12">
        <v>0</v>
      </c>
      <c r="R119" s="12">
        <v>0</v>
      </c>
      <c r="S119" s="12">
        <v>0</v>
      </c>
      <c r="T119" s="12">
        <v>0</v>
      </c>
      <c r="U119" s="25"/>
      <c r="V119" s="24"/>
    </row>
    <row r="120" spans="1:22" s="3" customFormat="1" ht="30" customHeight="1" x14ac:dyDescent="0.2">
      <c r="A120" s="4">
        <f t="shared" si="25"/>
        <v>113</v>
      </c>
      <c r="B120" s="5" t="str">
        <f>VLOOKUP(C120,$W:$X,2,0)</f>
        <v>0305</v>
      </c>
      <c r="C120" s="23" t="s">
        <v>42</v>
      </c>
      <c r="D120" s="4" t="s">
        <v>225</v>
      </c>
      <c r="E120" s="5" t="s">
        <v>758</v>
      </c>
      <c r="F120" s="23" t="s">
        <v>713</v>
      </c>
      <c r="G120" s="5" t="s">
        <v>883</v>
      </c>
      <c r="H120" s="4" t="s">
        <v>759</v>
      </c>
      <c r="I120" s="4" t="s">
        <v>376</v>
      </c>
      <c r="J120" s="75">
        <f t="shared" si="44"/>
        <v>900000000</v>
      </c>
      <c r="K120" s="4">
        <v>2025</v>
      </c>
      <c r="L120" s="56">
        <f t="shared" si="45"/>
        <v>900000000</v>
      </c>
      <c r="M120" s="94">
        <v>900000000</v>
      </c>
      <c r="N120" s="94">
        <f>VLOOKUP(I120,BUNGA!$C$97:$D$98,2,0)</f>
        <v>1</v>
      </c>
      <c r="O120" s="4" t="s">
        <v>579</v>
      </c>
      <c r="P120" s="102">
        <v>0</v>
      </c>
      <c r="Q120" s="12">
        <v>0</v>
      </c>
      <c r="R120" s="12">
        <v>0</v>
      </c>
      <c r="S120" s="12">
        <v>0</v>
      </c>
      <c r="T120" s="12">
        <v>0</v>
      </c>
      <c r="U120" s="25"/>
      <c r="V120" s="24"/>
    </row>
    <row r="121" spans="1:22" s="3" customFormat="1" ht="30" customHeight="1" x14ac:dyDescent="0.2">
      <c r="A121" s="4">
        <f t="shared" si="25"/>
        <v>114</v>
      </c>
      <c r="B121" s="5" t="str">
        <f>VLOOKUP(C121,$W:$X,2,0)</f>
        <v>0305</v>
      </c>
      <c r="C121" s="23" t="s">
        <v>42</v>
      </c>
      <c r="D121" s="4" t="s">
        <v>225</v>
      </c>
      <c r="E121" s="5" t="s">
        <v>758</v>
      </c>
      <c r="F121" s="23" t="s">
        <v>713</v>
      </c>
      <c r="G121" s="5" t="s">
        <v>909</v>
      </c>
      <c r="H121" s="4" t="s">
        <v>759</v>
      </c>
      <c r="I121" s="4" t="s">
        <v>376</v>
      </c>
      <c r="J121" s="75">
        <f t="shared" si="44"/>
        <v>1200000000</v>
      </c>
      <c r="K121" s="4">
        <v>2025</v>
      </c>
      <c r="L121" s="56">
        <f t="shared" si="45"/>
        <v>1200000000</v>
      </c>
      <c r="M121" s="94">
        <v>1200000000</v>
      </c>
      <c r="N121" s="94">
        <f>VLOOKUP(I121,BUNGA!$C$97:$D$98,2,0)</f>
        <v>1</v>
      </c>
      <c r="O121" s="4" t="s">
        <v>579</v>
      </c>
      <c r="P121" s="102">
        <v>0</v>
      </c>
      <c r="Q121" s="12">
        <v>0</v>
      </c>
      <c r="R121" s="12">
        <v>0</v>
      </c>
      <c r="S121" s="12">
        <v>0</v>
      </c>
      <c r="T121" s="12">
        <v>0</v>
      </c>
      <c r="U121" s="25"/>
      <c r="V121" s="24"/>
    </row>
    <row r="122" spans="1:22" s="3" customFormat="1" ht="30" customHeight="1" x14ac:dyDescent="0.2">
      <c r="A122" s="4">
        <f t="shared" si="25"/>
        <v>115</v>
      </c>
      <c r="B122" s="5" t="str">
        <f>VLOOKUP(C122,$W:$X,2,0)</f>
        <v>0305</v>
      </c>
      <c r="C122" s="23" t="s">
        <v>42</v>
      </c>
      <c r="D122" s="4" t="s">
        <v>225</v>
      </c>
      <c r="E122" s="5" t="s">
        <v>758</v>
      </c>
      <c r="F122" s="23" t="s">
        <v>713</v>
      </c>
      <c r="G122" s="5" t="s">
        <v>910</v>
      </c>
      <c r="H122" s="4" t="s">
        <v>759</v>
      </c>
      <c r="I122" s="4" t="s">
        <v>375</v>
      </c>
      <c r="J122" s="75">
        <f t="shared" si="44"/>
        <v>1122012206</v>
      </c>
      <c r="K122" s="4">
        <v>2025</v>
      </c>
      <c r="L122" s="56">
        <f t="shared" si="45"/>
        <v>1122012206</v>
      </c>
      <c r="M122" s="94">
        <v>66878</v>
      </c>
      <c r="N122" s="94">
        <f>VLOOKUP(I122,BUNGA!$C$97:$D$98,2,0)</f>
        <v>16777</v>
      </c>
      <c r="O122" s="4" t="s">
        <v>579</v>
      </c>
      <c r="P122" s="102">
        <v>0</v>
      </c>
      <c r="Q122" s="12">
        <v>0</v>
      </c>
      <c r="R122" s="12">
        <v>0</v>
      </c>
      <c r="S122" s="12">
        <v>0</v>
      </c>
      <c r="T122" s="12">
        <v>0</v>
      </c>
      <c r="U122" s="25"/>
      <c r="V122" s="24"/>
    </row>
    <row r="123" spans="1:22" s="3" customFormat="1" ht="30" customHeight="1" x14ac:dyDescent="0.2">
      <c r="A123" s="4">
        <f t="shared" si="25"/>
        <v>116</v>
      </c>
      <c r="B123" s="5" t="str">
        <f>VLOOKUP(C123,$W:$X,2,0)</f>
        <v>0305</v>
      </c>
      <c r="C123" s="23" t="s">
        <v>42</v>
      </c>
      <c r="D123" s="4" t="s">
        <v>225</v>
      </c>
      <c r="E123" s="5" t="s">
        <v>758</v>
      </c>
      <c r="F123" s="23" t="s">
        <v>713</v>
      </c>
      <c r="G123" s="5" t="s">
        <v>911</v>
      </c>
      <c r="H123" s="4" t="s">
        <v>759</v>
      </c>
      <c r="I123" s="4" t="s">
        <v>375</v>
      </c>
      <c r="J123" s="75">
        <f t="shared" si="44"/>
        <v>2368912400</v>
      </c>
      <c r="K123" s="4">
        <v>2025</v>
      </c>
      <c r="L123" s="56">
        <f t="shared" si="45"/>
        <v>2368912400</v>
      </c>
      <c r="M123" s="94">
        <v>141200</v>
      </c>
      <c r="N123" s="94">
        <f>VLOOKUP(I123,BUNGA!$C$97:$D$98,2,0)</f>
        <v>16777</v>
      </c>
      <c r="O123" s="4" t="s">
        <v>579</v>
      </c>
      <c r="P123" s="102">
        <v>0</v>
      </c>
      <c r="Q123" s="12">
        <v>0</v>
      </c>
      <c r="R123" s="12">
        <v>0</v>
      </c>
      <c r="S123" s="12">
        <v>0</v>
      </c>
      <c r="T123" s="12">
        <v>0</v>
      </c>
      <c r="U123" s="25"/>
      <c r="V123" s="24"/>
    </row>
    <row r="124" spans="1:22" s="3" customFormat="1" ht="30" customHeight="1" x14ac:dyDescent="0.2">
      <c r="A124" s="4">
        <f t="shared" si="25"/>
        <v>117</v>
      </c>
      <c r="B124" s="5" t="str">
        <f>VLOOKUP(C124,$W:$X,2,0)</f>
        <v>0305</v>
      </c>
      <c r="C124" s="23" t="s">
        <v>42</v>
      </c>
      <c r="D124" s="4" t="s">
        <v>225</v>
      </c>
      <c r="E124" s="5" t="s">
        <v>758</v>
      </c>
      <c r="F124" s="23" t="s">
        <v>713</v>
      </c>
      <c r="G124" s="5" t="s">
        <v>912</v>
      </c>
      <c r="H124" s="4" t="s">
        <v>759</v>
      </c>
      <c r="I124" s="4" t="s">
        <v>375</v>
      </c>
      <c r="J124" s="75">
        <f t="shared" si="44"/>
        <v>2522421950</v>
      </c>
      <c r="K124" s="4">
        <v>2025</v>
      </c>
      <c r="L124" s="56">
        <f t="shared" si="45"/>
        <v>2522421950</v>
      </c>
      <c r="M124" s="94">
        <v>150350</v>
      </c>
      <c r="N124" s="94">
        <f>VLOOKUP(I124,BUNGA!$C$97:$D$98,2,0)</f>
        <v>16777</v>
      </c>
      <c r="O124" s="4" t="s">
        <v>579</v>
      </c>
      <c r="P124" s="102">
        <v>0</v>
      </c>
      <c r="Q124" s="12">
        <v>0</v>
      </c>
      <c r="R124" s="12">
        <v>0</v>
      </c>
      <c r="S124" s="12">
        <v>0</v>
      </c>
      <c r="T124" s="12">
        <v>0</v>
      </c>
      <c r="U124" s="25"/>
      <c r="V124" s="24"/>
    </row>
    <row r="125" spans="1:22" s="3" customFormat="1" ht="30" customHeight="1" x14ac:dyDescent="0.2">
      <c r="A125" s="4">
        <f t="shared" si="25"/>
        <v>118</v>
      </c>
      <c r="B125" s="5" t="str">
        <f>VLOOKUP(C125,$W:$X,2,0)</f>
        <v>0305</v>
      </c>
      <c r="C125" s="23" t="s">
        <v>42</v>
      </c>
      <c r="D125" s="4" t="s">
        <v>225</v>
      </c>
      <c r="E125" s="5" t="s">
        <v>785</v>
      </c>
      <c r="F125" s="23" t="s">
        <v>380</v>
      </c>
      <c r="G125" s="5" t="s">
        <v>852</v>
      </c>
      <c r="H125" s="4" t="s">
        <v>786</v>
      </c>
      <c r="I125" s="4" t="s">
        <v>376</v>
      </c>
      <c r="J125" s="75">
        <f t="shared" ref="J125:J128" si="46">L125</f>
        <v>1000000000</v>
      </c>
      <c r="K125" s="4">
        <v>2025</v>
      </c>
      <c r="L125" s="56">
        <f t="shared" ref="L125:L128" si="47">ROUNDDOWN(M125*N125,0)</f>
        <v>1000000000</v>
      </c>
      <c r="M125" s="94">
        <v>1000000000</v>
      </c>
      <c r="N125" s="94">
        <f>VLOOKUP(I125,BUNGA!$C$97:$D$98,2,0)</f>
        <v>1</v>
      </c>
      <c r="O125" s="4" t="s">
        <v>578</v>
      </c>
      <c r="P125" s="102">
        <v>1000000000</v>
      </c>
      <c r="Q125" s="12">
        <v>1000000000</v>
      </c>
      <c r="R125" s="12">
        <v>1000000000</v>
      </c>
      <c r="S125" s="12">
        <v>1000000000</v>
      </c>
      <c r="T125" s="12">
        <v>1000000000</v>
      </c>
      <c r="U125" s="25"/>
      <c r="V125" s="24"/>
    </row>
    <row r="126" spans="1:22" s="3" customFormat="1" ht="30" customHeight="1" x14ac:dyDescent="0.2">
      <c r="A126" s="4">
        <f t="shared" si="25"/>
        <v>119</v>
      </c>
      <c r="B126" s="5" t="str">
        <f>VLOOKUP(C126,$W:$X,2,0)</f>
        <v>0305</v>
      </c>
      <c r="C126" s="23" t="s">
        <v>42</v>
      </c>
      <c r="D126" s="4" t="s">
        <v>225</v>
      </c>
      <c r="E126" s="5" t="s">
        <v>785</v>
      </c>
      <c r="F126" s="23" t="s">
        <v>380</v>
      </c>
      <c r="G126" s="5" t="s">
        <v>852</v>
      </c>
      <c r="H126" s="4" t="s">
        <v>786</v>
      </c>
      <c r="I126" s="4" t="s">
        <v>376</v>
      </c>
      <c r="J126" s="75">
        <f t="shared" si="46"/>
        <v>1406117000</v>
      </c>
      <c r="K126" s="4">
        <v>2025</v>
      </c>
      <c r="L126" s="56">
        <f t="shared" si="47"/>
        <v>1406117000</v>
      </c>
      <c r="M126" s="94">
        <v>1406117000</v>
      </c>
      <c r="N126" s="94">
        <f>VLOOKUP(I126,BUNGA!$C$97:$D$98,2,0)</f>
        <v>1</v>
      </c>
      <c r="O126" s="4" t="s">
        <v>579</v>
      </c>
      <c r="P126" s="102">
        <v>2100000000</v>
      </c>
      <c r="Q126" s="12">
        <v>2100000000</v>
      </c>
      <c r="R126" s="12">
        <v>2100000000</v>
      </c>
      <c r="S126" s="12">
        <v>2100000000</v>
      </c>
      <c r="T126" s="12">
        <v>2100000000</v>
      </c>
      <c r="U126" s="25"/>
      <c r="V126" s="24"/>
    </row>
    <row r="127" spans="1:22" s="3" customFormat="1" ht="30" customHeight="1" x14ac:dyDescent="0.2">
      <c r="A127" s="4">
        <f t="shared" si="25"/>
        <v>120</v>
      </c>
      <c r="B127" s="5" t="str">
        <f>VLOOKUP(C127,$W:$X,2,0)</f>
        <v>0305</v>
      </c>
      <c r="C127" s="23" t="s">
        <v>42</v>
      </c>
      <c r="D127" s="4" t="s">
        <v>225</v>
      </c>
      <c r="E127" s="5" t="s">
        <v>785</v>
      </c>
      <c r="F127" s="23" t="s">
        <v>380</v>
      </c>
      <c r="G127" s="5" t="s">
        <v>838</v>
      </c>
      <c r="H127" s="4" t="s">
        <v>786</v>
      </c>
      <c r="I127" s="4" t="s">
        <v>375</v>
      </c>
      <c r="J127" s="75">
        <f t="shared" si="46"/>
        <v>8762476107</v>
      </c>
      <c r="K127" s="4">
        <v>2025</v>
      </c>
      <c r="L127" s="56">
        <f t="shared" si="47"/>
        <v>8762476107</v>
      </c>
      <c r="M127" s="94">
        <v>522291</v>
      </c>
      <c r="N127" s="94">
        <f>VLOOKUP(I127,BUNGA!$C$97:$D$98,2,0)</f>
        <v>16777</v>
      </c>
      <c r="O127" s="4" t="s">
        <v>578</v>
      </c>
      <c r="P127" s="102">
        <v>8494924905</v>
      </c>
      <c r="Q127" s="12">
        <v>8958100000</v>
      </c>
      <c r="R127" s="12">
        <v>7636230000</v>
      </c>
      <c r="S127" s="12">
        <v>4431140000</v>
      </c>
      <c r="T127" s="12">
        <v>4410680000</v>
      </c>
      <c r="U127" s="25"/>
      <c r="V127" s="24"/>
    </row>
    <row r="128" spans="1:22" s="3" customFormat="1" ht="30" customHeight="1" x14ac:dyDescent="0.2">
      <c r="A128" s="4">
        <f t="shared" si="25"/>
        <v>121</v>
      </c>
      <c r="B128" s="5" t="str">
        <f>VLOOKUP(C128,$W:$X,2,0)</f>
        <v>0305</v>
      </c>
      <c r="C128" s="23" t="s">
        <v>42</v>
      </c>
      <c r="D128" s="4" t="s">
        <v>225</v>
      </c>
      <c r="E128" s="5" t="s">
        <v>785</v>
      </c>
      <c r="F128" s="23" t="s">
        <v>380</v>
      </c>
      <c r="G128" s="5" t="s">
        <v>839</v>
      </c>
      <c r="H128" s="4" t="s">
        <v>786</v>
      </c>
      <c r="I128" s="4" t="s">
        <v>375</v>
      </c>
      <c r="J128" s="75">
        <f t="shared" si="46"/>
        <v>3105808571</v>
      </c>
      <c r="K128" s="4">
        <v>2025</v>
      </c>
      <c r="L128" s="56">
        <f t="shared" si="47"/>
        <v>3105808571</v>
      </c>
      <c r="M128" s="94">
        <v>185123</v>
      </c>
      <c r="N128" s="94">
        <f>VLOOKUP(I128,BUNGA!$C$97:$D$98,2,0)</f>
        <v>16777</v>
      </c>
      <c r="O128" s="4" t="s">
        <v>579</v>
      </c>
      <c r="P128" s="102">
        <v>4023750000</v>
      </c>
      <c r="Q128" s="12">
        <v>3875000000</v>
      </c>
      <c r="R128" s="12">
        <v>3875000000</v>
      </c>
      <c r="S128" s="12">
        <v>3573500000</v>
      </c>
      <c r="T128" s="12">
        <v>3557000000</v>
      </c>
      <c r="U128" s="25"/>
      <c r="V128" s="24"/>
    </row>
    <row r="129" spans="1:22" s="3" customFormat="1" ht="30" customHeight="1" x14ac:dyDescent="0.2">
      <c r="A129" s="4">
        <f t="shared" si="25"/>
        <v>122</v>
      </c>
      <c r="B129" s="5" t="str">
        <f>VLOOKUP(C129,$W:$X,2,0)</f>
        <v>0305</v>
      </c>
      <c r="C129" s="23" t="s">
        <v>42</v>
      </c>
      <c r="D129" s="4" t="s">
        <v>225</v>
      </c>
      <c r="E129" s="5" t="s">
        <v>785</v>
      </c>
      <c r="F129" s="23" t="s">
        <v>380</v>
      </c>
      <c r="G129" s="5" t="s">
        <v>914</v>
      </c>
      <c r="H129" s="4" t="s">
        <v>786</v>
      </c>
      <c r="I129" s="4" t="s">
        <v>375</v>
      </c>
      <c r="J129" s="75">
        <f t="shared" ref="J129" si="48">L129</f>
        <v>997627528</v>
      </c>
      <c r="K129" s="4">
        <v>2025</v>
      </c>
      <c r="L129" s="56">
        <f t="shared" ref="L129" si="49">ROUNDDOWN(M129*N129,0)</f>
        <v>997627528</v>
      </c>
      <c r="M129" s="94">
        <v>59464</v>
      </c>
      <c r="N129" s="94">
        <f>VLOOKUP(I129,BUNGA!$C$97:$D$98,2,0)</f>
        <v>16777</v>
      </c>
      <c r="O129" s="4" t="s">
        <v>578</v>
      </c>
      <c r="P129" s="102">
        <v>965700000</v>
      </c>
      <c r="Q129" s="12">
        <v>0</v>
      </c>
      <c r="R129" s="12">
        <v>0</v>
      </c>
      <c r="S129" s="12">
        <v>0</v>
      </c>
      <c r="T129" s="12">
        <v>0</v>
      </c>
      <c r="U129" s="25"/>
      <c r="V129" s="24"/>
    </row>
    <row r="130" spans="1:22" s="3" customFormat="1" ht="30" customHeight="1" x14ac:dyDescent="0.2">
      <c r="A130" s="4">
        <f t="shared" si="25"/>
        <v>123</v>
      </c>
      <c r="B130" s="5" t="str">
        <f>VLOOKUP(C130,$W:$X,2,0)</f>
        <v>0307</v>
      </c>
      <c r="C130" s="23" t="s">
        <v>188</v>
      </c>
      <c r="D130" s="4" t="s">
        <v>225</v>
      </c>
      <c r="E130" s="5" t="s">
        <v>785</v>
      </c>
      <c r="F130" s="23" t="s">
        <v>380</v>
      </c>
      <c r="G130" s="5" t="s">
        <v>915</v>
      </c>
      <c r="H130" s="4" t="s">
        <v>786</v>
      </c>
      <c r="I130" s="4" t="s">
        <v>376</v>
      </c>
      <c r="J130" s="75">
        <f t="shared" ref="J130:J133" si="50">L130</f>
        <v>982814691</v>
      </c>
      <c r="K130" s="4">
        <v>2025</v>
      </c>
      <c r="L130" s="56">
        <f t="shared" ref="L130:L134" si="51">ROUNDDOWN(M130*N130,0)</f>
        <v>982814691</v>
      </c>
      <c r="M130" s="94">
        <v>982814691</v>
      </c>
      <c r="N130" s="94">
        <f>VLOOKUP(I130,BUNGA!$C$97:$D$98,2,0)</f>
        <v>1</v>
      </c>
      <c r="O130" s="4" t="s">
        <v>578</v>
      </c>
      <c r="P130" s="102">
        <v>0</v>
      </c>
      <c r="Q130" s="12">
        <v>0</v>
      </c>
      <c r="R130" s="12">
        <v>0</v>
      </c>
      <c r="S130" s="12">
        <v>0</v>
      </c>
      <c r="T130" s="12">
        <v>0</v>
      </c>
      <c r="U130" s="25"/>
      <c r="V130" s="24"/>
    </row>
    <row r="131" spans="1:22" s="3" customFormat="1" ht="30" customHeight="1" x14ac:dyDescent="0.2">
      <c r="A131" s="4">
        <f t="shared" si="25"/>
        <v>124</v>
      </c>
      <c r="B131" s="5" t="str">
        <f>VLOOKUP(C131,$W:$X,2,0)</f>
        <v>0305</v>
      </c>
      <c r="C131" s="23" t="s">
        <v>42</v>
      </c>
      <c r="D131" s="4" t="s">
        <v>225</v>
      </c>
      <c r="E131" s="5" t="s">
        <v>785</v>
      </c>
      <c r="F131" s="23" t="s">
        <v>380</v>
      </c>
      <c r="G131" s="5" t="s">
        <v>916</v>
      </c>
      <c r="H131" s="4" t="s">
        <v>786</v>
      </c>
      <c r="I131" s="4" t="s">
        <v>375</v>
      </c>
      <c r="J131" s="75">
        <f t="shared" si="50"/>
        <v>1027188602</v>
      </c>
      <c r="K131" s="4">
        <v>2025</v>
      </c>
      <c r="L131" s="56">
        <f t="shared" si="51"/>
        <v>1027188602</v>
      </c>
      <c r="M131" s="94">
        <v>61226</v>
      </c>
      <c r="N131" s="94">
        <f>VLOOKUP(I131,BUNGA!$C$97:$D$98,2,0)</f>
        <v>16777</v>
      </c>
      <c r="O131" s="4" t="s">
        <v>579</v>
      </c>
      <c r="P131" s="102">
        <v>0</v>
      </c>
      <c r="Q131" s="12">
        <v>0</v>
      </c>
      <c r="R131" s="12">
        <v>0</v>
      </c>
      <c r="S131" s="12">
        <v>0</v>
      </c>
      <c r="T131" s="12">
        <v>0</v>
      </c>
      <c r="U131" s="25"/>
      <c r="V131" s="24"/>
    </row>
    <row r="132" spans="1:22" s="3" customFormat="1" ht="30" customHeight="1" x14ac:dyDescent="0.2">
      <c r="A132" s="4">
        <f t="shared" si="25"/>
        <v>125</v>
      </c>
      <c r="B132" s="5" t="str">
        <f>VLOOKUP(C132,$W:$X,2,0)</f>
        <v>0305</v>
      </c>
      <c r="C132" s="23" t="s">
        <v>42</v>
      </c>
      <c r="D132" s="4" t="s">
        <v>225</v>
      </c>
      <c r="E132" s="5" t="s">
        <v>785</v>
      </c>
      <c r="F132" s="23" t="s">
        <v>380</v>
      </c>
      <c r="G132" s="5" t="s">
        <v>872</v>
      </c>
      <c r="H132" s="4" t="s">
        <v>786</v>
      </c>
      <c r="I132" s="4" t="s">
        <v>375</v>
      </c>
      <c r="J132" s="75">
        <f t="shared" si="50"/>
        <v>1778160676</v>
      </c>
      <c r="K132" s="4">
        <v>2025</v>
      </c>
      <c r="L132" s="56">
        <f t="shared" si="51"/>
        <v>1778160676</v>
      </c>
      <c r="M132" s="94">
        <v>105988</v>
      </c>
      <c r="N132" s="94">
        <f>VLOOKUP(I132,BUNGA!$C$97:$D$98,2,0)</f>
        <v>16777</v>
      </c>
      <c r="O132" s="4" t="s">
        <v>579</v>
      </c>
      <c r="P132" s="102">
        <v>0</v>
      </c>
      <c r="Q132" s="12">
        <v>0</v>
      </c>
      <c r="R132" s="12">
        <v>0</v>
      </c>
      <c r="S132" s="12">
        <v>0</v>
      </c>
      <c r="T132" s="12">
        <v>0</v>
      </c>
      <c r="U132" s="25"/>
      <c r="V132" s="24"/>
    </row>
    <row r="133" spans="1:22" s="3" customFormat="1" ht="30" customHeight="1" x14ac:dyDescent="0.2">
      <c r="A133" s="4">
        <f t="shared" si="25"/>
        <v>126</v>
      </c>
      <c r="B133" s="5" t="str">
        <f>VLOOKUP(C133,$W:$X,2,0)</f>
        <v>0307</v>
      </c>
      <c r="C133" s="23" t="s">
        <v>188</v>
      </c>
      <c r="D133" s="4" t="s">
        <v>225</v>
      </c>
      <c r="E133" s="5" t="s">
        <v>785</v>
      </c>
      <c r="F133" s="23" t="s">
        <v>380</v>
      </c>
      <c r="G133" s="5" t="s">
        <v>917</v>
      </c>
      <c r="H133" s="4" t="s">
        <v>786</v>
      </c>
      <c r="I133" s="4" t="s">
        <v>376</v>
      </c>
      <c r="J133" s="75">
        <f t="shared" si="50"/>
        <v>2017035138</v>
      </c>
      <c r="K133" s="4">
        <v>2025</v>
      </c>
      <c r="L133" s="56">
        <f t="shared" si="51"/>
        <v>2017035138</v>
      </c>
      <c r="M133" s="94">
        <v>2017035138</v>
      </c>
      <c r="N133" s="94">
        <f>VLOOKUP(I133,BUNGA!$C$97:$D$98,2,0)</f>
        <v>1</v>
      </c>
      <c r="O133" s="4" t="s">
        <v>579</v>
      </c>
      <c r="P133" s="102">
        <v>0</v>
      </c>
      <c r="Q133" s="12">
        <v>0</v>
      </c>
      <c r="R133" s="12">
        <v>0</v>
      </c>
      <c r="S133" s="12">
        <v>0</v>
      </c>
      <c r="T133" s="12">
        <v>0</v>
      </c>
      <c r="U133" s="25"/>
      <c r="V133" s="24"/>
    </row>
    <row r="134" spans="1:22" s="3" customFormat="1" ht="30" customHeight="1" x14ac:dyDescent="0.2">
      <c r="A134" s="4">
        <f t="shared" si="25"/>
        <v>127</v>
      </c>
      <c r="B134" s="5" t="str">
        <f>VLOOKUP(C134,$W:$X,2,0)</f>
        <v>0307</v>
      </c>
      <c r="C134" s="23" t="s">
        <v>188</v>
      </c>
      <c r="D134" s="4" t="s">
        <v>225</v>
      </c>
      <c r="E134" s="5" t="s">
        <v>30</v>
      </c>
      <c r="F134" s="23" t="s">
        <v>924</v>
      </c>
      <c r="G134" s="5" t="s">
        <v>913</v>
      </c>
      <c r="H134" s="4" t="s">
        <v>923</v>
      </c>
      <c r="I134" s="4" t="s">
        <v>375</v>
      </c>
      <c r="J134" s="75">
        <v>2316750000</v>
      </c>
      <c r="K134" s="4">
        <v>2025</v>
      </c>
      <c r="L134" s="56">
        <f t="shared" si="51"/>
        <v>2516550000</v>
      </c>
      <c r="M134" s="94">
        <v>150000</v>
      </c>
      <c r="N134" s="94">
        <f>VLOOKUP(I134,BUNGA!$C$97:$D$98,2,0)</f>
        <v>16777</v>
      </c>
      <c r="O134" s="4" t="s">
        <v>579</v>
      </c>
      <c r="P134" s="102">
        <v>2316750000</v>
      </c>
      <c r="Q134" s="12">
        <v>2316750000</v>
      </c>
      <c r="R134" s="12">
        <v>2325000000</v>
      </c>
      <c r="S134" s="12">
        <v>2144100000</v>
      </c>
      <c r="T134" s="12">
        <v>2134200000</v>
      </c>
      <c r="U134" s="25"/>
      <c r="V134" s="24"/>
    </row>
    <row r="135" spans="1:22" s="3" customFormat="1" ht="30" customHeight="1" x14ac:dyDescent="0.2">
      <c r="A135" s="4">
        <f t="shared" si="25"/>
        <v>128</v>
      </c>
      <c r="B135" s="5" t="str">
        <f>VLOOKUP(C135,$W:$X,2,0)</f>
        <v>0302</v>
      </c>
      <c r="C135" s="23" t="s">
        <v>37</v>
      </c>
      <c r="D135" s="4" t="s">
        <v>225</v>
      </c>
      <c r="E135" s="5" t="s">
        <v>30</v>
      </c>
      <c r="F135" s="23" t="s">
        <v>819</v>
      </c>
      <c r="G135" s="5" t="s">
        <v>819</v>
      </c>
      <c r="H135" s="4" t="s">
        <v>30</v>
      </c>
      <c r="I135" s="4" t="s">
        <v>376</v>
      </c>
      <c r="J135" s="75">
        <f t="shared" ref="J135:J138" si="52">L135</f>
        <v>40000000</v>
      </c>
      <c r="K135" s="4">
        <v>2016</v>
      </c>
      <c r="L135" s="56">
        <f t="shared" ref="L135:L138" si="53">ROUNDDOWN(M135*N135,0)</f>
        <v>40000000</v>
      </c>
      <c r="M135" s="94">
        <v>40000000</v>
      </c>
      <c r="N135" s="94">
        <f>VLOOKUP(I135,BUNGA!$C$97:$D$98,2,0)</f>
        <v>1</v>
      </c>
      <c r="O135" s="4" t="s">
        <v>578</v>
      </c>
      <c r="P135" s="102">
        <v>40000000</v>
      </c>
      <c r="Q135" s="12">
        <v>40000000</v>
      </c>
      <c r="R135" s="12">
        <v>40000000</v>
      </c>
      <c r="S135" s="12">
        <v>40000000</v>
      </c>
      <c r="T135" s="12">
        <v>40000000</v>
      </c>
      <c r="U135" s="25"/>
      <c r="V135" s="24"/>
    </row>
    <row r="136" spans="1:22" s="3" customFormat="1" ht="30" customHeight="1" x14ac:dyDescent="0.2">
      <c r="A136" s="4">
        <f t="shared" si="25"/>
        <v>129</v>
      </c>
      <c r="B136" s="5" t="str">
        <f>VLOOKUP(C136,$W:$X,2,0)</f>
        <v>0302</v>
      </c>
      <c r="C136" s="23" t="s">
        <v>37</v>
      </c>
      <c r="D136" s="4" t="s">
        <v>225</v>
      </c>
      <c r="E136" s="5" t="s">
        <v>946</v>
      </c>
      <c r="F136" s="23" t="s">
        <v>820</v>
      </c>
      <c r="G136" s="5" t="s">
        <v>1084</v>
      </c>
      <c r="H136" s="4" t="s">
        <v>30</v>
      </c>
      <c r="I136" s="4" t="s">
        <v>376</v>
      </c>
      <c r="J136" s="75">
        <f t="shared" si="52"/>
        <v>1680000000</v>
      </c>
      <c r="K136" s="4">
        <v>2014</v>
      </c>
      <c r="L136" s="56">
        <f t="shared" si="53"/>
        <v>1680000000</v>
      </c>
      <c r="M136" s="94">
        <v>1680000000</v>
      </c>
      <c r="N136" s="94">
        <f>VLOOKUP(I136,BUNGA!$C$97:$D$98,2,0)</f>
        <v>1</v>
      </c>
      <c r="O136" s="4" t="s">
        <v>578</v>
      </c>
      <c r="P136" s="102">
        <v>1680000000</v>
      </c>
      <c r="Q136" s="12">
        <v>1680000000</v>
      </c>
      <c r="R136" s="12">
        <v>1680000000</v>
      </c>
      <c r="S136" s="12">
        <v>1680000000</v>
      </c>
      <c r="T136" s="12">
        <v>1680000000</v>
      </c>
      <c r="U136" s="25"/>
      <c r="V136" s="24"/>
    </row>
    <row r="137" spans="1:22" s="3" customFormat="1" ht="30" customHeight="1" x14ac:dyDescent="0.2">
      <c r="A137" s="4">
        <f t="shared" si="25"/>
        <v>130</v>
      </c>
      <c r="B137" s="5" t="str">
        <f>VLOOKUP(C137,$W:$X,2,0)</f>
        <v>0302</v>
      </c>
      <c r="C137" s="23" t="s">
        <v>37</v>
      </c>
      <c r="D137" s="4" t="s">
        <v>225</v>
      </c>
      <c r="E137" s="5" t="s">
        <v>30</v>
      </c>
      <c r="F137" s="23" t="s">
        <v>821</v>
      </c>
      <c r="G137" s="5" t="s">
        <v>821</v>
      </c>
      <c r="H137" s="4" t="s">
        <v>30</v>
      </c>
      <c r="I137" s="4" t="s">
        <v>376</v>
      </c>
      <c r="J137" s="75">
        <f t="shared" si="52"/>
        <v>250000000</v>
      </c>
      <c r="K137" s="4">
        <v>2014</v>
      </c>
      <c r="L137" s="56">
        <f t="shared" si="53"/>
        <v>250000000</v>
      </c>
      <c r="M137" s="94">
        <v>250000000</v>
      </c>
      <c r="N137" s="94">
        <f>VLOOKUP(I137,BUNGA!$C$97:$D$98,2,0)</f>
        <v>1</v>
      </c>
      <c r="O137" s="4" t="s">
        <v>578</v>
      </c>
      <c r="P137" s="102">
        <v>250000000</v>
      </c>
      <c r="Q137" s="12">
        <v>250000000</v>
      </c>
      <c r="R137" s="12">
        <v>250000000</v>
      </c>
      <c r="S137" s="12">
        <v>250000000</v>
      </c>
      <c r="T137" s="12">
        <v>250000000</v>
      </c>
      <c r="U137" s="25"/>
      <c r="V137" s="24"/>
    </row>
    <row r="138" spans="1:22" s="3" customFormat="1" ht="30" customHeight="1" x14ac:dyDescent="0.2">
      <c r="A138" s="4">
        <f t="shared" ref="A138:A201" si="54">A137+1</f>
        <v>131</v>
      </c>
      <c r="B138" s="5" t="str">
        <f>VLOOKUP(C138,$W:$X,2,0)</f>
        <v>0302</v>
      </c>
      <c r="C138" s="23" t="s">
        <v>37</v>
      </c>
      <c r="D138" s="4" t="s">
        <v>225</v>
      </c>
      <c r="E138" s="5" t="s">
        <v>30</v>
      </c>
      <c r="F138" s="23" t="s">
        <v>822</v>
      </c>
      <c r="G138" s="5" t="s">
        <v>822</v>
      </c>
      <c r="H138" s="4" t="s">
        <v>30</v>
      </c>
      <c r="I138" s="4" t="s">
        <v>376</v>
      </c>
      <c r="J138" s="75">
        <f t="shared" si="52"/>
        <v>236000000</v>
      </c>
      <c r="K138" s="4">
        <v>2017</v>
      </c>
      <c r="L138" s="56">
        <f t="shared" si="53"/>
        <v>236000000</v>
      </c>
      <c r="M138" s="94">
        <v>236000000</v>
      </c>
      <c r="N138" s="94">
        <f>VLOOKUP(I138,BUNGA!$C$97:$D$98,2,0)</f>
        <v>1</v>
      </c>
      <c r="O138" s="4" t="s">
        <v>578</v>
      </c>
      <c r="P138" s="102">
        <v>236000000</v>
      </c>
      <c r="Q138" s="12">
        <v>236000000</v>
      </c>
      <c r="R138" s="12">
        <v>236000000</v>
      </c>
      <c r="S138" s="12">
        <v>236000000</v>
      </c>
      <c r="T138" s="12">
        <v>236000000</v>
      </c>
      <c r="U138" s="25"/>
      <c r="V138" s="24"/>
    </row>
    <row r="139" spans="1:22" s="3" customFormat="1" ht="15" x14ac:dyDescent="0.2">
      <c r="A139" s="4">
        <f t="shared" si="25"/>
        <v>132</v>
      </c>
      <c r="B139" s="5" t="str">
        <f>VLOOKUP(C139,$W:$X,2,0)</f>
        <v>0305</v>
      </c>
      <c r="C139" s="23" t="s">
        <v>42</v>
      </c>
      <c r="D139" s="4" t="s">
        <v>225</v>
      </c>
      <c r="E139" s="5" t="s">
        <v>785</v>
      </c>
      <c r="F139" s="23" t="s">
        <v>380</v>
      </c>
      <c r="G139" s="5" t="s">
        <v>769</v>
      </c>
      <c r="H139" s="4" t="s">
        <v>786</v>
      </c>
      <c r="I139" s="4" t="s">
        <v>376</v>
      </c>
      <c r="J139" s="4" t="s">
        <v>53</v>
      </c>
      <c r="K139" s="4" t="s">
        <v>53</v>
      </c>
      <c r="L139" s="6" t="s">
        <v>53</v>
      </c>
      <c r="M139" s="6" t="s">
        <v>53</v>
      </c>
      <c r="N139" s="6" t="s">
        <v>53</v>
      </c>
      <c r="O139" s="4"/>
      <c r="P139" s="102">
        <v>1500000000</v>
      </c>
      <c r="Q139" s="12">
        <v>1500000000</v>
      </c>
      <c r="R139" s="12">
        <v>1500000000</v>
      </c>
      <c r="S139" s="12">
        <v>1500000000</v>
      </c>
      <c r="T139" s="12">
        <v>1500000000</v>
      </c>
    </row>
    <row r="140" spans="1:22" s="3" customFormat="1" ht="15" x14ac:dyDescent="0.2">
      <c r="A140" s="4">
        <f t="shared" si="54"/>
        <v>133</v>
      </c>
      <c r="B140" s="5" t="str">
        <f>VLOOKUP(C140,$W:$X,2,0)</f>
        <v>0307</v>
      </c>
      <c r="C140" s="23" t="s">
        <v>188</v>
      </c>
      <c r="D140" s="4" t="s">
        <v>225</v>
      </c>
      <c r="E140" s="5" t="s">
        <v>785</v>
      </c>
      <c r="F140" s="23" t="s">
        <v>380</v>
      </c>
      <c r="G140" s="5" t="s">
        <v>774</v>
      </c>
      <c r="H140" s="4" t="s">
        <v>786</v>
      </c>
      <c r="I140" s="4" t="s">
        <v>376</v>
      </c>
      <c r="J140" s="4" t="s">
        <v>53</v>
      </c>
      <c r="K140" s="4" t="s">
        <v>53</v>
      </c>
      <c r="L140" s="6" t="s">
        <v>53</v>
      </c>
      <c r="M140" s="6" t="s">
        <v>53</v>
      </c>
      <c r="N140" s="6" t="s">
        <v>53</v>
      </c>
      <c r="O140" s="4"/>
      <c r="P140" s="102">
        <v>549980807</v>
      </c>
      <c r="Q140" s="12">
        <v>634063462</v>
      </c>
      <c r="R140" s="12">
        <v>1227536927</v>
      </c>
      <c r="S140" s="12">
        <v>1301827718</v>
      </c>
      <c r="T140" s="12">
        <v>1301827718</v>
      </c>
    </row>
    <row r="141" spans="1:22" s="3" customFormat="1" ht="15" x14ac:dyDescent="0.2">
      <c r="A141" s="4">
        <f t="shared" si="54"/>
        <v>134</v>
      </c>
      <c r="B141" s="5" t="str">
        <f>VLOOKUP(C141,$W:$X,2,0)</f>
        <v>0307</v>
      </c>
      <c r="C141" s="23" t="s">
        <v>188</v>
      </c>
      <c r="D141" s="4" t="s">
        <v>225</v>
      </c>
      <c r="E141" s="5" t="s">
        <v>785</v>
      </c>
      <c r="F141" s="23" t="s">
        <v>380</v>
      </c>
      <c r="G141" s="5" t="s">
        <v>775</v>
      </c>
      <c r="H141" s="4" t="s">
        <v>786</v>
      </c>
      <c r="I141" s="4" t="s">
        <v>376</v>
      </c>
      <c r="J141" s="4" t="s">
        <v>53</v>
      </c>
      <c r="K141" s="4" t="s">
        <v>53</v>
      </c>
      <c r="L141" s="6" t="s">
        <v>53</v>
      </c>
      <c r="M141" s="6" t="s">
        <v>53</v>
      </c>
      <c r="N141" s="6" t="s">
        <v>53</v>
      </c>
      <c r="O141" s="4"/>
      <c r="P141" s="102">
        <v>1411453237</v>
      </c>
      <c r="Q141" s="12">
        <v>1411453237</v>
      </c>
      <c r="R141" s="12">
        <v>1524708144</v>
      </c>
      <c r="S141" s="12">
        <v>1422201565</v>
      </c>
      <c r="T141" s="12">
        <v>1422201565</v>
      </c>
    </row>
    <row r="142" spans="1:22" s="3" customFormat="1" ht="15" x14ac:dyDescent="0.2">
      <c r="A142" s="4">
        <f t="shared" si="54"/>
        <v>135</v>
      </c>
      <c r="B142" s="5" t="str">
        <f>VLOOKUP(C142,$W:$X,2,0)</f>
        <v>0307</v>
      </c>
      <c r="C142" s="23" t="s">
        <v>188</v>
      </c>
      <c r="D142" s="4" t="s">
        <v>225</v>
      </c>
      <c r="E142" s="5" t="s">
        <v>785</v>
      </c>
      <c r="F142" s="23" t="s">
        <v>380</v>
      </c>
      <c r="G142" s="5" t="s">
        <v>782</v>
      </c>
      <c r="H142" s="4" t="s">
        <v>786</v>
      </c>
      <c r="I142" s="4" t="s">
        <v>375</v>
      </c>
      <c r="J142" s="4" t="s">
        <v>53</v>
      </c>
      <c r="K142" s="4" t="s">
        <v>53</v>
      </c>
      <c r="L142" s="6" t="s">
        <v>53</v>
      </c>
      <c r="M142" s="6" t="s">
        <v>53</v>
      </c>
      <c r="N142" s="6" t="s">
        <v>53</v>
      </c>
      <c r="O142" s="4"/>
      <c r="P142" s="102">
        <v>226586251</v>
      </c>
      <c r="Q142" s="12">
        <v>429765191</v>
      </c>
      <c r="R142" s="12"/>
      <c r="S142" s="12"/>
      <c r="T142" s="12"/>
    </row>
    <row r="143" spans="1:22" s="3" customFormat="1" ht="15" x14ac:dyDescent="0.2">
      <c r="A143" s="4">
        <f t="shared" si="54"/>
        <v>136</v>
      </c>
      <c r="B143" s="5" t="str">
        <f>VLOOKUP(C143,$W:$X,2,0)</f>
        <v>0307</v>
      </c>
      <c r="C143" s="23" t="s">
        <v>188</v>
      </c>
      <c r="D143" s="4" t="s">
        <v>225</v>
      </c>
      <c r="E143" s="5" t="s">
        <v>785</v>
      </c>
      <c r="F143" s="23" t="s">
        <v>380</v>
      </c>
      <c r="G143" s="5" t="s">
        <v>783</v>
      </c>
      <c r="H143" s="4" t="s">
        <v>786</v>
      </c>
      <c r="I143" s="4" t="s">
        <v>376</v>
      </c>
      <c r="J143" s="4" t="s">
        <v>53</v>
      </c>
      <c r="K143" s="4" t="s">
        <v>53</v>
      </c>
      <c r="L143" s="6" t="s">
        <v>53</v>
      </c>
      <c r="M143" s="6" t="s">
        <v>53</v>
      </c>
      <c r="N143" s="6" t="s">
        <v>53</v>
      </c>
      <c r="O143" s="4"/>
      <c r="P143" s="102">
        <v>417256967</v>
      </c>
      <c r="Q143" s="12">
        <v>224407877</v>
      </c>
      <c r="R143" s="12"/>
      <c r="S143" s="12"/>
      <c r="T143" s="12"/>
    </row>
    <row r="144" spans="1:22" s="3" customFormat="1" ht="15" x14ac:dyDescent="0.2">
      <c r="A144" s="4">
        <f t="shared" si="54"/>
        <v>137</v>
      </c>
      <c r="B144" s="5" t="str">
        <f>VLOOKUP(C144,$W:$X,2,0)</f>
        <v>0307</v>
      </c>
      <c r="C144" s="23" t="s">
        <v>188</v>
      </c>
      <c r="D144" s="4" t="s">
        <v>225</v>
      </c>
      <c r="E144" s="5" t="s">
        <v>527</v>
      </c>
      <c r="F144" s="23" t="s">
        <v>468</v>
      </c>
      <c r="G144" s="5" t="s">
        <v>497</v>
      </c>
      <c r="H144" s="4" t="s">
        <v>515</v>
      </c>
      <c r="I144" s="4" t="s">
        <v>376</v>
      </c>
      <c r="J144" s="4" t="s">
        <v>53</v>
      </c>
      <c r="K144" s="4" t="s">
        <v>53</v>
      </c>
      <c r="L144" s="6" t="s">
        <v>53</v>
      </c>
      <c r="M144" s="6" t="s">
        <v>53</v>
      </c>
      <c r="N144" s="6" t="s">
        <v>53</v>
      </c>
      <c r="O144" s="4" t="s">
        <v>30</v>
      </c>
      <c r="P144" s="102">
        <v>370846598</v>
      </c>
      <c r="Q144" s="12">
        <v>0</v>
      </c>
      <c r="R144" s="12">
        <v>0</v>
      </c>
      <c r="S144" s="12">
        <v>0</v>
      </c>
      <c r="T144" s="12">
        <v>0</v>
      </c>
      <c r="U144" s="74"/>
    </row>
    <row r="145" spans="1:21" s="3" customFormat="1" ht="15" x14ac:dyDescent="0.2">
      <c r="A145" s="4">
        <f t="shared" si="54"/>
        <v>138</v>
      </c>
      <c r="B145" s="5" t="str">
        <f>VLOOKUP(C145,$W:$X,2,0)</f>
        <v>0307</v>
      </c>
      <c r="C145" s="23" t="s">
        <v>188</v>
      </c>
      <c r="D145" s="4" t="s">
        <v>225</v>
      </c>
      <c r="E145" s="5" t="s">
        <v>527</v>
      </c>
      <c r="F145" s="23" t="s">
        <v>468</v>
      </c>
      <c r="G145" s="5" t="s">
        <v>498</v>
      </c>
      <c r="H145" s="4" t="s">
        <v>515</v>
      </c>
      <c r="I145" s="4" t="s">
        <v>376</v>
      </c>
      <c r="J145" s="4" t="s">
        <v>53</v>
      </c>
      <c r="K145" s="4" t="s">
        <v>53</v>
      </c>
      <c r="L145" s="6" t="s">
        <v>53</v>
      </c>
      <c r="M145" s="6" t="s">
        <v>53</v>
      </c>
      <c r="N145" s="6" t="s">
        <v>53</v>
      </c>
      <c r="O145" s="4" t="s">
        <v>30</v>
      </c>
      <c r="P145" s="102">
        <v>87230604</v>
      </c>
      <c r="Q145" s="12">
        <v>0</v>
      </c>
      <c r="R145" s="12">
        <v>0</v>
      </c>
      <c r="S145" s="12">
        <v>0</v>
      </c>
      <c r="T145" s="12">
        <v>0</v>
      </c>
      <c r="U145" s="74"/>
    </row>
    <row r="146" spans="1:21" s="3" customFormat="1" ht="15" x14ac:dyDescent="0.2">
      <c r="A146" s="4">
        <f t="shared" si="54"/>
        <v>139</v>
      </c>
      <c r="B146" s="5" t="str">
        <f>VLOOKUP(C146,$W:$X,2,0)</f>
        <v>0307</v>
      </c>
      <c r="C146" s="23" t="s">
        <v>188</v>
      </c>
      <c r="D146" s="4" t="s">
        <v>225</v>
      </c>
      <c r="E146" s="5" t="s">
        <v>527</v>
      </c>
      <c r="F146" s="23" t="s">
        <v>468</v>
      </c>
      <c r="G146" s="5" t="s">
        <v>482</v>
      </c>
      <c r="H146" s="4" t="s">
        <v>515</v>
      </c>
      <c r="I146" s="4" t="s">
        <v>376</v>
      </c>
      <c r="J146" s="4" t="s">
        <v>53</v>
      </c>
      <c r="K146" s="4" t="s">
        <v>53</v>
      </c>
      <c r="L146" s="6" t="s">
        <v>53</v>
      </c>
      <c r="M146" s="6" t="s">
        <v>53</v>
      </c>
      <c r="N146" s="6" t="s">
        <v>53</v>
      </c>
      <c r="O146" s="4" t="s">
        <v>30</v>
      </c>
      <c r="P146" s="102">
        <v>0</v>
      </c>
      <c r="Q146" s="12">
        <v>0</v>
      </c>
      <c r="R146" s="12">
        <v>0</v>
      </c>
      <c r="S146" s="12">
        <v>603490925</v>
      </c>
      <c r="T146" s="12">
        <v>0</v>
      </c>
      <c r="U146" s="74"/>
    </row>
    <row r="147" spans="1:21" s="3" customFormat="1" ht="15" x14ac:dyDescent="0.2">
      <c r="A147" s="4">
        <f t="shared" si="54"/>
        <v>140</v>
      </c>
      <c r="B147" s="5" t="str">
        <f>VLOOKUP(C147,$W:$X,2,0)</f>
        <v>0307</v>
      </c>
      <c r="C147" s="23" t="s">
        <v>188</v>
      </c>
      <c r="D147" s="4" t="s">
        <v>225</v>
      </c>
      <c r="E147" s="5" t="s">
        <v>527</v>
      </c>
      <c r="F147" s="23" t="s">
        <v>468</v>
      </c>
      <c r="G147" s="5" t="s">
        <v>483</v>
      </c>
      <c r="H147" s="4" t="s">
        <v>515</v>
      </c>
      <c r="I147" s="4" t="s">
        <v>376</v>
      </c>
      <c r="J147" s="4" t="s">
        <v>53</v>
      </c>
      <c r="K147" s="4" t="s">
        <v>53</v>
      </c>
      <c r="L147" s="6" t="s">
        <v>53</v>
      </c>
      <c r="M147" s="6" t="s">
        <v>53</v>
      </c>
      <c r="N147" s="6" t="s">
        <v>53</v>
      </c>
      <c r="O147" s="4" t="s">
        <v>30</v>
      </c>
      <c r="P147" s="102">
        <v>0</v>
      </c>
      <c r="Q147" s="12">
        <v>0</v>
      </c>
      <c r="R147" s="12">
        <v>436026214</v>
      </c>
      <c r="S147" s="12">
        <v>504657757</v>
      </c>
      <c r="T147" s="12">
        <v>0</v>
      </c>
      <c r="U147" s="74"/>
    </row>
    <row r="148" spans="1:21" s="3" customFormat="1" ht="15" x14ac:dyDescent="0.2">
      <c r="A148" s="4">
        <f t="shared" si="54"/>
        <v>141</v>
      </c>
      <c r="B148" s="5" t="str">
        <f>VLOOKUP(C148,$W:$X,2,0)</f>
        <v>0307</v>
      </c>
      <c r="C148" s="23" t="s">
        <v>188</v>
      </c>
      <c r="D148" s="4" t="s">
        <v>225</v>
      </c>
      <c r="E148" s="5" t="s">
        <v>527</v>
      </c>
      <c r="F148" s="23" t="s">
        <v>468</v>
      </c>
      <c r="G148" s="5" t="s">
        <v>484</v>
      </c>
      <c r="H148" s="4" t="s">
        <v>515</v>
      </c>
      <c r="I148" s="4" t="s">
        <v>376</v>
      </c>
      <c r="J148" s="4" t="s">
        <v>53</v>
      </c>
      <c r="K148" s="4" t="s">
        <v>53</v>
      </c>
      <c r="L148" s="6" t="s">
        <v>53</v>
      </c>
      <c r="M148" s="6" t="s">
        <v>53</v>
      </c>
      <c r="N148" s="6" t="s">
        <v>53</v>
      </c>
      <c r="O148" s="4" t="s">
        <v>30</v>
      </c>
      <c r="P148" s="102">
        <v>0</v>
      </c>
      <c r="Q148" s="12">
        <v>0</v>
      </c>
      <c r="R148" s="12">
        <v>323949804</v>
      </c>
      <c r="S148" s="12">
        <v>0</v>
      </c>
      <c r="T148" s="12">
        <v>0</v>
      </c>
      <c r="U148" s="74"/>
    </row>
    <row r="149" spans="1:21" s="3" customFormat="1" ht="15" x14ac:dyDescent="0.2">
      <c r="A149" s="4">
        <f t="shared" si="54"/>
        <v>142</v>
      </c>
      <c r="B149" s="5" t="str">
        <f>VLOOKUP(C149,$W:$X,2,0)</f>
        <v>0307</v>
      </c>
      <c r="C149" s="23" t="s">
        <v>188</v>
      </c>
      <c r="D149" s="4" t="s">
        <v>225</v>
      </c>
      <c r="E149" s="5" t="s">
        <v>527</v>
      </c>
      <c r="F149" s="23" t="s">
        <v>468</v>
      </c>
      <c r="G149" s="5" t="s">
        <v>484</v>
      </c>
      <c r="H149" s="4" t="s">
        <v>515</v>
      </c>
      <c r="I149" s="4" t="s">
        <v>376</v>
      </c>
      <c r="J149" s="4" t="s">
        <v>53</v>
      </c>
      <c r="K149" s="4" t="s">
        <v>53</v>
      </c>
      <c r="L149" s="6" t="s">
        <v>53</v>
      </c>
      <c r="M149" s="6" t="s">
        <v>53</v>
      </c>
      <c r="N149" s="6" t="s">
        <v>53</v>
      </c>
      <c r="O149" s="4" t="s">
        <v>30</v>
      </c>
      <c r="P149" s="102">
        <v>0</v>
      </c>
      <c r="Q149" s="12">
        <v>304174890</v>
      </c>
      <c r="R149" s="12">
        <v>404174890</v>
      </c>
      <c r="S149" s="12">
        <v>0</v>
      </c>
      <c r="T149" s="12">
        <v>0</v>
      </c>
      <c r="U149" s="74"/>
    </row>
    <row r="150" spans="1:21" s="3" customFormat="1" ht="15" x14ac:dyDescent="0.2">
      <c r="A150" s="4">
        <f t="shared" si="54"/>
        <v>143</v>
      </c>
      <c r="B150" s="5" t="str">
        <f>VLOOKUP(C150,$W:$X,2,0)</f>
        <v>0307</v>
      </c>
      <c r="C150" s="23" t="s">
        <v>188</v>
      </c>
      <c r="D150" s="4" t="s">
        <v>225</v>
      </c>
      <c r="E150" s="5" t="s">
        <v>527</v>
      </c>
      <c r="F150" s="23" t="s">
        <v>468</v>
      </c>
      <c r="G150" s="5" t="s">
        <v>485</v>
      </c>
      <c r="H150" s="4" t="s">
        <v>515</v>
      </c>
      <c r="I150" s="4" t="s">
        <v>376</v>
      </c>
      <c r="J150" s="4" t="s">
        <v>53</v>
      </c>
      <c r="K150" s="4" t="s">
        <v>53</v>
      </c>
      <c r="L150" s="6" t="s">
        <v>53</v>
      </c>
      <c r="M150" s="6" t="s">
        <v>53</v>
      </c>
      <c r="N150" s="6" t="s">
        <v>53</v>
      </c>
      <c r="O150" s="4" t="s">
        <v>30</v>
      </c>
      <c r="P150" s="102">
        <v>0</v>
      </c>
      <c r="Q150" s="12">
        <v>170500000</v>
      </c>
      <c r="R150" s="12">
        <v>170500000</v>
      </c>
      <c r="S150" s="12">
        <v>157234000</v>
      </c>
      <c r="T150" s="12">
        <v>0</v>
      </c>
      <c r="U150" s="74"/>
    </row>
    <row r="151" spans="1:21" s="3" customFormat="1" ht="15" x14ac:dyDescent="0.2">
      <c r="A151" s="4">
        <f t="shared" si="54"/>
        <v>144</v>
      </c>
      <c r="B151" s="5" t="str">
        <f>VLOOKUP(C151,$W:$X,2,0)</f>
        <v>0399</v>
      </c>
      <c r="C151" s="23" t="s">
        <v>32</v>
      </c>
      <c r="D151" s="4" t="s">
        <v>225</v>
      </c>
      <c r="E151" s="5" t="s">
        <v>527</v>
      </c>
      <c r="F151" s="23" t="s">
        <v>468</v>
      </c>
      <c r="G151" s="5" t="s">
        <v>486</v>
      </c>
      <c r="H151" s="4" t="s">
        <v>515</v>
      </c>
      <c r="I151" s="4" t="s">
        <v>376</v>
      </c>
      <c r="J151" s="4" t="s">
        <v>53</v>
      </c>
      <c r="K151" s="4" t="s">
        <v>53</v>
      </c>
      <c r="L151" s="6" t="s">
        <v>53</v>
      </c>
      <c r="M151" s="6" t="s">
        <v>53</v>
      </c>
      <c r="N151" s="6" t="s">
        <v>53</v>
      </c>
      <c r="O151" s="4" t="s">
        <v>30</v>
      </c>
      <c r="P151" s="102">
        <v>0</v>
      </c>
      <c r="Q151" s="12">
        <v>0</v>
      </c>
      <c r="R151" s="12">
        <v>498503366</v>
      </c>
      <c r="S151" s="12">
        <v>745520823</v>
      </c>
      <c r="T151" s="12">
        <v>0</v>
      </c>
      <c r="U151" s="74"/>
    </row>
    <row r="152" spans="1:21" s="3" customFormat="1" ht="15" x14ac:dyDescent="0.2">
      <c r="A152" s="4">
        <f t="shared" si="54"/>
        <v>145</v>
      </c>
      <c r="B152" s="5" t="str">
        <f>VLOOKUP(C152,$W:$X,2,0)</f>
        <v>0399</v>
      </c>
      <c r="C152" s="23" t="s">
        <v>32</v>
      </c>
      <c r="D152" s="4" t="s">
        <v>225</v>
      </c>
      <c r="E152" s="5" t="s">
        <v>527</v>
      </c>
      <c r="F152" s="23" t="s">
        <v>468</v>
      </c>
      <c r="G152" s="5" t="s">
        <v>487</v>
      </c>
      <c r="H152" s="4" t="s">
        <v>515</v>
      </c>
      <c r="I152" s="4" t="s">
        <v>376</v>
      </c>
      <c r="J152" s="4" t="s">
        <v>53</v>
      </c>
      <c r="K152" s="4" t="s">
        <v>53</v>
      </c>
      <c r="L152" s="6" t="s">
        <v>53</v>
      </c>
      <c r="M152" s="6" t="s">
        <v>53</v>
      </c>
      <c r="N152" s="6" t="s">
        <v>53</v>
      </c>
      <c r="O152" s="4" t="s">
        <v>30</v>
      </c>
      <c r="P152" s="102">
        <v>0</v>
      </c>
      <c r="Q152" s="12">
        <v>179956104</v>
      </c>
      <c r="R152" s="12">
        <v>578723665</v>
      </c>
      <c r="S152" s="12">
        <v>590545251</v>
      </c>
      <c r="T152" s="12">
        <v>0</v>
      </c>
      <c r="U152" s="74"/>
    </row>
    <row r="153" spans="1:21" s="3" customFormat="1" ht="15" x14ac:dyDescent="0.2">
      <c r="A153" s="4">
        <f t="shared" si="54"/>
        <v>146</v>
      </c>
      <c r="B153" s="5" t="str">
        <f>VLOOKUP(C153,$W:$X,2,0)</f>
        <v>0399</v>
      </c>
      <c r="C153" s="23" t="s">
        <v>32</v>
      </c>
      <c r="D153" s="4" t="s">
        <v>225</v>
      </c>
      <c r="E153" s="5" t="s">
        <v>527</v>
      </c>
      <c r="F153" s="23" t="s">
        <v>468</v>
      </c>
      <c r="G153" s="5" t="s">
        <v>488</v>
      </c>
      <c r="H153" s="4" t="s">
        <v>515</v>
      </c>
      <c r="I153" s="4" t="s">
        <v>376</v>
      </c>
      <c r="J153" s="4" t="s">
        <v>53</v>
      </c>
      <c r="K153" s="4" t="s">
        <v>53</v>
      </c>
      <c r="L153" s="6" t="s">
        <v>53</v>
      </c>
      <c r="M153" s="6" t="s">
        <v>53</v>
      </c>
      <c r="N153" s="6" t="s">
        <v>53</v>
      </c>
      <c r="O153" s="4" t="s">
        <v>30</v>
      </c>
      <c r="P153" s="102">
        <v>0</v>
      </c>
      <c r="Q153" s="12">
        <v>0</v>
      </c>
      <c r="R153" s="12">
        <v>168253767</v>
      </c>
      <c r="S153" s="12">
        <v>168253767</v>
      </c>
      <c r="T153" s="12">
        <v>0</v>
      </c>
      <c r="U153" s="74"/>
    </row>
    <row r="154" spans="1:21" s="3" customFormat="1" ht="15" x14ac:dyDescent="0.2">
      <c r="A154" s="4">
        <f t="shared" si="54"/>
        <v>147</v>
      </c>
      <c r="B154" s="5" t="str">
        <f>VLOOKUP(C154,$W:$X,2,0)</f>
        <v>0399</v>
      </c>
      <c r="C154" s="23" t="s">
        <v>32</v>
      </c>
      <c r="D154" s="4" t="s">
        <v>225</v>
      </c>
      <c r="E154" s="5" t="s">
        <v>527</v>
      </c>
      <c r="F154" s="23" t="s">
        <v>468</v>
      </c>
      <c r="G154" s="5" t="s">
        <v>489</v>
      </c>
      <c r="H154" s="4" t="s">
        <v>515</v>
      </c>
      <c r="I154" s="4" t="s">
        <v>376</v>
      </c>
      <c r="J154" s="4" t="s">
        <v>53</v>
      </c>
      <c r="K154" s="4" t="s">
        <v>53</v>
      </c>
      <c r="L154" s="6" t="s">
        <v>53</v>
      </c>
      <c r="M154" s="6" t="s">
        <v>53</v>
      </c>
      <c r="N154" s="6" t="s">
        <v>53</v>
      </c>
      <c r="O154" s="4" t="s">
        <v>30</v>
      </c>
      <c r="P154" s="102">
        <v>0</v>
      </c>
      <c r="Q154" s="12">
        <v>0</v>
      </c>
      <c r="R154" s="12">
        <v>265207993</v>
      </c>
      <c r="S154" s="12">
        <v>265207993</v>
      </c>
      <c r="T154" s="12">
        <v>2000000000</v>
      </c>
      <c r="U154" s="74"/>
    </row>
    <row r="155" spans="1:21" s="3" customFormat="1" ht="15" x14ac:dyDescent="0.2">
      <c r="A155" s="4">
        <f t="shared" si="54"/>
        <v>148</v>
      </c>
      <c r="B155" s="5" t="str">
        <f>VLOOKUP(C155,$W:$X,2,0)</f>
        <v>0399</v>
      </c>
      <c r="C155" s="23" t="s">
        <v>32</v>
      </c>
      <c r="D155" s="4" t="s">
        <v>225</v>
      </c>
      <c r="E155" s="5" t="s">
        <v>527</v>
      </c>
      <c r="F155" s="23" t="s">
        <v>468</v>
      </c>
      <c r="G155" s="5" t="s">
        <v>490</v>
      </c>
      <c r="H155" s="4" t="s">
        <v>515</v>
      </c>
      <c r="I155" s="4" t="s">
        <v>376</v>
      </c>
      <c r="J155" s="4" t="s">
        <v>53</v>
      </c>
      <c r="K155" s="4" t="s">
        <v>53</v>
      </c>
      <c r="L155" s="6" t="s">
        <v>53</v>
      </c>
      <c r="M155" s="6" t="s">
        <v>53</v>
      </c>
      <c r="N155" s="6" t="s">
        <v>53</v>
      </c>
      <c r="O155" s="4" t="s">
        <v>30</v>
      </c>
      <c r="P155" s="102">
        <v>0</v>
      </c>
      <c r="Q155" s="12">
        <v>0</v>
      </c>
      <c r="R155" s="12">
        <v>275531185</v>
      </c>
      <c r="S155" s="12">
        <v>275531185</v>
      </c>
      <c r="T155" s="12">
        <v>2000000000</v>
      </c>
      <c r="U155" s="74"/>
    </row>
    <row r="156" spans="1:21" s="3" customFormat="1" ht="15" x14ac:dyDescent="0.2">
      <c r="A156" s="4">
        <f t="shared" si="54"/>
        <v>149</v>
      </c>
      <c r="B156" s="5" t="str">
        <f>VLOOKUP(C156,$W:$X,2,0)</f>
        <v>0399</v>
      </c>
      <c r="C156" s="23" t="s">
        <v>32</v>
      </c>
      <c r="D156" s="4" t="s">
        <v>225</v>
      </c>
      <c r="E156" s="5" t="s">
        <v>527</v>
      </c>
      <c r="F156" s="23" t="s">
        <v>468</v>
      </c>
      <c r="G156" s="5" t="s">
        <v>491</v>
      </c>
      <c r="H156" s="4" t="s">
        <v>515</v>
      </c>
      <c r="I156" s="4" t="s">
        <v>376</v>
      </c>
      <c r="J156" s="4" t="s">
        <v>53</v>
      </c>
      <c r="K156" s="4" t="s">
        <v>53</v>
      </c>
      <c r="L156" s="6" t="s">
        <v>53</v>
      </c>
      <c r="M156" s="6" t="s">
        <v>53</v>
      </c>
      <c r="N156" s="6" t="s">
        <v>53</v>
      </c>
      <c r="O156" s="4" t="s">
        <v>30</v>
      </c>
      <c r="P156" s="102">
        <v>0</v>
      </c>
      <c r="Q156" s="12">
        <v>0</v>
      </c>
      <c r="R156" s="12">
        <v>168027740</v>
      </c>
      <c r="S156" s="12">
        <v>168027740</v>
      </c>
      <c r="T156" s="12">
        <v>1500000000</v>
      </c>
      <c r="U156" s="74"/>
    </row>
    <row r="157" spans="1:21" s="3" customFormat="1" ht="15" x14ac:dyDescent="0.2">
      <c r="A157" s="4">
        <f t="shared" si="54"/>
        <v>150</v>
      </c>
      <c r="B157" s="5" t="str">
        <f>VLOOKUP(C157,$W:$X,2,0)</f>
        <v>0399</v>
      </c>
      <c r="C157" s="23" t="s">
        <v>32</v>
      </c>
      <c r="D157" s="4" t="s">
        <v>225</v>
      </c>
      <c r="E157" s="5" t="s">
        <v>527</v>
      </c>
      <c r="F157" s="23" t="s">
        <v>468</v>
      </c>
      <c r="G157" s="5" t="s">
        <v>492</v>
      </c>
      <c r="H157" s="4" t="s">
        <v>515</v>
      </c>
      <c r="I157" s="4" t="s">
        <v>376</v>
      </c>
      <c r="J157" s="4" t="s">
        <v>53</v>
      </c>
      <c r="K157" s="4" t="s">
        <v>53</v>
      </c>
      <c r="L157" s="6" t="s">
        <v>53</v>
      </c>
      <c r="M157" s="6" t="s">
        <v>53</v>
      </c>
      <c r="N157" s="6" t="s">
        <v>53</v>
      </c>
      <c r="O157" s="4" t="s">
        <v>30</v>
      </c>
      <c r="P157" s="102">
        <v>0</v>
      </c>
      <c r="Q157" s="12">
        <v>0</v>
      </c>
      <c r="R157" s="12">
        <v>483600000</v>
      </c>
      <c r="S157" s="12">
        <v>480521398</v>
      </c>
      <c r="T157" s="12">
        <v>0</v>
      </c>
      <c r="U157" s="74"/>
    </row>
    <row r="158" spans="1:21" s="3" customFormat="1" ht="15" x14ac:dyDescent="0.2">
      <c r="A158" s="4">
        <f t="shared" si="54"/>
        <v>151</v>
      </c>
      <c r="B158" s="5" t="str">
        <f>VLOOKUP(C158,$W:$X,2,0)</f>
        <v>0399</v>
      </c>
      <c r="C158" s="23" t="s">
        <v>32</v>
      </c>
      <c r="D158" s="4" t="s">
        <v>225</v>
      </c>
      <c r="E158" s="5" t="s">
        <v>527</v>
      </c>
      <c r="F158" s="23" t="s">
        <v>468</v>
      </c>
      <c r="G158" s="5" t="s">
        <v>493</v>
      </c>
      <c r="H158" s="4" t="s">
        <v>515</v>
      </c>
      <c r="I158" s="4" t="s">
        <v>376</v>
      </c>
      <c r="J158" s="4" t="s">
        <v>53</v>
      </c>
      <c r="K158" s="4" t="s">
        <v>53</v>
      </c>
      <c r="L158" s="6" t="s">
        <v>53</v>
      </c>
      <c r="M158" s="6" t="s">
        <v>53</v>
      </c>
      <c r="N158" s="6" t="s">
        <v>53</v>
      </c>
      <c r="O158" s="4" t="s">
        <v>30</v>
      </c>
      <c r="P158" s="102">
        <v>0</v>
      </c>
      <c r="Q158" s="12">
        <v>0</v>
      </c>
      <c r="R158" s="12">
        <v>0</v>
      </c>
      <c r="S158" s="12">
        <v>0</v>
      </c>
      <c r="T158" s="12">
        <v>1500000000</v>
      </c>
      <c r="U158" s="74"/>
    </row>
    <row r="159" spans="1:21" s="3" customFormat="1" ht="15" x14ac:dyDescent="0.2">
      <c r="A159" s="4">
        <f t="shared" si="54"/>
        <v>152</v>
      </c>
      <c r="B159" s="5" t="str">
        <f>VLOOKUP(C159,$W:$X,2,0)</f>
        <v>0305</v>
      </c>
      <c r="C159" s="23" t="s">
        <v>42</v>
      </c>
      <c r="D159" s="4" t="s">
        <v>225</v>
      </c>
      <c r="E159" s="5" t="s">
        <v>548</v>
      </c>
      <c r="F159" s="23" t="s">
        <v>535</v>
      </c>
      <c r="G159" s="5" t="s">
        <v>475</v>
      </c>
      <c r="H159" s="4" t="s">
        <v>543</v>
      </c>
      <c r="I159" s="4" t="s">
        <v>376</v>
      </c>
      <c r="J159" s="4" t="s">
        <v>53</v>
      </c>
      <c r="K159" s="4" t="s">
        <v>53</v>
      </c>
      <c r="L159" s="6" t="s">
        <v>53</v>
      </c>
      <c r="M159" s="6" t="s">
        <v>53</v>
      </c>
      <c r="N159" s="6" t="s">
        <v>53</v>
      </c>
      <c r="O159" s="4" t="s">
        <v>30</v>
      </c>
      <c r="P159" s="102">
        <v>0</v>
      </c>
      <c r="Q159" s="12">
        <v>0</v>
      </c>
      <c r="R159" s="12">
        <v>0</v>
      </c>
      <c r="S159" s="12">
        <v>2000000000</v>
      </c>
      <c r="T159" s="12">
        <v>2000000000</v>
      </c>
      <c r="U159" s="74"/>
    </row>
    <row r="160" spans="1:21" s="3" customFormat="1" ht="15" x14ac:dyDescent="0.2">
      <c r="A160" s="4">
        <f t="shared" si="54"/>
        <v>153</v>
      </c>
      <c r="B160" s="5" t="str">
        <f>VLOOKUP(C160,$W:$X,2,0)</f>
        <v>0305</v>
      </c>
      <c r="C160" s="23" t="s">
        <v>42</v>
      </c>
      <c r="D160" s="4" t="s">
        <v>225</v>
      </c>
      <c r="E160" s="5" t="s">
        <v>548</v>
      </c>
      <c r="F160" s="23" t="s">
        <v>535</v>
      </c>
      <c r="G160" s="5" t="s">
        <v>546</v>
      </c>
      <c r="H160" s="4" t="s">
        <v>543</v>
      </c>
      <c r="I160" s="4" t="s">
        <v>375</v>
      </c>
      <c r="J160" s="4" t="s">
        <v>53</v>
      </c>
      <c r="K160" s="4" t="s">
        <v>53</v>
      </c>
      <c r="L160" s="6" t="s">
        <v>53</v>
      </c>
      <c r="M160" s="6" t="s">
        <v>53</v>
      </c>
      <c r="N160" s="6" t="s">
        <v>53</v>
      </c>
      <c r="O160" s="4" t="s">
        <v>30</v>
      </c>
      <c r="P160" s="102">
        <v>0</v>
      </c>
      <c r="Q160" s="12">
        <v>0</v>
      </c>
      <c r="R160" s="12">
        <v>0</v>
      </c>
      <c r="S160" s="12">
        <v>2858800000</v>
      </c>
      <c r="T160" s="12">
        <v>2845600000</v>
      </c>
      <c r="U160" s="74"/>
    </row>
    <row r="161" spans="1:21" s="3" customFormat="1" ht="15" x14ac:dyDescent="0.2">
      <c r="A161" s="4">
        <f t="shared" si="54"/>
        <v>154</v>
      </c>
      <c r="B161" s="5" t="str">
        <f>VLOOKUP(C161,$W:$X,2,0)</f>
        <v>0305</v>
      </c>
      <c r="C161" s="23" t="s">
        <v>42</v>
      </c>
      <c r="D161" s="4" t="s">
        <v>225</v>
      </c>
      <c r="E161" s="5" t="s">
        <v>548</v>
      </c>
      <c r="F161" s="23" t="s">
        <v>535</v>
      </c>
      <c r="G161" s="5" t="s">
        <v>474</v>
      </c>
      <c r="H161" s="4" t="s">
        <v>543</v>
      </c>
      <c r="I161" s="4" t="s">
        <v>376</v>
      </c>
      <c r="J161" s="4" t="s">
        <v>53</v>
      </c>
      <c r="K161" s="4" t="s">
        <v>53</v>
      </c>
      <c r="L161" s="6" t="s">
        <v>53</v>
      </c>
      <c r="M161" s="6" t="s">
        <v>53</v>
      </c>
      <c r="N161" s="6" t="s">
        <v>53</v>
      </c>
      <c r="O161" s="4" t="s">
        <v>30</v>
      </c>
      <c r="P161" s="102">
        <v>0</v>
      </c>
      <c r="Q161" s="12">
        <v>2000000000</v>
      </c>
      <c r="R161" s="12">
        <v>2000000000</v>
      </c>
      <c r="S161" s="12">
        <v>0</v>
      </c>
      <c r="T161" s="12">
        <v>0</v>
      </c>
      <c r="U161" s="74"/>
    </row>
    <row r="162" spans="1:21" s="3" customFormat="1" ht="15" x14ac:dyDescent="0.2">
      <c r="A162" s="4">
        <f t="shared" si="54"/>
        <v>155</v>
      </c>
      <c r="B162" s="5" t="str">
        <f>VLOOKUP(C162,$W:$X,2,0)</f>
        <v>0305</v>
      </c>
      <c r="C162" s="23" t="s">
        <v>42</v>
      </c>
      <c r="D162" s="4" t="s">
        <v>225</v>
      </c>
      <c r="E162" s="5" t="s">
        <v>548</v>
      </c>
      <c r="F162" s="23" t="s">
        <v>535</v>
      </c>
      <c r="G162" s="5" t="s">
        <v>477</v>
      </c>
      <c r="H162" s="4" t="s">
        <v>543</v>
      </c>
      <c r="I162" s="4" t="s">
        <v>376</v>
      </c>
      <c r="J162" s="4" t="s">
        <v>53</v>
      </c>
      <c r="K162" s="4" t="s">
        <v>53</v>
      </c>
      <c r="L162" s="6" t="s">
        <v>53</v>
      </c>
      <c r="M162" s="6" t="s">
        <v>53</v>
      </c>
      <c r="N162" s="6" t="s">
        <v>53</v>
      </c>
      <c r="O162" s="4" t="s">
        <v>30</v>
      </c>
      <c r="P162" s="102">
        <v>400000000</v>
      </c>
      <c r="Q162" s="12">
        <v>400000000</v>
      </c>
      <c r="R162" s="12">
        <v>400000000</v>
      </c>
      <c r="S162" s="12">
        <v>0</v>
      </c>
      <c r="T162" s="12">
        <v>0</v>
      </c>
      <c r="U162" s="74"/>
    </row>
    <row r="163" spans="1:21" s="3" customFormat="1" ht="15" x14ac:dyDescent="0.2">
      <c r="A163" s="4">
        <f t="shared" si="54"/>
        <v>156</v>
      </c>
      <c r="B163" s="5" t="str">
        <f>VLOOKUP(C163,$W:$X,2,0)</f>
        <v>0305</v>
      </c>
      <c r="C163" s="23" t="s">
        <v>42</v>
      </c>
      <c r="D163" s="4" t="s">
        <v>225</v>
      </c>
      <c r="E163" s="5" t="s">
        <v>548</v>
      </c>
      <c r="F163" s="23" t="s">
        <v>535</v>
      </c>
      <c r="G163" s="5" t="s">
        <v>545</v>
      </c>
      <c r="H163" s="4" t="s">
        <v>543</v>
      </c>
      <c r="I163" s="4" t="s">
        <v>375</v>
      </c>
      <c r="J163" s="4" t="s">
        <v>53</v>
      </c>
      <c r="K163" s="4" t="s">
        <v>53</v>
      </c>
      <c r="L163" s="6" t="s">
        <v>53</v>
      </c>
      <c r="M163" s="6" t="s">
        <v>53</v>
      </c>
      <c r="N163" s="6" t="s">
        <v>53</v>
      </c>
      <c r="O163" s="4" t="s">
        <v>30</v>
      </c>
      <c r="P163" s="102">
        <v>3219000000</v>
      </c>
      <c r="Q163" s="12">
        <v>3100000000</v>
      </c>
      <c r="R163" s="12">
        <v>3100000000</v>
      </c>
      <c r="S163" s="12">
        <v>0</v>
      </c>
      <c r="T163" s="12">
        <v>0</v>
      </c>
      <c r="U163" s="74"/>
    </row>
    <row r="164" spans="1:21" s="3" customFormat="1" ht="15" x14ac:dyDescent="0.2">
      <c r="A164" s="4">
        <f t="shared" si="54"/>
        <v>157</v>
      </c>
      <c r="B164" s="5" t="str">
        <f>VLOOKUP(C164,$W:$X,2,0)</f>
        <v>0399</v>
      </c>
      <c r="C164" s="23" t="s">
        <v>32</v>
      </c>
      <c r="D164" s="4" t="s">
        <v>225</v>
      </c>
      <c r="E164" s="5" t="s">
        <v>244</v>
      </c>
      <c r="F164" s="23" t="s">
        <v>228</v>
      </c>
      <c r="G164" s="5" t="s">
        <v>556</v>
      </c>
      <c r="H164" s="4" t="s">
        <v>549</v>
      </c>
      <c r="I164" s="4" t="s">
        <v>376</v>
      </c>
      <c r="J164" s="4" t="s">
        <v>53</v>
      </c>
      <c r="K164" s="4" t="s">
        <v>53</v>
      </c>
      <c r="L164" s="6" t="s">
        <v>53</v>
      </c>
      <c r="M164" s="6" t="s">
        <v>53</v>
      </c>
      <c r="N164" s="6" t="s">
        <v>53</v>
      </c>
      <c r="O164" s="4" t="s">
        <v>30</v>
      </c>
      <c r="P164" s="102">
        <v>0</v>
      </c>
      <c r="Q164" s="12">
        <v>38452200</v>
      </c>
      <c r="R164" s="12">
        <v>0</v>
      </c>
      <c r="S164" s="12">
        <v>0</v>
      </c>
      <c r="T164" s="12">
        <v>0</v>
      </c>
      <c r="U164" s="74"/>
    </row>
    <row r="165" spans="1:21" s="3" customFormat="1" ht="15" x14ac:dyDescent="0.2">
      <c r="A165" s="4">
        <f t="shared" si="54"/>
        <v>158</v>
      </c>
      <c r="B165" s="5" t="str">
        <f>VLOOKUP(C165,$W:$X,2,0)</f>
        <v>0399</v>
      </c>
      <c r="C165" s="23" t="s">
        <v>32</v>
      </c>
      <c r="D165" s="4" t="s">
        <v>225</v>
      </c>
      <c r="E165" s="5" t="s">
        <v>244</v>
      </c>
      <c r="F165" s="23" t="s">
        <v>228</v>
      </c>
      <c r="G165" s="5" t="s">
        <v>557</v>
      </c>
      <c r="H165" s="4" t="s">
        <v>549</v>
      </c>
      <c r="I165" s="4" t="s">
        <v>376</v>
      </c>
      <c r="J165" s="4" t="s">
        <v>53</v>
      </c>
      <c r="K165" s="4" t="s">
        <v>53</v>
      </c>
      <c r="L165" s="6" t="s">
        <v>53</v>
      </c>
      <c r="M165" s="6" t="s">
        <v>53</v>
      </c>
      <c r="N165" s="6" t="s">
        <v>53</v>
      </c>
      <c r="O165" s="4" t="s">
        <v>30</v>
      </c>
      <c r="P165" s="102">
        <v>0</v>
      </c>
      <c r="Q165" s="12">
        <v>37566090</v>
      </c>
      <c r="R165" s="12">
        <v>0</v>
      </c>
      <c r="S165" s="12">
        <v>0</v>
      </c>
      <c r="T165" s="12">
        <v>0</v>
      </c>
      <c r="U165" s="74"/>
    </row>
    <row r="166" spans="1:21" s="3" customFormat="1" ht="15" x14ac:dyDescent="0.2">
      <c r="A166" s="4">
        <f t="shared" si="54"/>
        <v>159</v>
      </c>
      <c r="B166" s="5" t="str">
        <f>VLOOKUP(C166,$W:$X,2,0)</f>
        <v>0399</v>
      </c>
      <c r="C166" s="23" t="s">
        <v>32</v>
      </c>
      <c r="D166" s="4" t="s">
        <v>225</v>
      </c>
      <c r="E166" s="5" t="s">
        <v>244</v>
      </c>
      <c r="F166" s="23" t="s">
        <v>228</v>
      </c>
      <c r="G166" s="5" t="s">
        <v>558</v>
      </c>
      <c r="H166" s="4" t="s">
        <v>549</v>
      </c>
      <c r="I166" s="4" t="s">
        <v>376</v>
      </c>
      <c r="J166" s="4" t="s">
        <v>53</v>
      </c>
      <c r="K166" s="4" t="s">
        <v>53</v>
      </c>
      <c r="L166" s="6" t="s">
        <v>53</v>
      </c>
      <c r="M166" s="6" t="s">
        <v>53</v>
      </c>
      <c r="N166" s="6" t="s">
        <v>53</v>
      </c>
      <c r="O166" s="4" t="s">
        <v>30</v>
      </c>
      <c r="P166" s="102">
        <v>0</v>
      </c>
      <c r="Q166" s="12">
        <v>38508890</v>
      </c>
      <c r="R166" s="12">
        <v>0</v>
      </c>
      <c r="S166" s="12">
        <v>0</v>
      </c>
      <c r="T166" s="12">
        <v>0</v>
      </c>
      <c r="U166" s="74"/>
    </row>
    <row r="167" spans="1:21" s="3" customFormat="1" ht="15" x14ac:dyDescent="0.2">
      <c r="A167" s="4">
        <f t="shared" si="54"/>
        <v>160</v>
      </c>
      <c r="B167" s="5" t="str">
        <f>VLOOKUP(C167,$W:$X,2,0)</f>
        <v>0399</v>
      </c>
      <c r="C167" s="23" t="s">
        <v>32</v>
      </c>
      <c r="D167" s="4" t="s">
        <v>225</v>
      </c>
      <c r="E167" s="5" t="s">
        <v>244</v>
      </c>
      <c r="F167" s="23" t="s">
        <v>228</v>
      </c>
      <c r="G167" s="5" t="s">
        <v>567</v>
      </c>
      <c r="H167" s="4" t="s">
        <v>549</v>
      </c>
      <c r="I167" s="4" t="s">
        <v>376</v>
      </c>
      <c r="J167" s="4" t="s">
        <v>53</v>
      </c>
      <c r="K167" s="4" t="s">
        <v>53</v>
      </c>
      <c r="L167" s="6" t="s">
        <v>53</v>
      </c>
      <c r="M167" s="6" t="s">
        <v>53</v>
      </c>
      <c r="N167" s="6" t="s">
        <v>53</v>
      </c>
      <c r="O167" s="4" t="s">
        <v>30</v>
      </c>
      <c r="P167" s="102">
        <v>0</v>
      </c>
      <c r="Q167" s="12">
        <v>39063410</v>
      </c>
      <c r="R167" s="12">
        <v>0</v>
      </c>
      <c r="S167" s="12">
        <v>0</v>
      </c>
      <c r="T167" s="12">
        <v>0</v>
      </c>
      <c r="U167" s="74"/>
    </row>
    <row r="168" spans="1:21" s="3" customFormat="1" ht="15" x14ac:dyDescent="0.2">
      <c r="A168" s="4">
        <f t="shared" si="54"/>
        <v>161</v>
      </c>
      <c r="B168" s="5" t="str">
        <f>VLOOKUP(C168,$W:$X,2,0)</f>
        <v>0305</v>
      </c>
      <c r="C168" s="23" t="s">
        <v>42</v>
      </c>
      <c r="D168" s="4" t="s">
        <v>225</v>
      </c>
      <c r="E168" s="5"/>
      <c r="F168" s="23" t="s">
        <v>378</v>
      </c>
      <c r="G168" s="5" t="s">
        <v>600</v>
      </c>
      <c r="H168" s="4" t="s">
        <v>591</v>
      </c>
      <c r="I168" s="4" t="s">
        <v>376</v>
      </c>
      <c r="J168" s="4" t="s">
        <v>53</v>
      </c>
      <c r="K168" s="4" t="s">
        <v>53</v>
      </c>
      <c r="L168" s="6" t="s">
        <v>53</v>
      </c>
      <c r="M168" s="6" t="s">
        <v>53</v>
      </c>
      <c r="N168" s="6" t="s">
        <v>53</v>
      </c>
      <c r="O168" s="4"/>
      <c r="P168" s="102">
        <v>0</v>
      </c>
      <c r="Q168" s="12">
        <v>0</v>
      </c>
      <c r="R168" s="12">
        <v>3000000000</v>
      </c>
      <c r="S168" s="12">
        <v>3000000000</v>
      </c>
      <c r="T168" s="12">
        <v>3000000000</v>
      </c>
    </row>
    <row r="169" spans="1:21" s="3" customFormat="1" ht="15" x14ac:dyDescent="0.2">
      <c r="A169" s="4">
        <f t="shared" si="54"/>
        <v>162</v>
      </c>
      <c r="B169" s="5" t="str">
        <f>VLOOKUP(C169,$W:$X,2,0)</f>
        <v>0305</v>
      </c>
      <c r="C169" s="23" t="s">
        <v>42</v>
      </c>
      <c r="D169" s="4" t="s">
        <v>225</v>
      </c>
      <c r="E169" s="5"/>
      <c r="F169" s="23" t="s">
        <v>378</v>
      </c>
      <c r="G169" s="5" t="s">
        <v>601</v>
      </c>
      <c r="H169" s="4" t="s">
        <v>591</v>
      </c>
      <c r="I169" s="4" t="s">
        <v>376</v>
      </c>
      <c r="J169" s="4" t="s">
        <v>53</v>
      </c>
      <c r="K169" s="4" t="s">
        <v>53</v>
      </c>
      <c r="L169" s="6" t="s">
        <v>53</v>
      </c>
      <c r="M169" s="6" t="s">
        <v>53</v>
      </c>
      <c r="N169" s="6" t="s">
        <v>53</v>
      </c>
      <c r="O169" s="4"/>
      <c r="P169" s="102">
        <v>0</v>
      </c>
      <c r="Q169" s="12">
        <v>0</v>
      </c>
      <c r="R169" s="12">
        <v>2400000000</v>
      </c>
      <c r="S169" s="12">
        <v>2000000000</v>
      </c>
      <c r="T169" s="12">
        <v>2400000000</v>
      </c>
    </row>
    <row r="170" spans="1:21" s="3" customFormat="1" ht="15" x14ac:dyDescent="0.2">
      <c r="A170" s="4">
        <f t="shared" si="54"/>
        <v>163</v>
      </c>
      <c r="B170" s="5" t="str">
        <f>VLOOKUP(C170,$W:$X,2,0)</f>
        <v>0305</v>
      </c>
      <c r="C170" s="23" t="s">
        <v>42</v>
      </c>
      <c r="D170" s="4" t="s">
        <v>225</v>
      </c>
      <c r="E170" s="5"/>
      <c r="F170" s="23" t="s">
        <v>378</v>
      </c>
      <c r="G170" s="5" t="s">
        <v>592</v>
      </c>
      <c r="H170" s="4" t="s">
        <v>591</v>
      </c>
      <c r="I170" s="4" t="s">
        <v>376</v>
      </c>
      <c r="J170" s="4" t="s">
        <v>53</v>
      </c>
      <c r="K170" s="4" t="s">
        <v>53</v>
      </c>
      <c r="L170" s="6" t="s">
        <v>53</v>
      </c>
      <c r="M170" s="6" t="s">
        <v>53</v>
      </c>
      <c r="N170" s="6" t="s">
        <v>53</v>
      </c>
      <c r="O170" s="4"/>
      <c r="P170" s="102">
        <v>0</v>
      </c>
      <c r="Q170" s="12">
        <v>2000000000</v>
      </c>
      <c r="R170" s="12">
        <v>2000000000</v>
      </c>
      <c r="S170" s="12">
        <v>2000000000</v>
      </c>
      <c r="T170" s="12">
        <v>0</v>
      </c>
    </row>
    <row r="171" spans="1:21" s="3" customFormat="1" ht="15" x14ac:dyDescent="0.2">
      <c r="A171" s="4">
        <f t="shared" si="54"/>
        <v>164</v>
      </c>
      <c r="B171" s="5" t="str">
        <f>VLOOKUP(C171,$W:$X,2,0)</f>
        <v>0305</v>
      </c>
      <c r="C171" s="23" t="s">
        <v>42</v>
      </c>
      <c r="D171" s="4" t="s">
        <v>225</v>
      </c>
      <c r="E171" s="5"/>
      <c r="F171" s="23" t="s">
        <v>378</v>
      </c>
      <c r="G171" s="5" t="s">
        <v>593</v>
      </c>
      <c r="H171" s="4" t="s">
        <v>591</v>
      </c>
      <c r="I171" s="4" t="s">
        <v>376</v>
      </c>
      <c r="J171" s="4" t="s">
        <v>53</v>
      </c>
      <c r="K171" s="4" t="s">
        <v>53</v>
      </c>
      <c r="L171" s="6" t="s">
        <v>53</v>
      </c>
      <c r="M171" s="6" t="s">
        <v>53</v>
      </c>
      <c r="N171" s="6" t="s">
        <v>53</v>
      </c>
      <c r="O171" s="4"/>
      <c r="P171" s="102">
        <v>0</v>
      </c>
      <c r="Q171" s="12">
        <v>2000000000</v>
      </c>
      <c r="R171" s="12">
        <v>3000000000</v>
      </c>
      <c r="S171" s="12">
        <v>3000000000</v>
      </c>
      <c r="T171" s="12">
        <v>0</v>
      </c>
    </row>
    <row r="172" spans="1:21" s="3" customFormat="1" ht="15" x14ac:dyDescent="0.2">
      <c r="A172" s="4">
        <f t="shared" si="54"/>
        <v>165</v>
      </c>
      <c r="B172" s="5" t="str">
        <f>VLOOKUP(C172,$W:$X,2,0)</f>
        <v>0305</v>
      </c>
      <c r="C172" s="23" t="s">
        <v>42</v>
      </c>
      <c r="D172" s="4" t="s">
        <v>225</v>
      </c>
      <c r="E172" s="5"/>
      <c r="F172" s="23" t="s">
        <v>378</v>
      </c>
      <c r="G172" s="5" t="s">
        <v>595</v>
      </c>
      <c r="H172" s="4" t="s">
        <v>591</v>
      </c>
      <c r="I172" s="4" t="s">
        <v>376</v>
      </c>
      <c r="J172" s="4" t="s">
        <v>53</v>
      </c>
      <c r="K172" s="4" t="s">
        <v>53</v>
      </c>
      <c r="L172" s="6" t="s">
        <v>53</v>
      </c>
      <c r="M172" s="6" t="s">
        <v>53</v>
      </c>
      <c r="N172" s="6" t="s">
        <v>53</v>
      </c>
      <c r="O172" s="4"/>
      <c r="P172" s="102">
        <v>0</v>
      </c>
      <c r="Q172" s="12">
        <v>3100000000</v>
      </c>
      <c r="R172" s="12">
        <v>3100000000</v>
      </c>
      <c r="S172" s="12">
        <v>2858800000</v>
      </c>
      <c r="T172" s="12">
        <v>2845600000</v>
      </c>
    </row>
    <row r="173" spans="1:21" s="3" customFormat="1" ht="15" x14ac:dyDescent="0.2">
      <c r="A173" s="4">
        <f t="shared" si="54"/>
        <v>166</v>
      </c>
      <c r="B173" s="5" t="str">
        <f>VLOOKUP(C173,$W:$X,2,0)</f>
        <v>0305</v>
      </c>
      <c r="C173" s="23" t="s">
        <v>42</v>
      </c>
      <c r="D173" s="4" t="s">
        <v>225</v>
      </c>
      <c r="E173" s="5"/>
      <c r="F173" s="23" t="s">
        <v>378</v>
      </c>
      <c r="G173" s="5" t="s">
        <v>594</v>
      </c>
      <c r="H173" s="4" t="s">
        <v>591</v>
      </c>
      <c r="I173" s="4" t="s">
        <v>376</v>
      </c>
      <c r="J173" s="4" t="s">
        <v>53</v>
      </c>
      <c r="K173" s="4" t="s">
        <v>53</v>
      </c>
      <c r="L173" s="6" t="s">
        <v>53</v>
      </c>
      <c r="M173" s="6" t="s">
        <v>53</v>
      </c>
      <c r="N173" s="6" t="s">
        <v>53</v>
      </c>
      <c r="O173" s="4"/>
      <c r="P173" s="102">
        <v>0</v>
      </c>
      <c r="Q173" s="12">
        <v>3100000000</v>
      </c>
      <c r="R173" s="12">
        <v>3100000000</v>
      </c>
      <c r="S173" s="12">
        <v>2858800000</v>
      </c>
      <c r="T173" s="12">
        <v>2845600000</v>
      </c>
    </row>
    <row r="174" spans="1:21" s="3" customFormat="1" ht="15" x14ac:dyDescent="0.2">
      <c r="A174" s="4">
        <f t="shared" si="54"/>
        <v>167</v>
      </c>
      <c r="B174" s="5" t="str">
        <f>VLOOKUP(C174,$W:$X,2,0)</f>
        <v>0305</v>
      </c>
      <c r="C174" s="23" t="s">
        <v>42</v>
      </c>
      <c r="D174" s="4" t="s">
        <v>225</v>
      </c>
      <c r="E174" s="5"/>
      <c r="F174" s="23" t="s">
        <v>378</v>
      </c>
      <c r="G174" s="5" t="s">
        <v>598</v>
      </c>
      <c r="H174" s="4" t="s">
        <v>591</v>
      </c>
      <c r="I174" s="4" t="s">
        <v>376</v>
      </c>
      <c r="J174" s="4" t="s">
        <v>53</v>
      </c>
      <c r="K174" s="4" t="s">
        <v>53</v>
      </c>
      <c r="L174" s="6" t="s">
        <v>53</v>
      </c>
      <c r="M174" s="6" t="s">
        <v>53</v>
      </c>
      <c r="N174" s="6" t="s">
        <v>53</v>
      </c>
      <c r="O174" s="4"/>
      <c r="P174" s="102">
        <v>0</v>
      </c>
      <c r="Q174" s="12">
        <v>0</v>
      </c>
      <c r="R174" s="12">
        <v>0</v>
      </c>
      <c r="S174" s="12">
        <v>0</v>
      </c>
      <c r="T174" s="12">
        <v>2000000000</v>
      </c>
    </row>
    <row r="175" spans="1:21" s="3" customFormat="1" ht="15" x14ac:dyDescent="0.2">
      <c r="A175" s="4">
        <f t="shared" si="54"/>
        <v>168</v>
      </c>
      <c r="B175" s="5" t="str">
        <f>VLOOKUP(C175,$W:$X,2,0)</f>
        <v>0305</v>
      </c>
      <c r="C175" s="23" t="s">
        <v>42</v>
      </c>
      <c r="D175" s="4" t="s">
        <v>225</v>
      </c>
      <c r="E175" s="5"/>
      <c r="F175" s="23" t="s">
        <v>378</v>
      </c>
      <c r="G175" s="5" t="s">
        <v>570</v>
      </c>
      <c r="H175" s="4" t="s">
        <v>591</v>
      </c>
      <c r="I175" s="4" t="s">
        <v>376</v>
      </c>
      <c r="J175" s="4" t="s">
        <v>53</v>
      </c>
      <c r="K175" s="4" t="s">
        <v>53</v>
      </c>
      <c r="L175" s="6" t="s">
        <v>53</v>
      </c>
      <c r="M175" s="6" t="s">
        <v>53</v>
      </c>
      <c r="N175" s="6" t="s">
        <v>53</v>
      </c>
      <c r="O175" s="4"/>
      <c r="P175" s="102">
        <v>3000000000</v>
      </c>
      <c r="Q175" s="12">
        <v>3000000000</v>
      </c>
      <c r="R175" s="12">
        <v>3000000000</v>
      </c>
      <c r="S175" s="12">
        <v>3000000000</v>
      </c>
      <c r="T175" s="12">
        <v>0</v>
      </c>
    </row>
    <row r="176" spans="1:21" s="3" customFormat="1" ht="15" x14ac:dyDescent="0.2">
      <c r="A176" s="4">
        <f t="shared" si="54"/>
        <v>169</v>
      </c>
      <c r="B176" s="5" t="str">
        <f>VLOOKUP(C176,$W:$X,2,0)</f>
        <v>0305</v>
      </c>
      <c r="C176" s="23" t="s">
        <v>42</v>
      </c>
      <c r="D176" s="4" t="s">
        <v>225</v>
      </c>
      <c r="E176" s="5"/>
      <c r="F176" s="23" t="s">
        <v>378</v>
      </c>
      <c r="G176" s="5" t="s">
        <v>594</v>
      </c>
      <c r="H176" s="4" t="s">
        <v>591</v>
      </c>
      <c r="I176" s="4" t="s">
        <v>376</v>
      </c>
      <c r="J176" s="4" t="s">
        <v>53</v>
      </c>
      <c r="K176" s="4" t="s">
        <v>53</v>
      </c>
      <c r="L176" s="6" t="s">
        <v>53</v>
      </c>
      <c r="M176" s="6" t="s">
        <v>53</v>
      </c>
      <c r="N176" s="6" t="s">
        <v>53</v>
      </c>
      <c r="O176" s="4"/>
      <c r="P176" s="102">
        <v>3219000000</v>
      </c>
      <c r="Q176" s="12">
        <v>3100000000</v>
      </c>
      <c r="R176" s="12">
        <v>3100000000</v>
      </c>
      <c r="S176" s="12">
        <v>2858800000</v>
      </c>
      <c r="T176" s="12">
        <v>2845600000</v>
      </c>
    </row>
    <row r="177" spans="1:22" s="3" customFormat="1" ht="15" x14ac:dyDescent="0.2">
      <c r="A177" s="4">
        <f t="shared" si="54"/>
        <v>170</v>
      </c>
      <c r="B177" s="5" t="str">
        <f>VLOOKUP(C177,$W:$X,2,0)</f>
        <v>0305</v>
      </c>
      <c r="C177" s="23" t="s">
        <v>42</v>
      </c>
      <c r="D177" s="4" t="s">
        <v>225</v>
      </c>
      <c r="E177" s="5"/>
      <c r="F177" s="23" t="s">
        <v>378</v>
      </c>
      <c r="G177" s="5" t="s">
        <v>596</v>
      </c>
      <c r="H177" s="4" t="s">
        <v>591</v>
      </c>
      <c r="I177" s="4" t="s">
        <v>376</v>
      </c>
      <c r="J177" s="4" t="s">
        <v>53</v>
      </c>
      <c r="K177" s="4" t="s">
        <v>53</v>
      </c>
      <c r="L177" s="6" t="s">
        <v>53</v>
      </c>
      <c r="M177" s="6" t="s">
        <v>53</v>
      </c>
      <c r="N177" s="6" t="s">
        <v>53</v>
      </c>
      <c r="O177" s="4"/>
      <c r="P177" s="102">
        <v>3219000000</v>
      </c>
      <c r="Q177" s="12">
        <v>3100000000</v>
      </c>
      <c r="R177" s="12">
        <v>3100000000</v>
      </c>
      <c r="S177" s="12">
        <v>2858800000</v>
      </c>
      <c r="T177" s="12">
        <v>2845600000</v>
      </c>
    </row>
    <row r="178" spans="1:22" s="3" customFormat="1" ht="15" x14ac:dyDescent="0.2">
      <c r="A178" s="4">
        <f t="shared" si="54"/>
        <v>171</v>
      </c>
      <c r="B178" s="5" t="str">
        <f>VLOOKUP(C178,$W:$X,2,0)</f>
        <v>0305</v>
      </c>
      <c r="C178" s="23" t="s">
        <v>42</v>
      </c>
      <c r="D178" s="4" t="s">
        <v>225</v>
      </c>
      <c r="E178" s="5"/>
      <c r="F178" s="23" t="s">
        <v>378</v>
      </c>
      <c r="G178" s="5" t="s">
        <v>597</v>
      </c>
      <c r="H178" s="4" t="s">
        <v>591</v>
      </c>
      <c r="I178" s="4" t="s">
        <v>376</v>
      </c>
      <c r="J178" s="4" t="s">
        <v>53</v>
      </c>
      <c r="K178" s="4" t="s">
        <v>53</v>
      </c>
      <c r="L178" s="6" t="s">
        <v>53</v>
      </c>
      <c r="M178" s="6" t="s">
        <v>53</v>
      </c>
      <c r="N178" s="6" t="s">
        <v>53</v>
      </c>
      <c r="O178" s="4"/>
      <c r="P178" s="102">
        <v>3219000000</v>
      </c>
      <c r="Q178" s="12">
        <v>4650000000</v>
      </c>
      <c r="R178" s="12">
        <v>4650000000</v>
      </c>
      <c r="S178" s="12">
        <v>4288200000</v>
      </c>
      <c r="T178" s="12">
        <v>4268400000</v>
      </c>
    </row>
    <row r="179" spans="1:22" s="3" customFormat="1" ht="15" x14ac:dyDescent="0.2">
      <c r="A179" s="4">
        <f t="shared" si="54"/>
        <v>172</v>
      </c>
      <c r="B179" s="5" t="str">
        <f>VLOOKUP(C179,$W:$X,2,0)</f>
        <v>0305</v>
      </c>
      <c r="C179" s="23" t="s">
        <v>42</v>
      </c>
      <c r="D179" s="4" t="s">
        <v>225</v>
      </c>
      <c r="E179" s="5"/>
      <c r="F179" s="23" t="s">
        <v>378</v>
      </c>
      <c r="G179" s="5" t="s">
        <v>599</v>
      </c>
      <c r="H179" s="4" t="s">
        <v>591</v>
      </c>
      <c r="I179" s="4" t="s">
        <v>376</v>
      </c>
      <c r="J179" s="4" t="s">
        <v>53</v>
      </c>
      <c r="K179" s="4" t="s">
        <v>53</v>
      </c>
      <c r="L179" s="6" t="s">
        <v>53</v>
      </c>
      <c r="M179" s="6" t="s">
        <v>53</v>
      </c>
      <c r="N179" s="6" t="s">
        <v>53</v>
      </c>
      <c r="O179" s="4"/>
      <c r="P179" s="102">
        <v>2600000000</v>
      </c>
      <c r="Q179" s="12">
        <v>2600000000</v>
      </c>
      <c r="R179" s="12">
        <v>0</v>
      </c>
      <c r="S179" s="12">
        <v>0</v>
      </c>
      <c r="T179" s="12">
        <v>0</v>
      </c>
    </row>
    <row r="180" spans="1:22" s="3" customFormat="1" ht="15" x14ac:dyDescent="0.2">
      <c r="A180" s="4">
        <f t="shared" si="54"/>
        <v>173</v>
      </c>
      <c r="B180" s="5" t="str">
        <f>VLOOKUP(C180,$W:$X,2,0)</f>
        <v>0399</v>
      </c>
      <c r="C180" s="23" t="s">
        <v>32</v>
      </c>
      <c r="D180" s="4" t="s">
        <v>225</v>
      </c>
      <c r="E180" s="5"/>
      <c r="F180" s="23" t="s">
        <v>611</v>
      </c>
      <c r="G180" s="5" t="s">
        <v>615</v>
      </c>
      <c r="H180" s="4" t="s">
        <v>622</v>
      </c>
      <c r="I180" s="4" t="s">
        <v>376</v>
      </c>
      <c r="J180" s="4" t="s">
        <v>53</v>
      </c>
      <c r="K180" s="4" t="s">
        <v>53</v>
      </c>
      <c r="L180" s="6" t="s">
        <v>53</v>
      </c>
      <c r="M180" s="6" t="s">
        <v>53</v>
      </c>
      <c r="N180" s="6" t="s">
        <v>53</v>
      </c>
      <c r="O180" s="4"/>
      <c r="P180" s="102">
        <v>0</v>
      </c>
      <c r="Q180" s="12">
        <v>3079270383</v>
      </c>
      <c r="R180" s="12">
        <v>3151868626</v>
      </c>
      <c r="S180" s="12">
        <v>2694794778</v>
      </c>
      <c r="T180" s="12">
        <v>885545044</v>
      </c>
    </row>
    <row r="181" spans="1:22" s="3" customFormat="1" ht="15" x14ac:dyDescent="0.2">
      <c r="A181" s="4">
        <f t="shared" si="54"/>
        <v>174</v>
      </c>
      <c r="B181" s="5" t="str">
        <f>VLOOKUP(C181,$W:$X,2,0)</f>
        <v>0399</v>
      </c>
      <c r="C181" s="23" t="s">
        <v>32</v>
      </c>
      <c r="D181" s="4" t="s">
        <v>225</v>
      </c>
      <c r="E181" s="5"/>
      <c r="F181" s="23" t="s">
        <v>611</v>
      </c>
      <c r="G181" s="5" t="s">
        <v>616</v>
      </c>
      <c r="H181" s="4" t="s">
        <v>622</v>
      </c>
      <c r="I181" s="4" t="s">
        <v>376</v>
      </c>
      <c r="J181" s="4" t="s">
        <v>53</v>
      </c>
      <c r="K181" s="4" t="s">
        <v>53</v>
      </c>
      <c r="L181" s="6" t="s">
        <v>53</v>
      </c>
      <c r="M181" s="6" t="s">
        <v>53</v>
      </c>
      <c r="N181" s="6" t="s">
        <v>53</v>
      </c>
      <c r="O181" s="4"/>
      <c r="P181" s="102">
        <v>0</v>
      </c>
      <c r="Q181" s="12">
        <v>0</v>
      </c>
      <c r="R181" s="12">
        <v>0</v>
      </c>
      <c r="S181" s="12">
        <v>936703225</v>
      </c>
      <c r="T181" s="12">
        <v>931923957</v>
      </c>
    </row>
    <row r="182" spans="1:22" s="3" customFormat="1" ht="15" x14ac:dyDescent="0.2">
      <c r="A182" s="4">
        <f t="shared" si="54"/>
        <v>175</v>
      </c>
      <c r="B182" s="5" t="str">
        <f>VLOOKUP(C182,$W:$X,2,0)</f>
        <v>0399</v>
      </c>
      <c r="C182" s="23" t="s">
        <v>32</v>
      </c>
      <c r="D182" s="4" t="s">
        <v>225</v>
      </c>
      <c r="E182" s="5"/>
      <c r="F182" s="23" t="s">
        <v>611</v>
      </c>
      <c r="G182" s="5" t="s">
        <v>617</v>
      </c>
      <c r="H182" s="4" t="s">
        <v>622</v>
      </c>
      <c r="I182" s="4" t="s">
        <v>376</v>
      </c>
      <c r="J182" s="4" t="s">
        <v>53</v>
      </c>
      <c r="K182" s="4" t="s">
        <v>53</v>
      </c>
      <c r="L182" s="6" t="s">
        <v>53</v>
      </c>
      <c r="M182" s="6" t="s">
        <v>53</v>
      </c>
      <c r="N182" s="6" t="s">
        <v>53</v>
      </c>
      <c r="O182" s="4"/>
      <c r="P182" s="102">
        <v>0</v>
      </c>
      <c r="Q182" s="12">
        <v>107749230</v>
      </c>
      <c r="R182" s="12">
        <v>202779947</v>
      </c>
      <c r="S182" s="12">
        <v>264789559</v>
      </c>
      <c r="T182" s="12">
        <v>240368654</v>
      </c>
    </row>
    <row r="183" spans="1:22" s="3" customFormat="1" ht="15" x14ac:dyDescent="0.2">
      <c r="A183" s="4">
        <f t="shared" si="54"/>
        <v>176</v>
      </c>
      <c r="B183" s="5" t="str">
        <f>VLOOKUP(C183,$W:$X,2,0)</f>
        <v>0399</v>
      </c>
      <c r="C183" s="23" t="s">
        <v>32</v>
      </c>
      <c r="D183" s="4" t="s">
        <v>225</v>
      </c>
      <c r="E183" s="5"/>
      <c r="F183" s="23" t="s">
        <v>611</v>
      </c>
      <c r="G183" s="5" t="s">
        <v>618</v>
      </c>
      <c r="H183" s="4" t="s">
        <v>622</v>
      </c>
      <c r="I183" s="4" t="s">
        <v>376</v>
      </c>
      <c r="J183" s="4" t="s">
        <v>53</v>
      </c>
      <c r="K183" s="4" t="s">
        <v>53</v>
      </c>
      <c r="L183" s="6" t="s">
        <v>53</v>
      </c>
      <c r="M183" s="6" t="s">
        <v>53</v>
      </c>
      <c r="N183" s="6" t="s">
        <v>53</v>
      </c>
      <c r="O183" s="4"/>
      <c r="P183" s="102">
        <v>0</v>
      </c>
      <c r="Q183" s="12">
        <v>105590059</v>
      </c>
      <c r="R183" s="12">
        <v>167188434</v>
      </c>
      <c r="S183" s="12">
        <v>216118647</v>
      </c>
      <c r="T183" s="12">
        <v>249477939</v>
      </c>
    </row>
    <row r="184" spans="1:22" s="3" customFormat="1" ht="15" x14ac:dyDescent="0.2">
      <c r="A184" s="4">
        <f t="shared" si="54"/>
        <v>177</v>
      </c>
      <c r="B184" s="5" t="str">
        <f>VLOOKUP(C184,$W:$X,2,0)</f>
        <v>0399</v>
      </c>
      <c r="C184" s="23" t="s">
        <v>32</v>
      </c>
      <c r="D184" s="4" t="s">
        <v>225</v>
      </c>
      <c r="E184" s="5"/>
      <c r="F184" s="23" t="s">
        <v>611</v>
      </c>
      <c r="G184" s="5" t="s">
        <v>619</v>
      </c>
      <c r="H184" s="4" t="s">
        <v>622</v>
      </c>
      <c r="I184" s="4" t="s">
        <v>376</v>
      </c>
      <c r="J184" s="4" t="s">
        <v>53</v>
      </c>
      <c r="K184" s="4" t="s">
        <v>53</v>
      </c>
      <c r="L184" s="6" t="s">
        <v>53</v>
      </c>
      <c r="M184" s="6" t="s">
        <v>53</v>
      </c>
      <c r="N184" s="6" t="s">
        <v>53</v>
      </c>
      <c r="O184" s="4"/>
      <c r="P184" s="102">
        <v>0</v>
      </c>
      <c r="Q184" s="12">
        <v>0</v>
      </c>
      <c r="R184" s="12">
        <v>0</v>
      </c>
      <c r="S184" s="12">
        <v>0</v>
      </c>
      <c r="T184" s="12">
        <v>1859969393</v>
      </c>
    </row>
    <row r="185" spans="1:22" s="3" customFormat="1" ht="15" x14ac:dyDescent="0.2">
      <c r="A185" s="4">
        <f t="shared" si="54"/>
        <v>178</v>
      </c>
      <c r="B185" s="5" t="str">
        <f>VLOOKUP(C185,$W:$X,2,0)</f>
        <v>0307</v>
      </c>
      <c r="C185" s="23" t="s">
        <v>188</v>
      </c>
      <c r="D185" s="4" t="s">
        <v>225</v>
      </c>
      <c r="E185" s="5" t="s">
        <v>667</v>
      </c>
      <c r="F185" s="23" t="s">
        <v>636</v>
      </c>
      <c r="G185" s="5" t="s">
        <v>645</v>
      </c>
      <c r="H185" s="4" t="s">
        <v>666</v>
      </c>
      <c r="I185" s="4" t="s">
        <v>376</v>
      </c>
      <c r="J185" s="4" t="s">
        <v>53</v>
      </c>
      <c r="K185" s="4" t="s">
        <v>53</v>
      </c>
      <c r="L185" s="6" t="s">
        <v>53</v>
      </c>
      <c r="M185" s="6" t="s">
        <v>53</v>
      </c>
      <c r="N185" s="6" t="s">
        <v>53</v>
      </c>
      <c r="O185" s="4"/>
      <c r="P185" s="102">
        <v>0</v>
      </c>
      <c r="Q185" s="12">
        <v>490849503</v>
      </c>
      <c r="R185" s="12">
        <v>300807399</v>
      </c>
      <c r="S185" s="12">
        <v>968068071</v>
      </c>
      <c r="T185" s="12">
        <v>0</v>
      </c>
    </row>
    <row r="186" spans="1:22" s="3" customFormat="1" ht="15" x14ac:dyDescent="0.2">
      <c r="A186" s="4">
        <f t="shared" si="54"/>
        <v>179</v>
      </c>
      <c r="B186" s="5" t="str">
        <f>VLOOKUP(C186,$W:$X,2,0)</f>
        <v>0307</v>
      </c>
      <c r="C186" s="23" t="s">
        <v>188</v>
      </c>
      <c r="D186" s="4" t="s">
        <v>225</v>
      </c>
      <c r="E186" s="5" t="s">
        <v>667</v>
      </c>
      <c r="F186" s="23" t="s">
        <v>636</v>
      </c>
      <c r="G186" s="5" t="s">
        <v>646</v>
      </c>
      <c r="H186" s="4" t="s">
        <v>666</v>
      </c>
      <c r="I186" s="4" t="s">
        <v>375</v>
      </c>
      <c r="J186" s="4" t="s">
        <v>53</v>
      </c>
      <c r="K186" s="4" t="s">
        <v>53</v>
      </c>
      <c r="L186" s="6" t="s">
        <v>53</v>
      </c>
      <c r="M186" s="6" t="s">
        <v>53</v>
      </c>
      <c r="N186" s="6" t="s">
        <v>53</v>
      </c>
      <c r="O186" s="4"/>
      <c r="P186" s="102">
        <v>0</v>
      </c>
      <c r="Q186" s="12">
        <v>0</v>
      </c>
      <c r="R186" s="12">
        <v>580723000</v>
      </c>
      <c r="S186" s="12">
        <v>763985712</v>
      </c>
      <c r="T186" s="12">
        <v>661730052</v>
      </c>
    </row>
    <row r="187" spans="1:22" s="3" customFormat="1" ht="15" x14ac:dyDescent="0.2">
      <c r="A187" s="4">
        <f t="shared" si="54"/>
        <v>180</v>
      </c>
      <c r="B187" s="5" t="str">
        <f>VLOOKUP(C187,$W:$X,2,0)</f>
        <v>0307</v>
      </c>
      <c r="C187" s="23" t="s">
        <v>188</v>
      </c>
      <c r="D187" s="4" t="s">
        <v>225</v>
      </c>
      <c r="E187" s="5" t="s">
        <v>667</v>
      </c>
      <c r="F187" s="23" t="s">
        <v>636</v>
      </c>
      <c r="G187" s="5" t="s">
        <v>482</v>
      </c>
      <c r="H187" s="4" t="s">
        <v>666</v>
      </c>
      <c r="I187" s="4" t="s">
        <v>376</v>
      </c>
      <c r="J187" s="4" t="s">
        <v>53</v>
      </c>
      <c r="K187" s="4" t="s">
        <v>53</v>
      </c>
      <c r="L187" s="6" t="s">
        <v>53</v>
      </c>
      <c r="M187" s="6" t="s">
        <v>53</v>
      </c>
      <c r="N187" s="6" t="s">
        <v>53</v>
      </c>
      <c r="O187" s="4"/>
      <c r="P187" s="102">
        <v>0</v>
      </c>
      <c r="Q187" s="12">
        <v>0</v>
      </c>
      <c r="R187" s="12">
        <v>0</v>
      </c>
      <c r="S187" s="12">
        <v>0</v>
      </c>
      <c r="T187" s="12">
        <v>1022596897</v>
      </c>
    </row>
    <row r="188" spans="1:22" s="3" customFormat="1" ht="15" x14ac:dyDescent="0.2">
      <c r="A188" s="4">
        <f t="shared" si="54"/>
        <v>181</v>
      </c>
      <c r="B188" s="5" t="str">
        <f>VLOOKUP(C188,$W:$X,2,0)</f>
        <v>0307</v>
      </c>
      <c r="C188" s="23" t="s">
        <v>188</v>
      </c>
      <c r="D188" s="4" t="s">
        <v>225</v>
      </c>
      <c r="E188" s="5" t="s">
        <v>667</v>
      </c>
      <c r="F188" s="23" t="s">
        <v>636</v>
      </c>
      <c r="G188" s="5" t="s">
        <v>647</v>
      </c>
      <c r="H188" s="4" t="s">
        <v>666</v>
      </c>
      <c r="I188" s="4" t="s">
        <v>376</v>
      </c>
      <c r="J188" s="4" t="s">
        <v>53</v>
      </c>
      <c r="K188" s="4" t="s">
        <v>53</v>
      </c>
      <c r="L188" s="6" t="s">
        <v>53</v>
      </c>
      <c r="M188" s="6" t="s">
        <v>53</v>
      </c>
      <c r="N188" s="6" t="s">
        <v>53</v>
      </c>
      <c r="O188" s="4"/>
      <c r="P188" s="102">
        <v>0</v>
      </c>
      <c r="Q188" s="12">
        <v>0</v>
      </c>
      <c r="R188" s="12">
        <v>0</v>
      </c>
      <c r="S188" s="12">
        <v>0</v>
      </c>
      <c r="T188" s="12">
        <v>1728081046</v>
      </c>
    </row>
    <row r="189" spans="1:22" s="3" customFormat="1" ht="15" x14ac:dyDescent="0.2">
      <c r="A189" s="4">
        <f t="shared" si="54"/>
        <v>182</v>
      </c>
      <c r="B189" s="5" t="str">
        <f>VLOOKUP(C189,$W:$X,2,0)</f>
        <v>0307</v>
      </c>
      <c r="C189" s="23" t="s">
        <v>188</v>
      </c>
      <c r="D189" s="4" t="s">
        <v>225</v>
      </c>
      <c r="E189" s="5" t="s">
        <v>667</v>
      </c>
      <c r="F189" s="23" t="s">
        <v>636</v>
      </c>
      <c r="G189" s="5" t="s">
        <v>648</v>
      </c>
      <c r="H189" s="4" t="s">
        <v>666</v>
      </c>
      <c r="I189" s="4" t="s">
        <v>376</v>
      </c>
      <c r="J189" s="4" t="s">
        <v>53</v>
      </c>
      <c r="K189" s="4" t="s">
        <v>53</v>
      </c>
      <c r="L189" s="6" t="s">
        <v>53</v>
      </c>
      <c r="M189" s="6" t="s">
        <v>53</v>
      </c>
      <c r="N189" s="6" t="s">
        <v>53</v>
      </c>
      <c r="O189" s="4"/>
      <c r="P189" s="102">
        <v>0</v>
      </c>
      <c r="Q189" s="12">
        <v>0</v>
      </c>
      <c r="R189" s="12">
        <v>0</v>
      </c>
      <c r="S189" s="12">
        <v>0</v>
      </c>
      <c r="T189" s="12">
        <v>3000000000</v>
      </c>
    </row>
    <row r="190" spans="1:22" s="3" customFormat="1" ht="15" x14ac:dyDescent="0.2">
      <c r="A190" s="4">
        <f t="shared" si="54"/>
        <v>183</v>
      </c>
      <c r="B190" s="5" t="str">
        <f>VLOOKUP(C190,$W:$X,2,0)</f>
        <v>0307</v>
      </c>
      <c r="C190" s="23" t="s">
        <v>188</v>
      </c>
      <c r="D190" s="4" t="s">
        <v>225</v>
      </c>
      <c r="E190" s="5" t="s">
        <v>667</v>
      </c>
      <c r="F190" s="23" t="s">
        <v>636</v>
      </c>
      <c r="G190" s="5" t="s">
        <v>649</v>
      </c>
      <c r="H190" s="4" t="s">
        <v>666</v>
      </c>
      <c r="I190" s="4" t="s">
        <v>376</v>
      </c>
      <c r="J190" s="4" t="s">
        <v>53</v>
      </c>
      <c r="K190" s="4" t="s">
        <v>53</v>
      </c>
      <c r="L190" s="6" t="s">
        <v>53</v>
      </c>
      <c r="M190" s="6" t="s">
        <v>53</v>
      </c>
      <c r="N190" s="6" t="s">
        <v>53</v>
      </c>
      <c r="O190" s="4"/>
      <c r="P190" s="102">
        <v>0</v>
      </c>
      <c r="Q190" s="12">
        <v>0</v>
      </c>
      <c r="R190" s="12">
        <v>0</v>
      </c>
      <c r="S190" s="12">
        <v>0</v>
      </c>
      <c r="T190" s="12">
        <v>1619992451</v>
      </c>
    </row>
    <row r="191" spans="1:22" s="3" customFormat="1" ht="15" x14ac:dyDescent="0.2">
      <c r="A191" s="4">
        <f t="shared" si="54"/>
        <v>184</v>
      </c>
      <c r="B191" s="5" t="str">
        <f>VLOOKUP(C191,$W:$X,2,0)</f>
        <v>0307</v>
      </c>
      <c r="C191" s="23" t="s">
        <v>188</v>
      </c>
      <c r="D191" s="4" t="s">
        <v>225</v>
      </c>
      <c r="E191" s="5" t="s">
        <v>667</v>
      </c>
      <c r="F191" s="23" t="s">
        <v>636</v>
      </c>
      <c r="G191" s="5" t="s">
        <v>658</v>
      </c>
      <c r="H191" s="4" t="s">
        <v>666</v>
      </c>
      <c r="I191" s="4" t="s">
        <v>376</v>
      </c>
      <c r="J191" s="4" t="s">
        <v>53</v>
      </c>
      <c r="K191" s="4" t="s">
        <v>53</v>
      </c>
      <c r="L191" s="6" t="s">
        <v>53</v>
      </c>
      <c r="M191" s="6" t="s">
        <v>53</v>
      </c>
      <c r="N191" s="6" t="s">
        <v>53</v>
      </c>
      <c r="O191" s="4"/>
      <c r="P191" s="102">
        <v>0</v>
      </c>
      <c r="Q191" s="12">
        <v>376556671</v>
      </c>
      <c r="R191" s="12">
        <v>0</v>
      </c>
      <c r="S191" s="12">
        <v>0</v>
      </c>
      <c r="T191" s="12">
        <v>0</v>
      </c>
    </row>
    <row r="192" spans="1:22" s="3" customFormat="1" ht="15" x14ac:dyDescent="0.2">
      <c r="A192" s="4">
        <f t="shared" si="54"/>
        <v>185</v>
      </c>
      <c r="B192" s="5" t="str">
        <f>VLOOKUP(C192,$W:$X,2,0)</f>
        <v>0305</v>
      </c>
      <c r="C192" s="23" t="s">
        <v>42</v>
      </c>
      <c r="D192" s="4" t="s">
        <v>225</v>
      </c>
      <c r="E192" s="5" t="s">
        <v>667</v>
      </c>
      <c r="F192" s="23" t="s">
        <v>636</v>
      </c>
      <c r="G192" s="5" t="s">
        <v>660</v>
      </c>
      <c r="H192" s="4" t="s">
        <v>666</v>
      </c>
      <c r="I192" s="4" t="s">
        <v>376</v>
      </c>
      <c r="J192" s="4" t="s">
        <v>53</v>
      </c>
      <c r="K192" s="4" t="s">
        <v>53</v>
      </c>
      <c r="L192" s="6" t="s">
        <v>53</v>
      </c>
      <c r="M192" s="6" t="s">
        <v>53</v>
      </c>
      <c r="N192" s="6" t="s">
        <v>53</v>
      </c>
      <c r="O192" s="4"/>
      <c r="P192" s="102">
        <v>2669194800</v>
      </c>
      <c r="Q192" s="12">
        <v>0</v>
      </c>
      <c r="R192" s="12">
        <v>0</v>
      </c>
      <c r="S192" s="12">
        <v>0</v>
      </c>
      <c r="T192" s="12">
        <v>0</v>
      </c>
      <c r="U192" s="25"/>
      <c r="V192" s="24"/>
    </row>
    <row r="193" spans="1:22" s="3" customFormat="1" ht="15" x14ac:dyDescent="0.2">
      <c r="A193" s="4">
        <f t="shared" si="54"/>
        <v>186</v>
      </c>
      <c r="B193" s="5" t="str">
        <f>VLOOKUP(C193,$W:$X,2,0)</f>
        <v>0305</v>
      </c>
      <c r="C193" s="23" t="s">
        <v>42</v>
      </c>
      <c r="D193" s="4" t="s">
        <v>225</v>
      </c>
      <c r="E193" s="5" t="s">
        <v>667</v>
      </c>
      <c r="F193" s="23" t="s">
        <v>636</v>
      </c>
      <c r="G193" s="5" t="s">
        <v>663</v>
      </c>
      <c r="H193" s="4" t="s">
        <v>666</v>
      </c>
      <c r="I193" s="4" t="s">
        <v>376</v>
      </c>
      <c r="J193" s="4" t="s">
        <v>53</v>
      </c>
      <c r="K193" s="4" t="s">
        <v>53</v>
      </c>
      <c r="L193" s="6" t="s">
        <v>53</v>
      </c>
      <c r="M193" s="6" t="s">
        <v>53</v>
      </c>
      <c r="N193" s="6" t="s">
        <v>53</v>
      </c>
      <c r="O193" s="4"/>
      <c r="P193" s="102">
        <v>2041200000</v>
      </c>
      <c r="Q193" s="12">
        <v>0</v>
      </c>
      <c r="R193" s="12">
        <v>0</v>
      </c>
      <c r="S193" s="12">
        <v>0</v>
      </c>
      <c r="T193" s="12">
        <v>0</v>
      </c>
      <c r="U193" s="25"/>
      <c r="V193" s="24"/>
    </row>
    <row r="194" spans="1:22" s="3" customFormat="1" ht="15" x14ac:dyDescent="0.2">
      <c r="A194" s="4">
        <f t="shared" si="54"/>
        <v>187</v>
      </c>
      <c r="B194" s="5" t="str">
        <f>VLOOKUP(C194,$W:$X,2,0)</f>
        <v>0305</v>
      </c>
      <c r="C194" s="23" t="s">
        <v>42</v>
      </c>
      <c r="D194" s="4" t="s">
        <v>225</v>
      </c>
      <c r="E194" s="5" t="s">
        <v>667</v>
      </c>
      <c r="F194" s="23" t="s">
        <v>636</v>
      </c>
      <c r="G194" s="5" t="s">
        <v>664</v>
      </c>
      <c r="H194" s="4" t="s">
        <v>666</v>
      </c>
      <c r="I194" s="4" t="s">
        <v>376</v>
      </c>
      <c r="J194" s="4" t="s">
        <v>53</v>
      </c>
      <c r="K194" s="4" t="s">
        <v>53</v>
      </c>
      <c r="L194" s="6" t="s">
        <v>53</v>
      </c>
      <c r="M194" s="6" t="s">
        <v>53</v>
      </c>
      <c r="N194" s="6" t="s">
        <v>53</v>
      </c>
      <c r="O194" s="4"/>
      <c r="P194" s="102">
        <v>1940000000</v>
      </c>
      <c r="Q194" s="12">
        <v>0</v>
      </c>
      <c r="R194" s="12">
        <v>0</v>
      </c>
      <c r="S194" s="12">
        <v>0</v>
      </c>
      <c r="T194" s="12">
        <v>0</v>
      </c>
      <c r="U194" s="25"/>
      <c r="V194" s="24"/>
    </row>
    <row r="195" spans="1:22" s="3" customFormat="1" ht="15" x14ac:dyDescent="0.2">
      <c r="A195" s="4">
        <f t="shared" si="54"/>
        <v>188</v>
      </c>
      <c r="B195" s="5" t="str">
        <f>VLOOKUP(C195,$W:$X,2,0)</f>
        <v>0307</v>
      </c>
      <c r="C195" s="23" t="s">
        <v>188</v>
      </c>
      <c r="D195" s="4" t="s">
        <v>225</v>
      </c>
      <c r="E195" s="5"/>
      <c r="F195" s="23" t="s">
        <v>678</v>
      </c>
      <c r="G195" s="5" t="s">
        <v>670</v>
      </c>
      <c r="H195" s="4" t="s">
        <v>679</v>
      </c>
      <c r="I195" s="4" t="s">
        <v>376</v>
      </c>
      <c r="J195" s="4" t="s">
        <v>53</v>
      </c>
      <c r="K195" s="4" t="s">
        <v>53</v>
      </c>
      <c r="L195" s="6" t="s">
        <v>53</v>
      </c>
      <c r="M195" s="6" t="s">
        <v>53</v>
      </c>
      <c r="N195" s="6" t="s">
        <v>53</v>
      </c>
      <c r="O195" s="4"/>
      <c r="P195" s="102">
        <v>0</v>
      </c>
      <c r="Q195" s="12">
        <v>0</v>
      </c>
      <c r="R195" s="12">
        <v>0</v>
      </c>
      <c r="S195" s="12">
        <v>1052659450</v>
      </c>
      <c r="T195" s="12">
        <v>1072392000</v>
      </c>
    </row>
    <row r="196" spans="1:22" s="3" customFormat="1" ht="15" x14ac:dyDescent="0.2">
      <c r="A196" s="4">
        <f t="shared" si="54"/>
        <v>189</v>
      </c>
      <c r="B196" s="5" t="str">
        <f>VLOOKUP(C196,$W:$X,2,0)</f>
        <v>0307</v>
      </c>
      <c r="C196" s="23" t="s">
        <v>188</v>
      </c>
      <c r="D196" s="4" t="s">
        <v>225</v>
      </c>
      <c r="E196" s="5"/>
      <c r="F196" s="23" t="s">
        <v>678</v>
      </c>
      <c r="G196" s="5" t="s">
        <v>671</v>
      </c>
      <c r="H196" s="4" t="s">
        <v>679</v>
      </c>
      <c r="I196" s="4" t="s">
        <v>376</v>
      </c>
      <c r="J196" s="4" t="s">
        <v>53</v>
      </c>
      <c r="K196" s="4" t="s">
        <v>53</v>
      </c>
      <c r="L196" s="6" t="s">
        <v>53</v>
      </c>
      <c r="M196" s="6" t="s">
        <v>53</v>
      </c>
      <c r="N196" s="6" t="s">
        <v>53</v>
      </c>
      <c r="O196" s="4"/>
      <c r="P196" s="102">
        <v>0</v>
      </c>
      <c r="Q196" s="12">
        <v>0</v>
      </c>
      <c r="R196" s="12">
        <v>0</v>
      </c>
      <c r="S196" s="12">
        <v>908816730</v>
      </c>
      <c r="T196" s="12">
        <v>895007000</v>
      </c>
    </row>
    <row r="197" spans="1:22" s="3" customFormat="1" ht="15" x14ac:dyDescent="0.2">
      <c r="A197" s="4">
        <f t="shared" si="54"/>
        <v>190</v>
      </c>
      <c r="B197" s="5" t="str">
        <f>VLOOKUP(C197,$W:$X,2,0)</f>
        <v>0307</v>
      </c>
      <c r="C197" s="23" t="s">
        <v>188</v>
      </c>
      <c r="D197" s="4" t="s">
        <v>225</v>
      </c>
      <c r="E197" s="5"/>
      <c r="F197" s="23" t="s">
        <v>678</v>
      </c>
      <c r="G197" s="5" t="s">
        <v>823</v>
      </c>
      <c r="H197" s="4" t="s">
        <v>679</v>
      </c>
      <c r="I197" s="4" t="s">
        <v>376</v>
      </c>
      <c r="J197" s="4" t="s">
        <v>53</v>
      </c>
      <c r="K197" s="4" t="s">
        <v>53</v>
      </c>
      <c r="L197" s="6" t="s">
        <v>53</v>
      </c>
      <c r="M197" s="6" t="s">
        <v>53</v>
      </c>
      <c r="N197" s="6" t="s">
        <v>53</v>
      </c>
      <c r="O197" s="4"/>
      <c r="P197" s="102">
        <v>5450835</v>
      </c>
      <c r="Q197" s="12">
        <v>0</v>
      </c>
      <c r="R197" s="12">
        <v>0</v>
      </c>
      <c r="S197" s="12">
        <v>0</v>
      </c>
      <c r="T197" s="12">
        <v>0</v>
      </c>
    </row>
    <row r="198" spans="1:22" s="3" customFormat="1" ht="15" x14ac:dyDescent="0.2">
      <c r="A198" s="4">
        <f t="shared" si="54"/>
        <v>191</v>
      </c>
      <c r="B198" s="5" t="str">
        <f>VLOOKUP(C198,$W:$X,2,0)</f>
        <v>0399</v>
      </c>
      <c r="C198" s="23" t="s">
        <v>32</v>
      </c>
      <c r="D198" s="4" t="s">
        <v>225</v>
      </c>
      <c r="E198" s="5" t="s">
        <v>758</v>
      </c>
      <c r="F198" s="23" t="s">
        <v>713</v>
      </c>
      <c r="G198" s="5" t="s">
        <v>722</v>
      </c>
      <c r="H198" s="4" t="s">
        <v>683</v>
      </c>
      <c r="I198" s="4" t="s">
        <v>376</v>
      </c>
      <c r="J198" s="4" t="s">
        <v>53</v>
      </c>
      <c r="K198" s="4" t="s">
        <v>53</v>
      </c>
      <c r="L198" s="6" t="s">
        <v>53</v>
      </c>
      <c r="M198" s="6" t="s">
        <v>53</v>
      </c>
      <c r="N198" s="6" t="s">
        <v>53</v>
      </c>
      <c r="O198" s="4"/>
      <c r="P198" s="102">
        <v>0</v>
      </c>
      <c r="Q198" s="12">
        <v>0</v>
      </c>
      <c r="R198" s="12">
        <v>159446670</v>
      </c>
      <c r="S198" s="12">
        <v>159446670</v>
      </c>
      <c r="T198" s="12">
        <v>1539516000</v>
      </c>
    </row>
    <row r="199" spans="1:22" s="3" customFormat="1" ht="15" x14ac:dyDescent="0.2">
      <c r="A199" s="4">
        <f t="shared" si="54"/>
        <v>192</v>
      </c>
      <c r="B199" s="5" t="str">
        <f>VLOOKUP(C199,$W:$X,2,0)</f>
        <v>0399</v>
      </c>
      <c r="C199" s="23" t="s">
        <v>32</v>
      </c>
      <c r="D199" s="4" t="s">
        <v>225</v>
      </c>
      <c r="E199" s="5" t="s">
        <v>758</v>
      </c>
      <c r="F199" s="23" t="s">
        <v>713</v>
      </c>
      <c r="G199" s="5" t="s">
        <v>723</v>
      </c>
      <c r="H199" s="4" t="s">
        <v>683</v>
      </c>
      <c r="I199" s="4" t="s">
        <v>376</v>
      </c>
      <c r="J199" s="4" t="s">
        <v>53</v>
      </c>
      <c r="K199" s="4" t="s">
        <v>53</v>
      </c>
      <c r="L199" s="6" t="s">
        <v>53</v>
      </c>
      <c r="M199" s="6" t="s">
        <v>53</v>
      </c>
      <c r="N199" s="6" t="s">
        <v>53</v>
      </c>
      <c r="O199" s="4"/>
      <c r="P199" s="102">
        <v>0</v>
      </c>
      <c r="Q199" s="12">
        <v>0</v>
      </c>
      <c r="R199" s="12">
        <v>110528100</v>
      </c>
      <c r="S199" s="12">
        <v>110528100</v>
      </c>
      <c r="T199" s="12">
        <v>1070000000</v>
      </c>
    </row>
    <row r="200" spans="1:22" s="3" customFormat="1" ht="15" x14ac:dyDescent="0.2">
      <c r="A200" s="4">
        <f t="shared" si="54"/>
        <v>193</v>
      </c>
      <c r="B200" s="5" t="str">
        <f>VLOOKUP(C200,$W:$X,2,0)</f>
        <v>0399</v>
      </c>
      <c r="C200" s="23" t="s">
        <v>32</v>
      </c>
      <c r="D200" s="4" t="s">
        <v>225</v>
      </c>
      <c r="E200" s="5" t="s">
        <v>758</v>
      </c>
      <c r="F200" s="23" t="s">
        <v>713</v>
      </c>
      <c r="G200" s="5" t="s">
        <v>724</v>
      </c>
      <c r="H200" s="4" t="s">
        <v>683</v>
      </c>
      <c r="I200" s="4" t="s">
        <v>376</v>
      </c>
      <c r="J200" s="4" t="s">
        <v>53</v>
      </c>
      <c r="K200" s="4" t="s">
        <v>53</v>
      </c>
      <c r="L200" s="6" t="s">
        <v>53</v>
      </c>
      <c r="M200" s="6" t="s">
        <v>53</v>
      </c>
      <c r="N200" s="6" t="s">
        <v>53</v>
      </c>
      <c r="O200" s="4"/>
      <c r="P200" s="102">
        <v>0</v>
      </c>
      <c r="Q200" s="12">
        <v>0</v>
      </c>
      <c r="R200" s="12">
        <v>113677428</v>
      </c>
      <c r="S200" s="12">
        <v>113677428</v>
      </c>
      <c r="T200" s="12">
        <v>1000000000</v>
      </c>
    </row>
    <row r="201" spans="1:22" s="3" customFormat="1" ht="15" x14ac:dyDescent="0.2">
      <c r="A201" s="4">
        <f t="shared" si="54"/>
        <v>194</v>
      </c>
      <c r="B201" s="5" t="str">
        <f>VLOOKUP(C201,$W:$X,2,0)</f>
        <v>0399</v>
      </c>
      <c r="C201" s="23" t="s">
        <v>32</v>
      </c>
      <c r="D201" s="4" t="s">
        <v>225</v>
      </c>
      <c r="E201" s="5" t="s">
        <v>758</v>
      </c>
      <c r="F201" s="23" t="s">
        <v>713</v>
      </c>
      <c r="G201" s="5" t="s">
        <v>725</v>
      </c>
      <c r="H201" s="4" t="s">
        <v>683</v>
      </c>
      <c r="I201" s="4" t="s">
        <v>376</v>
      </c>
      <c r="J201" s="4" t="s">
        <v>53</v>
      </c>
      <c r="K201" s="4" t="s">
        <v>53</v>
      </c>
      <c r="L201" s="6" t="s">
        <v>53</v>
      </c>
      <c r="M201" s="6" t="s">
        <v>53</v>
      </c>
      <c r="N201" s="6" t="s">
        <v>53</v>
      </c>
      <c r="O201" s="4"/>
      <c r="P201" s="102">
        <v>0</v>
      </c>
      <c r="Q201" s="12">
        <v>0</v>
      </c>
      <c r="R201" s="12">
        <v>265205093</v>
      </c>
      <c r="S201" s="12">
        <v>265205093</v>
      </c>
      <c r="T201" s="12">
        <v>1265860000</v>
      </c>
    </row>
    <row r="202" spans="1:22" s="3" customFormat="1" ht="15" x14ac:dyDescent="0.2">
      <c r="A202" s="4">
        <f t="shared" ref="A202:A215" si="55">A201+1</f>
        <v>195</v>
      </c>
      <c r="B202" s="5" t="str">
        <f>VLOOKUP(C202,$W:$X,2,0)</f>
        <v>0399</v>
      </c>
      <c r="C202" s="23" t="s">
        <v>32</v>
      </c>
      <c r="D202" s="4" t="s">
        <v>225</v>
      </c>
      <c r="E202" s="5" t="s">
        <v>758</v>
      </c>
      <c r="F202" s="23" t="s">
        <v>713</v>
      </c>
      <c r="G202" s="5" t="s">
        <v>726</v>
      </c>
      <c r="H202" s="4" t="s">
        <v>683</v>
      </c>
      <c r="I202" s="4" t="s">
        <v>376</v>
      </c>
      <c r="J202" s="4" t="s">
        <v>53</v>
      </c>
      <c r="K202" s="4" t="s">
        <v>53</v>
      </c>
      <c r="L202" s="6" t="s">
        <v>53</v>
      </c>
      <c r="M202" s="6" t="s">
        <v>53</v>
      </c>
      <c r="N202" s="6" t="s">
        <v>53</v>
      </c>
      <c r="O202" s="4"/>
      <c r="P202" s="102">
        <v>0</v>
      </c>
      <c r="Q202" s="12">
        <v>0</v>
      </c>
      <c r="R202" s="12">
        <v>321899470</v>
      </c>
      <c r="S202" s="12">
        <v>321899470</v>
      </c>
      <c r="T202" s="12">
        <v>2888028000</v>
      </c>
    </row>
    <row r="203" spans="1:22" s="3" customFormat="1" ht="15" x14ac:dyDescent="0.2">
      <c r="A203" s="4">
        <f t="shared" si="55"/>
        <v>196</v>
      </c>
      <c r="B203" s="5" t="str">
        <f>VLOOKUP(C203,$W:$X,2,0)</f>
        <v>0399</v>
      </c>
      <c r="C203" s="23" t="s">
        <v>32</v>
      </c>
      <c r="D203" s="4" t="s">
        <v>225</v>
      </c>
      <c r="E203" s="5" t="s">
        <v>758</v>
      </c>
      <c r="F203" s="23" t="s">
        <v>713</v>
      </c>
      <c r="G203" s="5" t="s">
        <v>727</v>
      </c>
      <c r="H203" s="4" t="s">
        <v>683</v>
      </c>
      <c r="I203" s="4" t="s">
        <v>376</v>
      </c>
      <c r="J203" s="4" t="s">
        <v>53</v>
      </c>
      <c r="K203" s="4" t="s">
        <v>53</v>
      </c>
      <c r="L203" s="6" t="s">
        <v>53</v>
      </c>
      <c r="M203" s="6" t="s">
        <v>53</v>
      </c>
      <c r="N203" s="6" t="s">
        <v>53</v>
      </c>
      <c r="O203" s="4"/>
      <c r="P203" s="102">
        <v>0</v>
      </c>
      <c r="Q203" s="12">
        <v>0</v>
      </c>
      <c r="R203" s="12">
        <v>200729952</v>
      </c>
      <c r="S203" s="12">
        <v>200729952</v>
      </c>
      <c r="T203" s="12">
        <v>1324395000</v>
      </c>
    </row>
    <row r="204" spans="1:22" s="3" customFormat="1" ht="15" x14ac:dyDescent="0.2">
      <c r="A204" s="4">
        <f t="shared" si="55"/>
        <v>197</v>
      </c>
      <c r="B204" s="5" t="str">
        <f>VLOOKUP(C204,$W:$X,2,0)</f>
        <v>0399</v>
      </c>
      <c r="C204" s="23" t="s">
        <v>32</v>
      </c>
      <c r="D204" s="4" t="s">
        <v>225</v>
      </c>
      <c r="E204" s="5" t="s">
        <v>758</v>
      </c>
      <c r="F204" s="23" t="s">
        <v>713</v>
      </c>
      <c r="G204" s="5" t="s">
        <v>728</v>
      </c>
      <c r="H204" s="4" t="s">
        <v>683</v>
      </c>
      <c r="I204" s="4" t="s">
        <v>376</v>
      </c>
      <c r="J204" s="4" t="s">
        <v>53</v>
      </c>
      <c r="K204" s="4" t="s">
        <v>53</v>
      </c>
      <c r="L204" s="6" t="s">
        <v>53</v>
      </c>
      <c r="M204" s="6" t="s">
        <v>53</v>
      </c>
      <c r="N204" s="6" t="s">
        <v>53</v>
      </c>
      <c r="O204" s="4"/>
      <c r="P204" s="102">
        <v>0</v>
      </c>
      <c r="Q204" s="12">
        <v>0</v>
      </c>
      <c r="R204" s="12">
        <v>266558320</v>
      </c>
      <c r="S204" s="12">
        <v>266558320</v>
      </c>
      <c r="T204" s="12">
        <v>2565860000</v>
      </c>
    </row>
    <row r="205" spans="1:22" s="3" customFormat="1" ht="15" x14ac:dyDescent="0.2">
      <c r="A205" s="4">
        <f t="shared" si="55"/>
        <v>198</v>
      </c>
      <c r="B205" s="5" t="str">
        <f>VLOOKUP(C205,$W:$X,2,0)</f>
        <v>0399</v>
      </c>
      <c r="C205" s="23" t="s">
        <v>32</v>
      </c>
      <c r="D205" s="4" t="s">
        <v>225</v>
      </c>
      <c r="E205" s="5" t="s">
        <v>758</v>
      </c>
      <c r="F205" s="23" t="s">
        <v>713</v>
      </c>
      <c r="G205" s="5" t="s">
        <v>729</v>
      </c>
      <c r="H205" s="4" t="s">
        <v>683</v>
      </c>
      <c r="I205" s="4" t="s">
        <v>376</v>
      </c>
      <c r="J205" s="4" t="s">
        <v>53</v>
      </c>
      <c r="K205" s="4" t="s">
        <v>53</v>
      </c>
      <c r="L205" s="6" t="s">
        <v>53</v>
      </c>
      <c r="M205" s="6" t="s">
        <v>53</v>
      </c>
      <c r="N205" s="6" t="s">
        <v>53</v>
      </c>
      <c r="O205" s="4"/>
      <c r="P205" s="102">
        <v>0</v>
      </c>
      <c r="Q205" s="12">
        <v>0</v>
      </c>
      <c r="R205" s="12">
        <v>241533922</v>
      </c>
      <c r="S205" s="12">
        <v>241533922</v>
      </c>
      <c r="T205" s="12">
        <v>2160000000</v>
      </c>
    </row>
    <row r="206" spans="1:22" s="3" customFormat="1" ht="15" x14ac:dyDescent="0.2">
      <c r="A206" s="4">
        <f t="shared" si="55"/>
        <v>199</v>
      </c>
      <c r="B206" s="5" t="str">
        <f>VLOOKUP(C206,$W:$X,2,0)</f>
        <v>0307</v>
      </c>
      <c r="C206" s="23" t="s">
        <v>188</v>
      </c>
      <c r="D206" s="4" t="s">
        <v>225</v>
      </c>
      <c r="E206" s="5" t="s">
        <v>758</v>
      </c>
      <c r="F206" s="23" t="s">
        <v>713</v>
      </c>
      <c r="G206" s="5" t="s">
        <v>735</v>
      </c>
      <c r="H206" s="4" t="s">
        <v>683</v>
      </c>
      <c r="I206" s="4" t="s">
        <v>376</v>
      </c>
      <c r="J206" s="4" t="s">
        <v>53</v>
      </c>
      <c r="K206" s="4" t="s">
        <v>53</v>
      </c>
      <c r="L206" s="6" t="s">
        <v>53</v>
      </c>
      <c r="M206" s="6" t="s">
        <v>53</v>
      </c>
      <c r="N206" s="6" t="s">
        <v>53</v>
      </c>
      <c r="O206" s="4"/>
      <c r="P206" s="102">
        <v>0</v>
      </c>
      <c r="Q206" s="12">
        <v>0</v>
      </c>
      <c r="R206" s="12">
        <v>0</v>
      </c>
      <c r="S206" s="12">
        <v>3000000000</v>
      </c>
      <c r="T206" s="12">
        <v>3000000000</v>
      </c>
    </row>
    <row r="207" spans="1:22" s="3" customFormat="1" ht="15" x14ac:dyDescent="0.2">
      <c r="A207" s="4">
        <f t="shared" si="55"/>
        <v>200</v>
      </c>
      <c r="B207" s="5" t="str">
        <f>VLOOKUP(C207,$W:$X,2,0)</f>
        <v>0307</v>
      </c>
      <c r="C207" s="23" t="s">
        <v>188</v>
      </c>
      <c r="D207" s="4" t="s">
        <v>225</v>
      </c>
      <c r="E207" s="5" t="s">
        <v>758</v>
      </c>
      <c r="F207" s="23" t="s">
        <v>713</v>
      </c>
      <c r="G207" s="5" t="s">
        <v>736</v>
      </c>
      <c r="H207" s="4" t="s">
        <v>683</v>
      </c>
      <c r="I207" s="4" t="s">
        <v>376</v>
      </c>
      <c r="J207" s="4" t="s">
        <v>53</v>
      </c>
      <c r="K207" s="4" t="s">
        <v>53</v>
      </c>
      <c r="L207" s="6" t="s">
        <v>53</v>
      </c>
      <c r="M207" s="6" t="s">
        <v>53</v>
      </c>
      <c r="N207" s="6" t="s">
        <v>53</v>
      </c>
      <c r="O207" s="4"/>
      <c r="P207" s="102">
        <v>0</v>
      </c>
      <c r="Q207" s="12">
        <v>0</v>
      </c>
      <c r="R207" s="12">
        <v>0</v>
      </c>
      <c r="S207" s="12">
        <v>3000000000</v>
      </c>
      <c r="T207" s="12">
        <v>3000000000</v>
      </c>
    </row>
    <row r="208" spans="1:22" s="3" customFormat="1" ht="15" x14ac:dyDescent="0.2">
      <c r="A208" s="4">
        <f t="shared" si="55"/>
        <v>201</v>
      </c>
      <c r="B208" s="5" t="str">
        <f>VLOOKUP(C208,$W:$X,2,0)</f>
        <v>0307</v>
      </c>
      <c r="C208" s="23" t="s">
        <v>188</v>
      </c>
      <c r="D208" s="4" t="s">
        <v>225</v>
      </c>
      <c r="E208" s="5" t="s">
        <v>758</v>
      </c>
      <c r="F208" s="23" t="s">
        <v>713</v>
      </c>
      <c r="G208" s="5" t="s">
        <v>721</v>
      </c>
      <c r="H208" s="4" t="s">
        <v>683</v>
      </c>
      <c r="I208" s="4" t="s">
        <v>376</v>
      </c>
      <c r="J208" s="4" t="s">
        <v>53</v>
      </c>
      <c r="K208" s="4" t="s">
        <v>53</v>
      </c>
      <c r="L208" s="6" t="s">
        <v>53</v>
      </c>
      <c r="M208" s="6" t="s">
        <v>53</v>
      </c>
      <c r="N208" s="6" t="s">
        <v>53</v>
      </c>
      <c r="O208" s="4"/>
      <c r="P208" s="102">
        <v>0</v>
      </c>
      <c r="Q208" s="12">
        <v>0</v>
      </c>
      <c r="R208" s="12">
        <v>0</v>
      </c>
      <c r="S208" s="12">
        <v>0</v>
      </c>
      <c r="T208" s="12">
        <v>1514513688</v>
      </c>
    </row>
    <row r="209" spans="1:20" s="3" customFormat="1" ht="15" x14ac:dyDescent="0.2">
      <c r="A209" s="4">
        <f t="shared" si="55"/>
        <v>202</v>
      </c>
      <c r="B209" s="5" t="str">
        <f>VLOOKUP(C209,$W:$X,2,0)</f>
        <v>0399</v>
      </c>
      <c r="C209" s="23" t="s">
        <v>32</v>
      </c>
      <c r="D209" s="4" t="s">
        <v>225</v>
      </c>
      <c r="E209" s="5" t="s">
        <v>758</v>
      </c>
      <c r="F209" s="23" t="s">
        <v>713</v>
      </c>
      <c r="G209" s="5" t="s">
        <v>737</v>
      </c>
      <c r="H209" s="4" t="s">
        <v>683</v>
      </c>
      <c r="I209" s="4" t="s">
        <v>376</v>
      </c>
      <c r="J209" s="4" t="s">
        <v>53</v>
      </c>
      <c r="K209" s="4" t="s">
        <v>53</v>
      </c>
      <c r="L209" s="6" t="s">
        <v>53</v>
      </c>
      <c r="M209" s="6" t="s">
        <v>53</v>
      </c>
      <c r="N209" s="6" t="s">
        <v>53</v>
      </c>
      <c r="O209" s="4"/>
      <c r="P209" s="102">
        <v>0</v>
      </c>
      <c r="Q209" s="12">
        <v>0</v>
      </c>
      <c r="R209" s="12">
        <v>0</v>
      </c>
      <c r="S209" s="12">
        <v>987313436</v>
      </c>
      <c r="T209" s="12">
        <v>0</v>
      </c>
    </row>
    <row r="210" spans="1:20" s="3" customFormat="1" ht="15" x14ac:dyDescent="0.2">
      <c r="A210" s="4">
        <f t="shared" si="55"/>
        <v>203</v>
      </c>
      <c r="B210" s="5" t="str">
        <f>VLOOKUP(C210,$W:$X,2,0)</f>
        <v>0399</v>
      </c>
      <c r="C210" s="23" t="s">
        <v>32</v>
      </c>
      <c r="D210" s="4" t="s">
        <v>225</v>
      </c>
      <c r="E210" s="5" t="s">
        <v>758</v>
      </c>
      <c r="F210" s="23" t="s">
        <v>713</v>
      </c>
      <c r="G210" s="5" t="s">
        <v>738</v>
      </c>
      <c r="H210" s="4" t="s">
        <v>683</v>
      </c>
      <c r="I210" s="4" t="s">
        <v>376</v>
      </c>
      <c r="J210" s="4" t="s">
        <v>53</v>
      </c>
      <c r="K210" s="4" t="s">
        <v>53</v>
      </c>
      <c r="L210" s="6" t="s">
        <v>53</v>
      </c>
      <c r="M210" s="6" t="s">
        <v>53</v>
      </c>
      <c r="N210" s="6" t="s">
        <v>53</v>
      </c>
      <c r="O210" s="4"/>
      <c r="P210" s="102">
        <v>0</v>
      </c>
      <c r="Q210" s="12">
        <v>0</v>
      </c>
      <c r="R210" s="12">
        <v>0</v>
      </c>
      <c r="S210" s="12">
        <v>1503843152</v>
      </c>
      <c r="T210" s="12">
        <v>0</v>
      </c>
    </row>
    <row r="211" spans="1:20" s="3" customFormat="1" ht="15" x14ac:dyDescent="0.2">
      <c r="A211" s="4">
        <f t="shared" si="55"/>
        <v>204</v>
      </c>
      <c r="B211" s="5" t="str">
        <f>VLOOKUP(C211,$W:$X,2,0)</f>
        <v>0399</v>
      </c>
      <c r="C211" s="23" t="s">
        <v>32</v>
      </c>
      <c r="D211" s="4" t="s">
        <v>225</v>
      </c>
      <c r="E211" s="5" t="s">
        <v>758</v>
      </c>
      <c r="F211" s="23" t="s">
        <v>713</v>
      </c>
      <c r="G211" s="5" t="s">
        <v>739</v>
      </c>
      <c r="H211" s="4" t="s">
        <v>683</v>
      </c>
      <c r="I211" s="4" t="s">
        <v>376</v>
      </c>
      <c r="J211" s="4" t="s">
        <v>53</v>
      </c>
      <c r="K211" s="4" t="s">
        <v>53</v>
      </c>
      <c r="L211" s="6" t="s">
        <v>53</v>
      </c>
      <c r="M211" s="6" t="s">
        <v>53</v>
      </c>
      <c r="N211" s="6" t="s">
        <v>53</v>
      </c>
      <c r="O211" s="4"/>
      <c r="P211" s="102">
        <v>0</v>
      </c>
      <c r="Q211" s="12">
        <v>0</v>
      </c>
      <c r="R211" s="12">
        <v>0</v>
      </c>
      <c r="S211" s="12">
        <v>686054824</v>
      </c>
      <c r="T211" s="12">
        <v>0</v>
      </c>
    </row>
    <row r="212" spans="1:20" s="3" customFormat="1" ht="15" x14ac:dyDescent="0.2">
      <c r="A212" s="4">
        <f t="shared" si="55"/>
        <v>205</v>
      </c>
      <c r="B212" s="5" t="str">
        <f>VLOOKUP(C212,$W:$X,2,0)</f>
        <v>0307</v>
      </c>
      <c r="C212" s="23" t="s">
        <v>188</v>
      </c>
      <c r="D212" s="4" t="s">
        <v>225</v>
      </c>
      <c r="E212" s="5"/>
      <c r="F212" s="23" t="s">
        <v>380</v>
      </c>
      <c r="G212" s="5" t="s">
        <v>773</v>
      </c>
      <c r="H212" s="4"/>
      <c r="I212" s="4"/>
      <c r="J212" s="4" t="s">
        <v>53</v>
      </c>
      <c r="K212" s="4" t="s">
        <v>53</v>
      </c>
      <c r="L212" s="6" t="s">
        <v>53</v>
      </c>
      <c r="M212" s="6" t="s">
        <v>53</v>
      </c>
      <c r="N212" s="6" t="s">
        <v>53</v>
      </c>
      <c r="O212" s="4"/>
      <c r="P212" s="102">
        <v>0</v>
      </c>
      <c r="Q212" s="12">
        <v>0</v>
      </c>
      <c r="R212" s="12">
        <v>0</v>
      </c>
      <c r="S212" s="12">
        <v>1703852937</v>
      </c>
      <c r="T212" s="12">
        <v>1703852937</v>
      </c>
    </row>
    <row r="213" spans="1:20" s="3" customFormat="1" ht="15" x14ac:dyDescent="0.2">
      <c r="A213" s="4">
        <f t="shared" si="55"/>
        <v>206</v>
      </c>
      <c r="B213" s="5" t="str">
        <f>VLOOKUP(C213,$W:$X,2,0)</f>
        <v>0307</v>
      </c>
      <c r="C213" s="23" t="s">
        <v>188</v>
      </c>
      <c r="D213" s="4" t="s">
        <v>225</v>
      </c>
      <c r="E213" s="5"/>
      <c r="F213" s="23" t="s">
        <v>380</v>
      </c>
      <c r="G213" s="5" t="s">
        <v>776</v>
      </c>
      <c r="H213" s="4"/>
      <c r="I213" s="4"/>
      <c r="J213" s="4" t="s">
        <v>53</v>
      </c>
      <c r="K213" s="4" t="s">
        <v>53</v>
      </c>
      <c r="L213" s="6" t="s">
        <v>53</v>
      </c>
      <c r="M213" s="6" t="s">
        <v>53</v>
      </c>
      <c r="N213" s="6" t="s">
        <v>53</v>
      </c>
      <c r="O213" s="4"/>
      <c r="P213" s="102">
        <v>0</v>
      </c>
      <c r="Q213" s="12">
        <v>0</v>
      </c>
      <c r="R213" s="12">
        <v>0</v>
      </c>
      <c r="S213" s="12">
        <v>680923278</v>
      </c>
      <c r="T213" s="12">
        <v>1003941908</v>
      </c>
    </row>
    <row r="214" spans="1:20" s="3" customFormat="1" ht="15" x14ac:dyDescent="0.2">
      <c r="A214" s="4">
        <f t="shared" si="55"/>
        <v>207</v>
      </c>
      <c r="B214" s="5" t="str">
        <f>VLOOKUP(C214,$W:$X,2,0)</f>
        <v>0399</v>
      </c>
      <c r="C214" s="23" t="s">
        <v>32</v>
      </c>
      <c r="D214" s="4" t="s">
        <v>225</v>
      </c>
      <c r="E214" s="5"/>
      <c r="F214" s="23" t="s">
        <v>380</v>
      </c>
      <c r="G214" s="5" t="s">
        <v>777</v>
      </c>
      <c r="H214" s="4"/>
      <c r="I214" s="4"/>
      <c r="J214" s="4" t="s">
        <v>53</v>
      </c>
      <c r="K214" s="4" t="s">
        <v>53</v>
      </c>
      <c r="L214" s="6" t="s">
        <v>53</v>
      </c>
      <c r="M214" s="6" t="s">
        <v>53</v>
      </c>
      <c r="N214" s="6" t="s">
        <v>53</v>
      </c>
      <c r="O214" s="4"/>
      <c r="P214" s="102">
        <v>0</v>
      </c>
      <c r="Q214" s="12">
        <v>0</v>
      </c>
      <c r="R214" s="12">
        <v>600547500</v>
      </c>
      <c r="S214" s="12">
        <v>509766922</v>
      </c>
      <c r="T214" s="12">
        <v>0</v>
      </c>
    </row>
    <row r="215" spans="1:20" s="3" customFormat="1" ht="15" x14ac:dyDescent="0.2">
      <c r="A215" s="4">
        <f t="shared" si="55"/>
        <v>208</v>
      </c>
      <c r="B215" s="5" t="str">
        <f>VLOOKUP(C215,$W:$X,2,0)</f>
        <v>0307</v>
      </c>
      <c r="C215" s="23" t="s">
        <v>188</v>
      </c>
      <c r="D215" s="4" t="s">
        <v>225</v>
      </c>
      <c r="E215" s="5"/>
      <c r="F215" s="23" t="s">
        <v>380</v>
      </c>
      <c r="G215" s="5" t="s">
        <v>778</v>
      </c>
      <c r="H215" s="4"/>
      <c r="I215" s="4"/>
      <c r="J215" s="4" t="s">
        <v>53</v>
      </c>
      <c r="K215" s="4" t="s">
        <v>53</v>
      </c>
      <c r="L215" s="6" t="s">
        <v>53</v>
      </c>
      <c r="M215" s="6" t="s">
        <v>53</v>
      </c>
      <c r="N215" s="6" t="s">
        <v>53</v>
      </c>
      <c r="O215" s="4"/>
      <c r="P215" s="102">
        <v>0</v>
      </c>
      <c r="Q215" s="12">
        <v>0</v>
      </c>
      <c r="R215" s="12">
        <v>494062500</v>
      </c>
      <c r="S215" s="12">
        <v>0</v>
      </c>
      <c r="T215" s="12">
        <v>0</v>
      </c>
    </row>
  </sheetData>
  <autoFilter ref="A6:T215" xr:uid="{249FBF36-BF38-45E7-9497-594F35EFBE3E}">
    <filterColumn colId="4" showButton="0"/>
    <filterColumn colId="15" showButton="0"/>
    <filterColumn colId="16" showButton="0"/>
    <filterColumn colId="17" showButton="0"/>
    <filterColumn colId="18" showButton="0"/>
  </autoFilter>
  <mergeCells count="15">
    <mergeCell ref="P6:T6"/>
    <mergeCell ref="A6:A7"/>
    <mergeCell ref="B6:B7"/>
    <mergeCell ref="C6:C7"/>
    <mergeCell ref="D6:D7"/>
    <mergeCell ref="E6:F6"/>
    <mergeCell ref="G6:G7"/>
    <mergeCell ref="J6:J7"/>
    <mergeCell ref="K6:K7"/>
    <mergeCell ref="L6:L7"/>
    <mergeCell ref="O6:O7"/>
    <mergeCell ref="M6:M7"/>
    <mergeCell ref="N6:N7"/>
    <mergeCell ref="I6:I7"/>
    <mergeCell ref="H6:H7"/>
  </mergeCells>
  <pageMargins left="0.7" right="0.7" top="0.75" bottom="0.75" header="0.3" footer="0.3"/>
  <pageSetup scale="22" orientation="portrait" horizontalDpi="0" verticalDpi="0" r:id="rId1"/>
  <colBreaks count="1" manualBreakCount="1">
    <brk id="2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1BBB-BAB3-44BD-ADC3-293A835B9B45}">
  <sheetPr codeName="Sheet5">
    <tabColor rgb="FF92D050"/>
  </sheetPr>
  <dimension ref="A1:S55"/>
  <sheetViews>
    <sheetView showGridLines="0" view="pageBreakPreview" zoomScale="55" zoomScaleNormal="70" zoomScaleSheetLayoutView="55" workbookViewId="0">
      <selection activeCell="Q8" sqref="Q8:R10"/>
    </sheetView>
  </sheetViews>
  <sheetFormatPr baseColWidth="10" defaultColWidth="9.1640625" defaultRowHeight="14" outlineLevelCol="1" x14ac:dyDescent="0.15"/>
  <cols>
    <col min="1" max="1" width="8.6640625" style="7" customWidth="1" outlineLevel="1"/>
    <col min="2" max="2" width="8.33203125" style="7" customWidth="1" outlineLevel="1"/>
    <col min="3" max="3" width="26.83203125" style="7" customWidth="1"/>
    <col min="4" max="4" width="18.83203125" style="8" bestFit="1" customWidth="1"/>
    <col min="5" max="5" width="29.5" style="7" bestFit="1" customWidth="1"/>
    <col min="6" max="6" width="22.5" style="7" bestFit="1" customWidth="1"/>
    <col min="7" max="7" width="19.5" style="7" customWidth="1"/>
    <col min="8" max="8" width="18.6640625" style="7" customWidth="1" outlineLevel="1"/>
    <col min="9" max="9" width="18.5" style="7" customWidth="1" outlineLevel="1"/>
    <col min="10" max="10" width="22.1640625" style="7" customWidth="1" outlineLevel="1"/>
    <col min="11" max="15" width="18.5" style="7" customWidth="1" outlineLevel="1"/>
    <col min="16" max="17" width="9.1640625" style="7" customWidth="1" outlineLevel="1"/>
    <col min="18" max="18" width="20.5" style="7" bestFit="1" customWidth="1" outlineLevel="1"/>
    <col min="19" max="19" width="9.1640625" style="7" customWidth="1" outlineLevel="1"/>
    <col min="20" max="16384" width="9.1640625" style="7"/>
  </cols>
  <sheetData>
    <row r="1" spans="1:19" ht="20" x14ac:dyDescent="0.2">
      <c r="C1" s="10" t="s">
        <v>1</v>
      </c>
    </row>
    <row r="2" spans="1:19" x14ac:dyDescent="0.15">
      <c r="C2" s="9" t="s">
        <v>5</v>
      </c>
    </row>
    <row r="3" spans="1:19" x14ac:dyDescent="0.15">
      <c r="C3" s="156"/>
      <c r="D3" s="377"/>
    </row>
    <row r="4" spans="1:19" x14ac:dyDescent="0.15">
      <c r="C4" s="156" t="s">
        <v>836</v>
      </c>
      <c r="D4" s="377" t="s">
        <v>505</v>
      </c>
    </row>
    <row r="5" spans="1:19" x14ac:dyDescent="0.15">
      <c r="I5" s="29">
        <f>SUM(I8:I55)</f>
        <v>0</v>
      </c>
      <c r="K5" s="29">
        <f>SUM(K8:K55)</f>
        <v>0</v>
      </c>
      <c r="L5" s="29">
        <f t="shared" ref="L5:O5" si="0">SUM(L8:L55)</f>
        <v>0</v>
      </c>
      <c r="M5" s="29">
        <f t="shared" si="0"/>
        <v>0</v>
      </c>
      <c r="N5" s="29">
        <f t="shared" si="0"/>
        <v>0</v>
      </c>
      <c r="O5" s="29">
        <f t="shared" si="0"/>
        <v>0</v>
      </c>
    </row>
    <row r="6" spans="1:19" s="3" customFormat="1" ht="30" customHeight="1" x14ac:dyDescent="0.2">
      <c r="A6" s="380" t="s">
        <v>55</v>
      </c>
      <c r="B6" s="380" t="s">
        <v>59</v>
      </c>
      <c r="C6" s="380" t="s">
        <v>58</v>
      </c>
      <c r="D6" s="380" t="s">
        <v>98</v>
      </c>
      <c r="E6" s="434" t="s">
        <v>99</v>
      </c>
      <c r="F6" s="434"/>
      <c r="G6" s="380" t="s">
        <v>101</v>
      </c>
      <c r="H6" s="380" t="s">
        <v>102</v>
      </c>
      <c r="I6" s="382" t="s">
        <v>103</v>
      </c>
      <c r="J6" s="380" t="s">
        <v>93</v>
      </c>
      <c r="K6" s="384" t="s">
        <v>54</v>
      </c>
      <c r="L6" s="385"/>
      <c r="M6" s="385"/>
      <c r="N6" s="385"/>
      <c r="O6" s="386"/>
    </row>
    <row r="7" spans="1:19" s="3" customFormat="1" ht="30" customHeight="1" x14ac:dyDescent="0.15">
      <c r="A7" s="381"/>
      <c r="B7" s="381"/>
      <c r="C7" s="381"/>
      <c r="D7" s="381"/>
      <c r="E7" s="16" t="s">
        <v>100</v>
      </c>
      <c r="F7" s="16" t="s">
        <v>64</v>
      </c>
      <c r="G7" s="381"/>
      <c r="H7" s="381"/>
      <c r="I7" s="383"/>
      <c r="J7" s="381"/>
      <c r="K7" s="15">
        <v>2024</v>
      </c>
      <c r="L7" s="15">
        <v>2023</v>
      </c>
      <c r="M7" s="15">
        <v>2022</v>
      </c>
      <c r="N7" s="15">
        <v>2021</v>
      </c>
      <c r="O7" s="15">
        <v>2020</v>
      </c>
      <c r="Q7" s="7" t="s">
        <v>30</v>
      </c>
      <c r="R7" s="7" t="s">
        <v>30</v>
      </c>
      <c r="S7" s="7" t="s">
        <v>30</v>
      </c>
    </row>
    <row r="8" spans="1:19" s="3" customFormat="1" ht="30" customHeight="1" x14ac:dyDescent="0.2">
      <c r="A8" s="4">
        <v>1</v>
      </c>
      <c r="B8" s="4" t="str">
        <f>VLOOKUP(C8,$R:$S,2,0)</f>
        <v>-</v>
      </c>
      <c r="C8" s="4" t="s">
        <v>30</v>
      </c>
      <c r="D8" s="5"/>
      <c r="E8" s="5"/>
      <c r="F8" s="5"/>
      <c r="G8" s="11"/>
      <c r="H8" s="4"/>
      <c r="I8" s="6"/>
      <c r="J8" s="4"/>
      <c r="K8" s="11"/>
      <c r="L8" s="11"/>
      <c r="M8" s="11"/>
      <c r="N8" s="11"/>
      <c r="O8" s="11"/>
      <c r="Q8" s="24" t="s">
        <v>104</v>
      </c>
      <c r="R8" s="25" t="s">
        <v>105</v>
      </c>
      <c r="S8" s="24" t="s">
        <v>104</v>
      </c>
    </row>
    <row r="9" spans="1:19" s="3" customFormat="1" ht="30" customHeight="1" x14ac:dyDescent="0.2">
      <c r="A9" s="4">
        <f>A8+1</f>
        <v>2</v>
      </c>
      <c r="B9" s="4"/>
      <c r="C9" s="4"/>
      <c r="D9" s="5"/>
      <c r="E9" s="5"/>
      <c r="F9" s="5"/>
      <c r="G9" s="4"/>
      <c r="H9" s="4"/>
      <c r="I9" s="6"/>
      <c r="J9" s="4"/>
      <c r="K9" s="11"/>
      <c r="L9" s="11"/>
      <c r="M9" s="11"/>
      <c r="N9" s="11"/>
      <c r="O9" s="11"/>
      <c r="Q9" s="24" t="s">
        <v>106</v>
      </c>
      <c r="R9" s="25" t="s">
        <v>107</v>
      </c>
      <c r="S9" s="24" t="s">
        <v>106</v>
      </c>
    </row>
    <row r="10" spans="1:19" s="3" customFormat="1" ht="30" customHeight="1" x14ac:dyDescent="0.2">
      <c r="A10" s="4">
        <f t="shared" ref="A10:A55" si="1">A9+1</f>
        <v>3</v>
      </c>
      <c r="B10" s="4"/>
      <c r="C10" s="4"/>
      <c r="D10" s="5"/>
      <c r="E10" s="5"/>
      <c r="F10" s="5"/>
      <c r="G10" s="4"/>
      <c r="H10" s="4"/>
      <c r="I10" s="6"/>
      <c r="J10" s="4"/>
      <c r="K10" s="11"/>
      <c r="L10" s="11"/>
      <c r="M10" s="11"/>
      <c r="N10" s="11"/>
      <c r="O10" s="11"/>
      <c r="Q10" s="24" t="s">
        <v>108</v>
      </c>
      <c r="R10" s="25" t="s">
        <v>109</v>
      </c>
      <c r="S10" s="24" t="s">
        <v>108</v>
      </c>
    </row>
    <row r="11" spans="1:19" s="3" customFormat="1" ht="30" customHeight="1" x14ac:dyDescent="0.2">
      <c r="A11" s="4">
        <f t="shared" si="1"/>
        <v>4</v>
      </c>
      <c r="B11" s="4"/>
      <c r="C11" s="4"/>
      <c r="D11" s="5"/>
      <c r="E11" s="5"/>
      <c r="F11" s="5"/>
      <c r="G11" s="4"/>
      <c r="H11" s="4"/>
      <c r="I11" s="6"/>
      <c r="J11" s="4"/>
      <c r="K11" s="11"/>
      <c r="L11" s="11"/>
      <c r="M11" s="11"/>
      <c r="N11" s="11"/>
      <c r="O11" s="11"/>
      <c r="Q11" s="1"/>
      <c r="R11" s="2"/>
      <c r="S11" s="1"/>
    </row>
    <row r="12" spans="1:19" s="3" customFormat="1" ht="30" customHeight="1" x14ac:dyDescent="0.2">
      <c r="A12" s="4">
        <f t="shared" si="1"/>
        <v>5</v>
      </c>
      <c r="B12" s="4"/>
      <c r="C12" s="4"/>
      <c r="D12" s="4"/>
      <c r="E12" s="5"/>
      <c r="F12" s="5"/>
      <c r="G12" s="4"/>
      <c r="H12" s="4"/>
      <c r="I12" s="6"/>
      <c r="J12" s="4"/>
      <c r="K12" s="11"/>
      <c r="L12" s="11"/>
      <c r="M12" s="11"/>
      <c r="N12" s="11"/>
      <c r="O12" s="11"/>
      <c r="Q12" s="1"/>
      <c r="R12" s="2"/>
      <c r="S12" s="1"/>
    </row>
    <row r="13" spans="1:19" s="3" customFormat="1" ht="30" customHeight="1" x14ac:dyDescent="0.2">
      <c r="A13" s="4">
        <f t="shared" si="1"/>
        <v>6</v>
      </c>
      <c r="B13" s="4"/>
      <c r="C13" s="4"/>
      <c r="D13" s="4"/>
      <c r="E13" s="5"/>
      <c r="F13" s="5"/>
      <c r="G13" s="4"/>
      <c r="H13" s="4"/>
      <c r="I13" s="6"/>
      <c r="J13" s="4"/>
      <c r="K13" s="11"/>
      <c r="L13" s="11"/>
      <c r="M13" s="11"/>
      <c r="N13" s="11"/>
      <c r="O13" s="11"/>
      <c r="Q13" s="1"/>
      <c r="R13" s="2"/>
      <c r="S13" s="1"/>
    </row>
    <row r="14" spans="1:19" s="3" customFormat="1" ht="30" customHeight="1" x14ac:dyDescent="0.2">
      <c r="A14" s="4">
        <f t="shared" si="1"/>
        <v>7</v>
      </c>
      <c r="B14" s="4"/>
      <c r="C14" s="4"/>
      <c r="D14" s="4"/>
      <c r="E14" s="5"/>
      <c r="F14" s="5"/>
      <c r="G14" s="4"/>
      <c r="H14" s="4"/>
      <c r="I14" s="6"/>
      <c r="J14" s="4"/>
      <c r="K14" s="11"/>
      <c r="L14" s="11"/>
      <c r="M14" s="11"/>
      <c r="N14" s="11"/>
      <c r="O14" s="11"/>
      <c r="Q14" s="1"/>
      <c r="R14" s="2"/>
      <c r="S14" s="1"/>
    </row>
    <row r="15" spans="1:19" s="3" customFormat="1" ht="30" customHeight="1" x14ac:dyDescent="0.2">
      <c r="A15" s="4">
        <f t="shared" si="1"/>
        <v>8</v>
      </c>
      <c r="B15" s="4"/>
      <c r="C15" s="4"/>
      <c r="D15" s="4"/>
      <c r="E15" s="5"/>
      <c r="F15" s="5"/>
      <c r="G15" s="4"/>
      <c r="H15" s="4"/>
      <c r="I15" s="6"/>
      <c r="J15" s="4"/>
      <c r="K15" s="11"/>
      <c r="L15" s="11"/>
      <c r="M15" s="11"/>
      <c r="N15" s="11"/>
      <c r="O15" s="11"/>
      <c r="Q15" s="1"/>
      <c r="R15" s="2"/>
      <c r="S15" s="1"/>
    </row>
    <row r="16" spans="1:19" s="3" customFormat="1" ht="30" customHeight="1" x14ac:dyDescent="0.2">
      <c r="A16" s="4">
        <f t="shared" si="1"/>
        <v>9</v>
      </c>
      <c r="B16" s="4"/>
      <c r="C16" s="4"/>
      <c r="D16" s="4"/>
      <c r="E16" s="5"/>
      <c r="F16" s="5"/>
      <c r="G16" s="4"/>
      <c r="H16" s="4"/>
      <c r="I16" s="6"/>
      <c r="J16" s="4"/>
      <c r="K16" s="11"/>
      <c r="L16" s="11"/>
      <c r="M16" s="11"/>
      <c r="N16" s="11"/>
      <c r="O16" s="11"/>
    </row>
    <row r="17" spans="1:19" s="3" customFormat="1" ht="30" customHeight="1" x14ac:dyDescent="0.2">
      <c r="A17" s="4">
        <f t="shared" si="1"/>
        <v>10</v>
      </c>
      <c r="B17" s="4"/>
      <c r="C17" s="4"/>
      <c r="D17" s="4"/>
      <c r="E17" s="5"/>
      <c r="F17" s="5"/>
      <c r="G17" s="4"/>
      <c r="H17" s="4"/>
      <c r="I17" s="6"/>
      <c r="J17" s="4"/>
      <c r="K17" s="11"/>
      <c r="L17" s="11"/>
      <c r="M17" s="11"/>
      <c r="N17" s="11"/>
      <c r="O17" s="11"/>
      <c r="Q17" s="1"/>
      <c r="R17" s="2"/>
      <c r="S17" s="1"/>
    </row>
    <row r="18" spans="1:19" s="3" customFormat="1" ht="30" customHeight="1" x14ac:dyDescent="0.2">
      <c r="A18" s="4">
        <f t="shared" si="1"/>
        <v>11</v>
      </c>
      <c r="B18" s="4"/>
      <c r="C18" s="4"/>
      <c r="D18" s="4"/>
      <c r="E18" s="5"/>
      <c r="F18" s="5"/>
      <c r="G18" s="4"/>
      <c r="H18" s="4"/>
      <c r="I18" s="6"/>
      <c r="J18" s="4"/>
      <c r="K18" s="11"/>
      <c r="L18" s="11"/>
      <c r="M18" s="11"/>
      <c r="N18" s="11"/>
      <c r="O18" s="11"/>
    </row>
    <row r="19" spans="1:19" s="3" customFormat="1" ht="30" customHeight="1" x14ac:dyDescent="0.2">
      <c r="A19" s="4">
        <f t="shared" si="1"/>
        <v>12</v>
      </c>
      <c r="B19" s="4"/>
      <c r="C19" s="4"/>
      <c r="D19" s="4"/>
      <c r="E19" s="5"/>
      <c r="F19" s="5"/>
      <c r="G19" s="4"/>
      <c r="H19" s="4"/>
      <c r="I19" s="6"/>
      <c r="J19" s="4"/>
      <c r="K19" s="11"/>
      <c r="L19" s="11"/>
      <c r="M19" s="11"/>
      <c r="N19" s="11"/>
      <c r="O19" s="11"/>
    </row>
    <row r="20" spans="1:19" s="3" customFormat="1" ht="30" customHeight="1" x14ac:dyDescent="0.2">
      <c r="A20" s="4">
        <f t="shared" si="1"/>
        <v>13</v>
      </c>
      <c r="B20" s="4"/>
      <c r="C20" s="4"/>
      <c r="D20" s="4"/>
      <c r="E20" s="5"/>
      <c r="F20" s="5"/>
      <c r="G20" s="4"/>
      <c r="H20" s="4"/>
      <c r="I20" s="6"/>
      <c r="J20" s="4"/>
      <c r="K20" s="11"/>
      <c r="L20" s="11"/>
      <c r="M20" s="11"/>
      <c r="N20" s="11"/>
      <c r="O20" s="11"/>
    </row>
    <row r="21" spans="1:19" s="3" customFormat="1" ht="30" customHeight="1" x14ac:dyDescent="0.2">
      <c r="A21" s="4">
        <f t="shared" si="1"/>
        <v>14</v>
      </c>
      <c r="B21" s="4"/>
      <c r="C21" s="4"/>
      <c r="D21" s="4"/>
      <c r="E21" s="5"/>
      <c r="F21" s="5"/>
      <c r="G21" s="4"/>
      <c r="H21" s="4"/>
      <c r="I21" s="6"/>
      <c r="J21" s="4"/>
      <c r="K21" s="11"/>
      <c r="L21" s="11"/>
      <c r="M21" s="11"/>
      <c r="N21" s="11"/>
      <c r="O21" s="11"/>
    </row>
    <row r="22" spans="1:19" s="3" customFormat="1" ht="30" customHeight="1" x14ac:dyDescent="0.2">
      <c r="A22" s="4">
        <f t="shared" si="1"/>
        <v>15</v>
      </c>
      <c r="B22" s="4"/>
      <c r="C22" s="4"/>
      <c r="D22" s="4"/>
      <c r="E22" s="5"/>
      <c r="F22" s="5"/>
      <c r="G22" s="4"/>
      <c r="H22" s="4"/>
      <c r="I22" s="6"/>
      <c r="J22" s="4"/>
      <c r="K22" s="12"/>
      <c r="L22" s="12"/>
      <c r="M22" s="12"/>
      <c r="N22" s="12"/>
      <c r="O22" s="12"/>
    </row>
    <row r="23" spans="1:19" s="3" customFormat="1" ht="30" customHeight="1" x14ac:dyDescent="0.2">
      <c r="A23" s="4">
        <f t="shared" si="1"/>
        <v>16</v>
      </c>
      <c r="B23" s="4"/>
      <c r="C23" s="4"/>
      <c r="D23" s="4"/>
      <c r="E23" s="5"/>
      <c r="F23" s="5"/>
      <c r="G23" s="4"/>
      <c r="H23" s="4"/>
      <c r="I23" s="6"/>
      <c r="J23" s="4"/>
      <c r="K23" s="12"/>
      <c r="L23" s="12"/>
      <c r="M23" s="12"/>
      <c r="N23" s="12"/>
      <c r="O23" s="12"/>
    </row>
    <row r="24" spans="1:19" s="3" customFormat="1" ht="30" customHeight="1" x14ac:dyDescent="0.2">
      <c r="A24" s="4">
        <f t="shared" si="1"/>
        <v>17</v>
      </c>
      <c r="B24" s="4"/>
      <c r="C24" s="4"/>
      <c r="D24" s="4"/>
      <c r="E24" s="5"/>
      <c r="F24" s="5"/>
      <c r="G24" s="4"/>
      <c r="H24" s="4"/>
      <c r="I24" s="6"/>
      <c r="J24" s="4"/>
      <c r="K24" s="12"/>
      <c r="L24" s="12"/>
      <c r="M24" s="12"/>
      <c r="N24" s="12"/>
      <c r="O24" s="12"/>
    </row>
    <row r="25" spans="1:19" s="3" customFormat="1" ht="30" customHeight="1" x14ac:dyDescent="0.2">
      <c r="A25" s="4">
        <f t="shared" si="1"/>
        <v>18</v>
      </c>
      <c r="B25" s="4"/>
      <c r="C25" s="4"/>
      <c r="D25" s="5"/>
      <c r="E25" s="5"/>
      <c r="F25" s="5"/>
      <c r="G25" s="4"/>
      <c r="H25" s="4"/>
      <c r="I25" s="6"/>
      <c r="J25" s="4"/>
      <c r="K25" s="12"/>
      <c r="L25" s="12"/>
      <c r="M25" s="12"/>
      <c r="N25" s="12"/>
      <c r="O25" s="12"/>
    </row>
    <row r="26" spans="1:19" s="3" customFormat="1" ht="30" customHeight="1" x14ac:dyDescent="0.2">
      <c r="A26" s="4">
        <f t="shared" si="1"/>
        <v>19</v>
      </c>
      <c r="B26" s="4"/>
      <c r="C26" s="4"/>
      <c r="D26" s="5"/>
      <c r="E26" s="4"/>
      <c r="F26" s="4"/>
      <c r="G26" s="4"/>
      <c r="H26" s="4"/>
      <c r="I26" s="6"/>
      <c r="J26" s="4"/>
      <c r="K26" s="12"/>
      <c r="L26" s="12"/>
      <c r="M26" s="12"/>
      <c r="N26" s="12"/>
      <c r="O26" s="12"/>
    </row>
    <row r="27" spans="1:19" s="3" customFormat="1" ht="30" customHeight="1" x14ac:dyDescent="0.2">
      <c r="A27" s="4">
        <f t="shared" si="1"/>
        <v>20</v>
      </c>
      <c r="B27" s="4"/>
      <c r="C27" s="4"/>
      <c r="D27" s="5"/>
      <c r="E27" s="4"/>
      <c r="F27" s="4"/>
      <c r="G27" s="4"/>
      <c r="H27" s="4"/>
      <c r="I27" s="6"/>
      <c r="J27" s="4"/>
      <c r="K27" s="12"/>
      <c r="L27" s="12"/>
      <c r="M27" s="12"/>
      <c r="N27" s="12"/>
      <c r="O27" s="12"/>
    </row>
    <row r="28" spans="1:19" s="3" customFormat="1" ht="30" customHeight="1" x14ac:dyDescent="0.2">
      <c r="A28" s="4">
        <f t="shared" si="1"/>
        <v>21</v>
      </c>
      <c r="B28" s="4"/>
      <c r="C28" s="4"/>
      <c r="D28" s="5"/>
      <c r="E28" s="4"/>
      <c r="F28" s="4"/>
      <c r="G28" s="4"/>
      <c r="H28" s="4"/>
      <c r="I28" s="6"/>
      <c r="J28" s="4"/>
      <c r="K28" s="4"/>
      <c r="L28" s="4"/>
      <c r="M28" s="4"/>
      <c r="N28" s="4"/>
      <c r="O28" s="4"/>
    </row>
    <row r="29" spans="1:19" s="3" customFormat="1" ht="30" customHeight="1" x14ac:dyDescent="0.2">
      <c r="A29" s="4">
        <f t="shared" si="1"/>
        <v>22</v>
      </c>
      <c r="B29" s="4"/>
      <c r="C29" s="4"/>
      <c r="D29" s="5"/>
      <c r="E29" s="4"/>
      <c r="F29" s="4"/>
      <c r="G29" s="4"/>
      <c r="H29" s="4"/>
      <c r="I29" s="6"/>
      <c r="J29" s="4"/>
      <c r="K29" s="4"/>
      <c r="L29" s="4"/>
      <c r="M29" s="4"/>
      <c r="N29" s="4"/>
      <c r="O29" s="4"/>
    </row>
    <row r="30" spans="1:19" s="3" customFormat="1" ht="30" customHeight="1" x14ac:dyDescent="0.2">
      <c r="A30" s="4">
        <f t="shared" si="1"/>
        <v>23</v>
      </c>
      <c r="B30" s="4"/>
      <c r="C30" s="4"/>
      <c r="D30" s="5"/>
      <c r="E30" s="4"/>
      <c r="F30" s="4"/>
      <c r="G30" s="4"/>
      <c r="H30" s="4"/>
      <c r="I30" s="6"/>
      <c r="J30" s="4"/>
      <c r="K30" s="4"/>
      <c r="L30" s="4"/>
      <c r="M30" s="4"/>
      <c r="N30" s="4"/>
      <c r="O30" s="4"/>
    </row>
    <row r="31" spans="1:19" s="3" customFormat="1" ht="30" customHeight="1" x14ac:dyDescent="0.2">
      <c r="A31" s="4">
        <f t="shared" si="1"/>
        <v>24</v>
      </c>
      <c r="B31" s="4"/>
      <c r="C31" s="4"/>
      <c r="D31" s="5"/>
      <c r="E31" s="4"/>
      <c r="F31" s="4"/>
      <c r="G31" s="4"/>
      <c r="H31" s="4"/>
      <c r="I31" s="6"/>
      <c r="J31" s="4"/>
      <c r="K31" s="4"/>
      <c r="L31" s="4"/>
      <c r="M31" s="4"/>
      <c r="N31" s="4"/>
      <c r="O31" s="4"/>
    </row>
    <row r="32" spans="1:19" s="3" customFormat="1" ht="30" customHeight="1" x14ac:dyDescent="0.2">
      <c r="A32" s="4">
        <f t="shared" si="1"/>
        <v>25</v>
      </c>
      <c r="B32" s="4"/>
      <c r="C32" s="4"/>
      <c r="D32" s="5"/>
      <c r="E32" s="4"/>
      <c r="F32" s="4"/>
      <c r="G32" s="4"/>
      <c r="H32" s="4"/>
      <c r="I32" s="6"/>
      <c r="J32" s="4"/>
      <c r="K32" s="4"/>
      <c r="L32" s="4"/>
      <c r="M32" s="4"/>
      <c r="N32" s="4"/>
      <c r="O32" s="4"/>
    </row>
    <row r="33" spans="1:15" s="3" customFormat="1" ht="30" customHeight="1" x14ac:dyDescent="0.2">
      <c r="A33" s="4">
        <f t="shared" si="1"/>
        <v>26</v>
      </c>
      <c r="B33" s="4"/>
      <c r="C33" s="4"/>
      <c r="D33" s="5"/>
      <c r="E33" s="4"/>
      <c r="F33" s="4"/>
      <c r="G33" s="4"/>
      <c r="H33" s="4"/>
      <c r="I33" s="6"/>
      <c r="J33" s="4"/>
      <c r="K33" s="4"/>
      <c r="L33" s="4"/>
      <c r="M33" s="4"/>
      <c r="N33" s="4"/>
      <c r="O33" s="4"/>
    </row>
    <row r="34" spans="1:15" s="3" customFormat="1" ht="30" customHeight="1" x14ac:dyDescent="0.2">
      <c r="A34" s="4">
        <f t="shared" si="1"/>
        <v>27</v>
      </c>
      <c r="B34" s="4"/>
      <c r="C34" s="4"/>
      <c r="D34" s="5"/>
      <c r="E34" s="4"/>
      <c r="F34" s="4"/>
      <c r="G34" s="4"/>
      <c r="H34" s="4"/>
      <c r="I34" s="6"/>
      <c r="J34" s="4"/>
      <c r="K34" s="4"/>
      <c r="L34" s="4"/>
      <c r="M34" s="4"/>
      <c r="N34" s="4"/>
      <c r="O34" s="4"/>
    </row>
    <row r="35" spans="1:15" s="3" customFormat="1" ht="30" customHeight="1" x14ac:dyDescent="0.2">
      <c r="A35" s="4">
        <f t="shared" si="1"/>
        <v>28</v>
      </c>
      <c r="B35" s="4"/>
      <c r="C35" s="4"/>
      <c r="D35" s="5"/>
      <c r="E35" s="4"/>
      <c r="F35" s="4"/>
      <c r="G35" s="4"/>
      <c r="H35" s="4"/>
      <c r="I35" s="6"/>
      <c r="J35" s="4"/>
      <c r="K35" s="4"/>
      <c r="L35" s="4"/>
      <c r="M35" s="4"/>
      <c r="N35" s="4"/>
      <c r="O35" s="4"/>
    </row>
    <row r="36" spans="1:15" s="3" customFormat="1" ht="30" customHeight="1" x14ac:dyDescent="0.2">
      <c r="A36" s="4">
        <f t="shared" si="1"/>
        <v>29</v>
      </c>
      <c r="B36" s="4"/>
      <c r="C36" s="4"/>
      <c r="D36" s="5"/>
      <c r="E36" s="4"/>
      <c r="F36" s="4"/>
      <c r="G36" s="4"/>
      <c r="H36" s="4"/>
      <c r="I36" s="6"/>
      <c r="J36" s="4"/>
      <c r="K36" s="4"/>
      <c r="L36" s="4"/>
      <c r="M36" s="4"/>
      <c r="N36" s="4"/>
      <c r="O36" s="4"/>
    </row>
    <row r="37" spans="1:15" s="3" customFormat="1" ht="30" customHeight="1" x14ac:dyDescent="0.2">
      <c r="A37" s="4">
        <f t="shared" si="1"/>
        <v>30</v>
      </c>
      <c r="B37" s="4"/>
      <c r="C37" s="4"/>
      <c r="D37" s="5"/>
      <c r="E37" s="4"/>
      <c r="F37" s="4"/>
      <c r="G37" s="4"/>
      <c r="H37" s="4"/>
      <c r="I37" s="6"/>
      <c r="J37" s="4"/>
      <c r="K37" s="4"/>
      <c r="L37" s="4"/>
      <c r="M37" s="4"/>
      <c r="N37" s="4"/>
      <c r="O37" s="4"/>
    </row>
    <row r="38" spans="1:15" s="3" customFormat="1" ht="30" customHeight="1" x14ac:dyDescent="0.2">
      <c r="A38" s="4">
        <f t="shared" si="1"/>
        <v>31</v>
      </c>
      <c r="B38" s="4"/>
      <c r="C38" s="4"/>
      <c r="D38" s="5"/>
      <c r="E38" s="4"/>
      <c r="F38" s="4"/>
      <c r="G38" s="4"/>
      <c r="H38" s="4"/>
      <c r="I38" s="6"/>
      <c r="J38" s="4"/>
      <c r="K38" s="4"/>
      <c r="L38" s="4"/>
      <c r="M38" s="4"/>
      <c r="N38" s="4"/>
      <c r="O38" s="4"/>
    </row>
    <row r="39" spans="1:15" s="3" customFormat="1" ht="30" customHeight="1" x14ac:dyDescent="0.2">
      <c r="A39" s="4">
        <f t="shared" si="1"/>
        <v>32</v>
      </c>
      <c r="B39" s="4"/>
      <c r="C39" s="4"/>
      <c r="D39" s="5"/>
      <c r="E39" s="4"/>
      <c r="F39" s="4"/>
      <c r="G39" s="4"/>
      <c r="H39" s="4"/>
      <c r="I39" s="6"/>
      <c r="J39" s="4"/>
      <c r="K39" s="4"/>
      <c r="L39" s="4"/>
      <c r="M39" s="4"/>
      <c r="N39" s="4"/>
      <c r="O39" s="4"/>
    </row>
    <row r="40" spans="1:15" s="3" customFormat="1" ht="30" customHeight="1" x14ac:dyDescent="0.2">
      <c r="A40" s="4">
        <f t="shared" si="1"/>
        <v>33</v>
      </c>
      <c r="B40" s="4"/>
      <c r="C40" s="4"/>
      <c r="D40" s="5"/>
      <c r="E40" s="4"/>
      <c r="F40" s="4"/>
      <c r="G40" s="4"/>
      <c r="H40" s="4"/>
      <c r="I40" s="6"/>
      <c r="J40" s="4"/>
      <c r="K40" s="4"/>
      <c r="L40" s="4"/>
      <c r="M40" s="4"/>
      <c r="N40" s="4"/>
      <c r="O40" s="4"/>
    </row>
    <row r="41" spans="1:15" s="3" customFormat="1" ht="30" customHeight="1" x14ac:dyDescent="0.2">
      <c r="A41" s="4">
        <f t="shared" si="1"/>
        <v>34</v>
      </c>
      <c r="B41" s="4"/>
      <c r="C41" s="4"/>
      <c r="D41" s="5"/>
      <c r="E41" s="4"/>
      <c r="F41" s="4"/>
      <c r="G41" s="4"/>
      <c r="H41" s="4"/>
      <c r="I41" s="6"/>
      <c r="J41" s="4"/>
      <c r="K41" s="4"/>
      <c r="L41" s="4"/>
      <c r="M41" s="4"/>
      <c r="N41" s="4"/>
      <c r="O41" s="4"/>
    </row>
    <row r="42" spans="1:15" s="3" customFormat="1" ht="30" customHeight="1" x14ac:dyDescent="0.2">
      <c r="A42" s="4">
        <f t="shared" si="1"/>
        <v>35</v>
      </c>
      <c r="B42" s="4"/>
      <c r="C42" s="4"/>
      <c r="D42" s="5"/>
      <c r="E42" s="4"/>
      <c r="F42" s="4"/>
      <c r="G42" s="4"/>
      <c r="H42" s="4"/>
      <c r="I42" s="6"/>
      <c r="J42" s="4"/>
      <c r="K42" s="4"/>
      <c r="L42" s="4"/>
      <c r="M42" s="4"/>
      <c r="N42" s="4"/>
      <c r="O42" s="4"/>
    </row>
    <row r="43" spans="1:15" s="3" customFormat="1" ht="30" customHeight="1" x14ac:dyDescent="0.2">
      <c r="A43" s="4">
        <f t="shared" si="1"/>
        <v>36</v>
      </c>
      <c r="B43" s="4"/>
      <c r="C43" s="4"/>
      <c r="D43" s="5"/>
      <c r="E43" s="4"/>
      <c r="F43" s="4"/>
      <c r="G43" s="4"/>
      <c r="H43" s="4"/>
      <c r="I43" s="6"/>
      <c r="J43" s="4"/>
      <c r="K43" s="4"/>
      <c r="L43" s="4"/>
      <c r="M43" s="4"/>
      <c r="N43" s="4"/>
      <c r="O43" s="4"/>
    </row>
    <row r="44" spans="1:15" s="3" customFormat="1" ht="30" customHeight="1" x14ac:dyDescent="0.2">
      <c r="A44" s="4">
        <f t="shared" si="1"/>
        <v>37</v>
      </c>
      <c r="B44" s="4"/>
      <c r="C44" s="4"/>
      <c r="D44" s="5"/>
      <c r="E44" s="4"/>
      <c r="F44" s="4"/>
      <c r="G44" s="4"/>
      <c r="H44" s="4"/>
      <c r="I44" s="6"/>
      <c r="J44" s="4"/>
      <c r="K44" s="4"/>
      <c r="L44" s="4"/>
      <c r="M44" s="4"/>
      <c r="N44" s="4"/>
      <c r="O44" s="4"/>
    </row>
    <row r="45" spans="1:15" s="3" customFormat="1" ht="30" customHeight="1" x14ac:dyDescent="0.2">
      <c r="A45" s="4">
        <f t="shared" si="1"/>
        <v>38</v>
      </c>
      <c r="B45" s="4"/>
      <c r="C45" s="4"/>
      <c r="D45" s="5"/>
      <c r="E45" s="4"/>
      <c r="F45" s="4"/>
      <c r="G45" s="4"/>
      <c r="H45" s="4"/>
      <c r="I45" s="6"/>
      <c r="J45" s="4"/>
      <c r="K45" s="4"/>
      <c r="L45" s="4"/>
      <c r="M45" s="4"/>
      <c r="N45" s="4"/>
      <c r="O45" s="4"/>
    </row>
    <row r="46" spans="1:15" s="3" customFormat="1" ht="30" customHeight="1" x14ac:dyDescent="0.2">
      <c r="A46" s="4">
        <f t="shared" si="1"/>
        <v>39</v>
      </c>
      <c r="B46" s="4"/>
      <c r="C46" s="4"/>
      <c r="D46" s="5"/>
      <c r="E46" s="4"/>
      <c r="F46" s="4"/>
      <c r="G46" s="4"/>
      <c r="H46" s="4"/>
      <c r="I46" s="6"/>
      <c r="J46" s="4"/>
      <c r="K46" s="4"/>
      <c r="L46" s="4"/>
      <c r="M46" s="4"/>
      <c r="N46" s="4"/>
      <c r="O46" s="4"/>
    </row>
    <row r="47" spans="1:15" s="3" customFormat="1" ht="30" customHeight="1" x14ac:dyDescent="0.2">
      <c r="A47" s="4">
        <f t="shared" si="1"/>
        <v>40</v>
      </c>
      <c r="B47" s="4"/>
      <c r="C47" s="4"/>
      <c r="D47" s="5"/>
      <c r="E47" s="4"/>
      <c r="F47" s="4"/>
      <c r="G47" s="4"/>
      <c r="H47" s="4"/>
      <c r="I47" s="6"/>
      <c r="J47" s="4"/>
      <c r="K47" s="4"/>
      <c r="L47" s="4"/>
      <c r="M47" s="4"/>
      <c r="N47" s="4"/>
      <c r="O47" s="4"/>
    </row>
    <row r="48" spans="1:15" s="3" customFormat="1" ht="30" customHeight="1" x14ac:dyDescent="0.2">
      <c r="A48" s="4">
        <f t="shared" si="1"/>
        <v>41</v>
      </c>
      <c r="B48" s="4"/>
      <c r="C48" s="4"/>
      <c r="D48" s="5"/>
      <c r="E48" s="4"/>
      <c r="F48" s="4"/>
      <c r="G48" s="4"/>
      <c r="H48" s="4"/>
      <c r="I48" s="6"/>
      <c r="J48" s="4"/>
      <c r="K48" s="4"/>
      <c r="L48" s="4"/>
      <c r="M48" s="4"/>
      <c r="N48" s="4"/>
      <c r="O48" s="4"/>
    </row>
    <row r="49" spans="1:15" s="3" customFormat="1" ht="30" customHeight="1" x14ac:dyDescent="0.2">
      <c r="A49" s="4">
        <f t="shared" si="1"/>
        <v>42</v>
      </c>
      <c r="B49" s="4"/>
      <c r="C49" s="4"/>
      <c r="D49" s="5"/>
      <c r="E49" s="4"/>
      <c r="F49" s="4"/>
      <c r="G49" s="4"/>
      <c r="H49" s="4"/>
      <c r="I49" s="6"/>
      <c r="J49" s="4"/>
      <c r="K49" s="4"/>
      <c r="L49" s="4"/>
      <c r="M49" s="4"/>
      <c r="N49" s="4"/>
      <c r="O49" s="4"/>
    </row>
    <row r="50" spans="1:15" s="3" customFormat="1" ht="30" customHeight="1" x14ac:dyDescent="0.2">
      <c r="A50" s="4">
        <f t="shared" si="1"/>
        <v>43</v>
      </c>
      <c r="B50" s="4"/>
      <c r="C50" s="4"/>
      <c r="D50" s="5"/>
      <c r="E50" s="4"/>
      <c r="F50" s="4"/>
      <c r="G50" s="4"/>
      <c r="H50" s="4"/>
      <c r="I50" s="6"/>
      <c r="J50" s="4"/>
      <c r="K50" s="4"/>
      <c r="L50" s="4"/>
      <c r="M50" s="4"/>
      <c r="N50" s="4"/>
      <c r="O50" s="4"/>
    </row>
    <row r="51" spans="1:15" s="3" customFormat="1" ht="30" customHeight="1" x14ac:dyDescent="0.2">
      <c r="A51" s="4">
        <f t="shared" si="1"/>
        <v>44</v>
      </c>
      <c r="B51" s="4"/>
      <c r="C51" s="4"/>
      <c r="D51" s="5"/>
      <c r="E51" s="4"/>
      <c r="F51" s="4"/>
      <c r="G51" s="4"/>
      <c r="H51" s="4"/>
      <c r="I51" s="6"/>
      <c r="J51" s="4"/>
      <c r="K51" s="4"/>
      <c r="L51" s="4"/>
      <c r="M51" s="4"/>
      <c r="N51" s="4"/>
      <c r="O51" s="4"/>
    </row>
    <row r="52" spans="1:15" s="3" customFormat="1" ht="30" customHeight="1" x14ac:dyDescent="0.2">
      <c r="A52" s="4">
        <f t="shared" si="1"/>
        <v>45</v>
      </c>
      <c r="B52" s="4"/>
      <c r="C52" s="4"/>
      <c r="D52" s="5"/>
      <c r="E52" s="4"/>
      <c r="F52" s="4"/>
      <c r="G52" s="4"/>
      <c r="H52" s="4"/>
      <c r="I52" s="6"/>
      <c r="J52" s="4"/>
      <c r="K52" s="4"/>
      <c r="L52" s="4"/>
      <c r="M52" s="4"/>
      <c r="N52" s="4"/>
      <c r="O52" s="4"/>
    </row>
    <row r="53" spans="1:15" s="3" customFormat="1" ht="30" customHeight="1" x14ac:dyDescent="0.2">
      <c r="A53" s="4">
        <f t="shared" si="1"/>
        <v>46</v>
      </c>
      <c r="B53" s="4"/>
      <c r="C53" s="4"/>
      <c r="D53" s="5"/>
      <c r="E53" s="4"/>
      <c r="F53" s="4"/>
      <c r="G53" s="4"/>
      <c r="H53" s="4"/>
      <c r="I53" s="6"/>
      <c r="J53" s="4"/>
      <c r="K53" s="4"/>
      <c r="L53" s="4"/>
      <c r="M53" s="4"/>
      <c r="N53" s="4"/>
      <c r="O53" s="4"/>
    </row>
    <row r="54" spans="1:15" s="3" customFormat="1" ht="30" customHeight="1" x14ac:dyDescent="0.2">
      <c r="A54" s="4">
        <f t="shared" si="1"/>
        <v>47</v>
      </c>
      <c r="B54" s="4"/>
      <c r="C54" s="4"/>
      <c r="D54" s="5"/>
      <c r="E54" s="4"/>
      <c r="F54" s="4"/>
      <c r="G54" s="4"/>
      <c r="H54" s="4"/>
      <c r="I54" s="6"/>
      <c r="J54" s="4"/>
      <c r="K54" s="4"/>
      <c r="L54" s="4"/>
      <c r="M54" s="4"/>
      <c r="N54" s="4"/>
      <c r="O54" s="4"/>
    </row>
    <row r="55" spans="1:15" s="3" customFormat="1" ht="30" customHeight="1" x14ac:dyDescent="0.2">
      <c r="A55" s="4">
        <f t="shared" si="1"/>
        <v>48</v>
      </c>
      <c r="B55" s="4"/>
      <c r="C55" s="4"/>
      <c r="D55" s="5"/>
      <c r="E55" s="4"/>
      <c r="F55" s="4"/>
      <c r="G55" s="4"/>
      <c r="H55" s="4"/>
      <c r="I55" s="6"/>
      <c r="J55" s="4"/>
      <c r="K55" s="4"/>
      <c r="L55" s="4"/>
      <c r="M55" s="4"/>
      <c r="N55" s="4"/>
      <c r="O55" s="4"/>
    </row>
  </sheetData>
  <mergeCells count="10">
    <mergeCell ref="G6:G7"/>
    <mergeCell ref="H6:H7"/>
    <mergeCell ref="I6:I7"/>
    <mergeCell ref="J6:J7"/>
    <mergeCell ref="K6:O6"/>
    <mergeCell ref="E6:F6"/>
    <mergeCell ref="A6:A7"/>
    <mergeCell ref="B6:B7"/>
    <mergeCell ref="C6:C7"/>
    <mergeCell ref="D6:D7"/>
  </mergeCells>
  <pageMargins left="0.7" right="0.7" top="0.75" bottom="0.75" header="0.3" footer="0.3"/>
  <pageSetup scale="31" orientation="portrait" horizontalDpi="203" verticalDpi="203" r:id="rId1"/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3B5C-B08C-4FB1-916B-114F74C88963}">
  <sheetPr codeName="Sheet7">
    <tabColor rgb="FF92D050"/>
  </sheetPr>
  <dimension ref="A1:U55"/>
  <sheetViews>
    <sheetView showGridLines="0" zoomScale="55" zoomScaleNormal="55" zoomScaleSheetLayoutView="70" workbookViewId="0">
      <selection activeCell="S8" sqref="S8:T20"/>
    </sheetView>
  </sheetViews>
  <sheetFormatPr baseColWidth="10" defaultColWidth="9.1640625" defaultRowHeight="14" outlineLevelCol="1" x14ac:dyDescent="0.15"/>
  <cols>
    <col min="1" max="1" width="8.6640625" style="7" customWidth="1" outlineLevel="1"/>
    <col min="2" max="2" width="8.33203125" style="7" customWidth="1" outlineLevel="1"/>
    <col min="3" max="3" width="43.83203125" style="7" bestFit="1" customWidth="1"/>
    <col min="4" max="4" width="29.6640625" style="7" customWidth="1"/>
    <col min="5" max="5" width="23.5" style="7" customWidth="1"/>
    <col min="6" max="6" width="18.33203125" style="7" bestFit="1" customWidth="1"/>
    <col min="7" max="7" width="21.5" style="7" bestFit="1" customWidth="1"/>
    <col min="8" max="8" width="33.83203125" style="7" bestFit="1" customWidth="1"/>
    <col min="9" max="9" width="18.5" style="7" customWidth="1"/>
    <col min="10" max="10" width="18.6640625" style="7" customWidth="1"/>
    <col min="11" max="11" width="22.1640625" style="7" customWidth="1"/>
    <col min="12" max="12" width="22.1640625" style="7" customWidth="1" outlineLevel="1"/>
    <col min="13" max="17" width="18.5" style="7" customWidth="1" outlineLevel="1"/>
    <col min="18" max="19" width="9.1640625" style="7" customWidth="1"/>
    <col min="20" max="20" width="35.1640625" style="7" customWidth="1"/>
    <col min="21" max="16384" width="9.1640625" style="7"/>
  </cols>
  <sheetData>
    <row r="1" spans="1:21" ht="20" x14ac:dyDescent="0.2">
      <c r="C1" s="10" t="s">
        <v>4</v>
      </c>
      <c r="D1" s="10"/>
      <c r="E1" s="10"/>
    </row>
    <row r="2" spans="1:21" x14ac:dyDescent="0.15">
      <c r="C2" s="9" t="s">
        <v>6</v>
      </c>
      <c r="D2" s="9"/>
      <c r="E2" s="9"/>
    </row>
    <row r="3" spans="1:21" x14ac:dyDescent="0.15">
      <c r="C3" s="156"/>
      <c r="D3" s="377"/>
      <c r="E3" s="9"/>
    </row>
    <row r="4" spans="1:21" x14ac:dyDescent="0.15">
      <c r="C4" s="156" t="s">
        <v>836</v>
      </c>
      <c r="D4" s="377" t="s">
        <v>505</v>
      </c>
      <c r="E4" s="9"/>
      <c r="K4" s="9" t="s">
        <v>167</v>
      </c>
    </row>
    <row r="5" spans="1:21" x14ac:dyDescent="0.15">
      <c r="J5" s="29">
        <f>SUM(J8:J55)</f>
        <v>1858000000</v>
      </c>
      <c r="K5" s="29">
        <f>SUM(K8:K55)</f>
        <v>1251300000</v>
      </c>
      <c r="M5" s="29">
        <f>SUM(M8:M55)</f>
        <v>2287500000</v>
      </c>
      <c r="N5" s="29">
        <f t="shared" ref="N5:Q5" si="0">SUM(N8:N55)</f>
        <v>1852500000</v>
      </c>
      <c r="O5" s="29">
        <f t="shared" si="0"/>
        <v>1852500000</v>
      </c>
      <c r="P5" s="29">
        <f t="shared" si="0"/>
        <v>2272500000</v>
      </c>
      <c r="Q5" s="29">
        <f t="shared" si="0"/>
        <v>1264500000</v>
      </c>
    </row>
    <row r="6" spans="1:21" s="3" customFormat="1" ht="30" customHeight="1" x14ac:dyDescent="0.2">
      <c r="A6" s="380" t="s">
        <v>55</v>
      </c>
      <c r="B6" s="380" t="s">
        <v>59</v>
      </c>
      <c r="C6" s="434" t="s">
        <v>58</v>
      </c>
      <c r="D6" s="434"/>
      <c r="E6" s="380" t="s">
        <v>96</v>
      </c>
      <c r="F6" s="434" t="s">
        <v>97</v>
      </c>
      <c r="G6" s="434"/>
      <c r="H6" s="434"/>
      <c r="I6" s="380" t="s">
        <v>31</v>
      </c>
      <c r="J6" s="380" t="s">
        <v>61</v>
      </c>
      <c r="K6" s="382" t="s">
        <v>60</v>
      </c>
      <c r="L6" s="380" t="s">
        <v>33</v>
      </c>
      <c r="M6" s="384" t="s">
        <v>54</v>
      </c>
      <c r="N6" s="385"/>
      <c r="O6" s="385"/>
      <c r="P6" s="385"/>
      <c r="Q6" s="386"/>
      <c r="U6" s="1"/>
    </row>
    <row r="7" spans="1:21" s="3" customFormat="1" ht="30" customHeight="1" x14ac:dyDescent="0.2">
      <c r="A7" s="381"/>
      <c r="B7" s="381"/>
      <c r="C7" s="16" t="s">
        <v>94</v>
      </c>
      <c r="D7" s="16" t="s">
        <v>95</v>
      </c>
      <c r="E7" s="381"/>
      <c r="F7" s="16" t="s">
        <v>110</v>
      </c>
      <c r="G7" s="16" t="s">
        <v>100</v>
      </c>
      <c r="H7" s="16" t="s">
        <v>64</v>
      </c>
      <c r="I7" s="381"/>
      <c r="J7" s="381"/>
      <c r="K7" s="383"/>
      <c r="L7" s="381"/>
      <c r="M7" s="15">
        <v>2024</v>
      </c>
      <c r="N7" s="15">
        <v>2023</v>
      </c>
      <c r="O7" s="15">
        <v>2022</v>
      </c>
      <c r="P7" s="15">
        <v>2021</v>
      </c>
      <c r="Q7" s="15">
        <v>2020</v>
      </c>
      <c r="S7" s="25" t="s">
        <v>30</v>
      </c>
      <c r="T7" s="25" t="s">
        <v>30</v>
      </c>
      <c r="U7" s="24" t="s">
        <v>30</v>
      </c>
    </row>
    <row r="8" spans="1:21" s="3" customFormat="1" ht="30" customHeight="1" x14ac:dyDescent="0.2">
      <c r="A8" s="4">
        <v>1</v>
      </c>
      <c r="B8" s="5" t="str">
        <f t="shared" ref="B8:B11" si="1">VLOOKUP(C8,T:U,2,0)</f>
        <v>0403</v>
      </c>
      <c r="C8" s="4" t="s">
        <v>70</v>
      </c>
      <c r="D8" s="4" t="s">
        <v>807</v>
      </c>
      <c r="E8" s="4" t="s">
        <v>812</v>
      </c>
      <c r="F8" s="5" t="s">
        <v>207</v>
      </c>
      <c r="G8" s="5" t="s">
        <v>1083</v>
      </c>
      <c r="H8" s="5" t="s">
        <v>506</v>
      </c>
      <c r="I8" s="5">
        <v>2021</v>
      </c>
      <c r="J8" s="11">
        <v>1407000000</v>
      </c>
      <c r="K8" s="36">
        <v>1008000000</v>
      </c>
      <c r="L8" s="4" t="s">
        <v>30</v>
      </c>
      <c r="M8" s="11">
        <v>1407000000</v>
      </c>
      <c r="N8" s="11">
        <v>1407000000</v>
      </c>
      <c r="O8" s="11">
        <v>1407000000</v>
      </c>
      <c r="P8" s="11">
        <v>1407000000</v>
      </c>
      <c r="Q8" s="11">
        <v>0</v>
      </c>
      <c r="S8" s="24" t="s">
        <v>65</v>
      </c>
      <c r="T8" s="25" t="s">
        <v>66</v>
      </c>
      <c r="U8" s="24" t="s">
        <v>65</v>
      </c>
    </row>
    <row r="9" spans="1:21" s="3" customFormat="1" ht="30" customHeight="1" x14ac:dyDescent="0.2">
      <c r="A9" s="4">
        <v>2</v>
      </c>
      <c r="B9" s="5" t="str">
        <f t="shared" si="1"/>
        <v>0403</v>
      </c>
      <c r="C9" s="4" t="s">
        <v>70</v>
      </c>
      <c r="D9" s="4" t="s">
        <v>810</v>
      </c>
      <c r="E9" s="4" t="s">
        <v>1079</v>
      </c>
      <c r="F9" s="5" t="s">
        <v>209</v>
      </c>
      <c r="G9" s="5" t="s">
        <v>836</v>
      </c>
      <c r="H9" s="5" t="s">
        <v>505</v>
      </c>
      <c r="I9" s="5">
        <v>2024</v>
      </c>
      <c r="J9" s="11">
        <v>435000000</v>
      </c>
      <c r="K9" s="36">
        <v>235000000</v>
      </c>
      <c r="L9" s="4" t="s">
        <v>30</v>
      </c>
      <c r="M9" s="11">
        <v>435000000</v>
      </c>
      <c r="N9" s="11">
        <v>0</v>
      </c>
      <c r="O9" s="11">
        <v>0</v>
      </c>
      <c r="P9" s="11">
        <v>0</v>
      </c>
      <c r="Q9" s="11">
        <v>0</v>
      </c>
      <c r="S9" s="24" t="s">
        <v>67</v>
      </c>
      <c r="T9" s="25" t="s">
        <v>68</v>
      </c>
      <c r="U9" s="24" t="s">
        <v>67</v>
      </c>
    </row>
    <row r="10" spans="1:21" s="3" customFormat="1" ht="30" customHeight="1" x14ac:dyDescent="0.2">
      <c r="A10" s="4">
        <v>3</v>
      </c>
      <c r="B10" s="5" t="str">
        <f t="shared" si="1"/>
        <v>0402</v>
      </c>
      <c r="C10" s="4" t="s">
        <v>68</v>
      </c>
      <c r="D10" s="4" t="s">
        <v>1088</v>
      </c>
      <c r="E10" s="4" t="s">
        <v>1087</v>
      </c>
      <c r="F10" s="5" t="s">
        <v>209</v>
      </c>
      <c r="G10" s="5" t="s">
        <v>836</v>
      </c>
      <c r="H10" s="5" t="s">
        <v>505</v>
      </c>
      <c r="I10" s="5">
        <v>2025</v>
      </c>
      <c r="J10" s="13">
        <v>8000000</v>
      </c>
      <c r="K10" s="36">
        <v>3600000</v>
      </c>
      <c r="L10" s="4" t="s">
        <v>30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S10" s="24" t="s">
        <v>69</v>
      </c>
      <c r="T10" s="25" t="s">
        <v>70</v>
      </c>
      <c r="U10" s="24" t="s">
        <v>69</v>
      </c>
    </row>
    <row r="11" spans="1:21" s="3" customFormat="1" ht="30" customHeight="1" x14ac:dyDescent="0.2">
      <c r="A11" s="4">
        <v>4</v>
      </c>
      <c r="B11" s="5" t="str">
        <f t="shared" si="1"/>
        <v>0402</v>
      </c>
      <c r="C11" s="4" t="s">
        <v>68</v>
      </c>
      <c r="D11" s="4" t="s">
        <v>1088</v>
      </c>
      <c r="E11" s="4" t="s">
        <v>1089</v>
      </c>
      <c r="F11" s="5" t="s">
        <v>209</v>
      </c>
      <c r="G11" s="5" t="s">
        <v>836</v>
      </c>
      <c r="H11" s="5" t="s">
        <v>505</v>
      </c>
      <c r="I11" s="5">
        <v>2025</v>
      </c>
      <c r="J11" s="13">
        <v>8000000</v>
      </c>
      <c r="K11" s="36">
        <v>4700000</v>
      </c>
      <c r="L11" s="4" t="s">
        <v>30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S11" s="24" t="s">
        <v>71</v>
      </c>
      <c r="T11" s="25" t="s">
        <v>72</v>
      </c>
      <c r="U11" s="24" t="s">
        <v>71</v>
      </c>
    </row>
    <row r="12" spans="1:21" s="3" customFormat="1" ht="30" customHeight="1" x14ac:dyDescent="0.2">
      <c r="A12" s="4"/>
      <c r="B12" s="4"/>
      <c r="C12" s="4"/>
      <c r="D12" s="4"/>
      <c r="E12" s="4"/>
      <c r="F12" s="5"/>
      <c r="G12" s="5"/>
      <c r="H12" s="5"/>
      <c r="I12" s="5"/>
      <c r="J12" s="13"/>
      <c r="K12" s="14"/>
      <c r="L12" s="4"/>
      <c r="M12" s="11"/>
      <c r="N12" s="11"/>
      <c r="O12" s="11"/>
      <c r="P12" s="11"/>
      <c r="Q12" s="11"/>
      <c r="S12" s="24" t="s">
        <v>73</v>
      </c>
      <c r="T12" s="25" t="s">
        <v>74</v>
      </c>
      <c r="U12" s="24" t="s">
        <v>73</v>
      </c>
    </row>
    <row r="13" spans="1:21" s="3" customFormat="1" ht="30" customHeight="1" x14ac:dyDescent="0.2">
      <c r="A13" s="4"/>
      <c r="B13" s="5"/>
      <c r="C13" s="4" t="s">
        <v>68</v>
      </c>
      <c r="D13" s="4" t="s">
        <v>805</v>
      </c>
      <c r="E13" s="4" t="s">
        <v>811</v>
      </c>
      <c r="F13" s="5"/>
      <c r="G13" s="5"/>
      <c r="H13" s="5"/>
      <c r="I13" s="5">
        <v>2002</v>
      </c>
      <c r="J13" s="13" t="s">
        <v>53</v>
      </c>
      <c r="K13" s="14" t="s">
        <v>53</v>
      </c>
      <c r="L13" s="4" t="s">
        <v>30</v>
      </c>
      <c r="M13" s="11">
        <v>10500000</v>
      </c>
      <c r="N13" s="11">
        <v>10500000</v>
      </c>
      <c r="O13" s="11">
        <v>10500000</v>
      </c>
      <c r="P13" s="11">
        <v>10500000</v>
      </c>
      <c r="Q13" s="11">
        <v>10500000</v>
      </c>
      <c r="S13" s="24" t="s">
        <v>75</v>
      </c>
      <c r="T13" s="25" t="s">
        <v>76</v>
      </c>
      <c r="U13" s="24" t="s">
        <v>75</v>
      </c>
    </row>
    <row r="14" spans="1:21" s="3" customFormat="1" ht="30" customHeight="1" x14ac:dyDescent="0.2">
      <c r="A14" s="4"/>
      <c r="B14" s="4"/>
      <c r="C14" s="4" t="s">
        <v>70</v>
      </c>
      <c r="D14" s="4" t="s">
        <v>808</v>
      </c>
      <c r="E14" s="4" t="s">
        <v>813</v>
      </c>
      <c r="F14" s="5"/>
      <c r="G14" s="5"/>
      <c r="H14" s="5"/>
      <c r="I14" s="5">
        <v>2015</v>
      </c>
      <c r="J14" s="13" t="s">
        <v>53</v>
      </c>
      <c r="K14" s="14" t="s">
        <v>1085</v>
      </c>
      <c r="L14" s="4" t="s">
        <v>30</v>
      </c>
      <c r="M14" s="11">
        <v>435000000</v>
      </c>
      <c r="N14" s="11">
        <v>435000000</v>
      </c>
      <c r="O14" s="11">
        <v>435000000</v>
      </c>
      <c r="P14" s="11">
        <v>435000000</v>
      </c>
      <c r="Q14" s="11">
        <v>435000000</v>
      </c>
      <c r="S14" s="24" t="s">
        <v>77</v>
      </c>
      <c r="T14" s="25" t="s">
        <v>78</v>
      </c>
      <c r="U14" s="24" t="s">
        <v>77</v>
      </c>
    </row>
    <row r="15" spans="1:21" s="3" customFormat="1" ht="30" customHeight="1" x14ac:dyDescent="0.2">
      <c r="A15" s="4"/>
      <c r="B15" s="4"/>
      <c r="C15" s="4" t="s">
        <v>70</v>
      </c>
      <c r="D15" s="4" t="s">
        <v>806</v>
      </c>
      <c r="E15" s="4" t="s">
        <v>804</v>
      </c>
      <c r="F15" s="5"/>
      <c r="G15" s="5"/>
      <c r="H15" s="5"/>
      <c r="I15" s="5" t="s">
        <v>53</v>
      </c>
      <c r="J15" s="13" t="s">
        <v>53</v>
      </c>
      <c r="K15" s="14" t="s">
        <v>53</v>
      </c>
      <c r="L15" s="4" t="s">
        <v>30</v>
      </c>
      <c r="M15" s="11">
        <v>0</v>
      </c>
      <c r="N15" s="11">
        <v>0</v>
      </c>
      <c r="O15" s="11">
        <v>0</v>
      </c>
      <c r="P15" s="11">
        <v>0</v>
      </c>
      <c r="Q15" s="11">
        <v>399000000</v>
      </c>
      <c r="S15" s="24" t="s">
        <v>79</v>
      </c>
      <c r="T15" s="25" t="s">
        <v>80</v>
      </c>
      <c r="U15" s="24" t="s">
        <v>79</v>
      </c>
    </row>
    <row r="16" spans="1:21" s="3" customFormat="1" ht="30" customHeight="1" x14ac:dyDescent="0.2">
      <c r="A16" s="4"/>
      <c r="B16" s="4"/>
      <c r="C16" s="4" t="s">
        <v>70</v>
      </c>
      <c r="D16" s="4" t="s">
        <v>809</v>
      </c>
      <c r="E16" s="4" t="s">
        <v>814</v>
      </c>
      <c r="F16" s="5"/>
      <c r="G16" s="5"/>
      <c r="H16" s="5"/>
      <c r="I16" s="5" t="s">
        <v>53</v>
      </c>
      <c r="J16" s="13" t="s">
        <v>53</v>
      </c>
      <c r="K16" s="14" t="s">
        <v>53</v>
      </c>
      <c r="L16" s="4" t="s">
        <v>30</v>
      </c>
      <c r="M16" s="11">
        <v>0</v>
      </c>
      <c r="N16" s="11">
        <v>0</v>
      </c>
      <c r="O16" s="11">
        <v>0</v>
      </c>
      <c r="P16" s="11">
        <v>420000000</v>
      </c>
      <c r="Q16" s="11">
        <v>420000000</v>
      </c>
      <c r="S16" s="24" t="s">
        <v>81</v>
      </c>
      <c r="T16" s="25" t="s">
        <v>82</v>
      </c>
      <c r="U16" s="24" t="s">
        <v>81</v>
      </c>
    </row>
    <row r="17" spans="1:21" s="3" customFormat="1" ht="30" customHeight="1" x14ac:dyDescent="0.2">
      <c r="A17" s="4"/>
      <c r="B17" s="4"/>
      <c r="C17" s="4"/>
      <c r="D17" s="4"/>
      <c r="E17" s="4"/>
      <c r="F17" s="5"/>
      <c r="G17" s="5"/>
      <c r="H17" s="5"/>
      <c r="I17" s="5"/>
      <c r="J17" s="13"/>
      <c r="K17" s="14"/>
      <c r="L17" s="4"/>
      <c r="M17" s="11"/>
      <c r="N17" s="11"/>
      <c r="O17" s="11"/>
      <c r="P17" s="11"/>
      <c r="Q17" s="11"/>
      <c r="S17" s="24" t="s">
        <v>83</v>
      </c>
      <c r="T17" s="25" t="s">
        <v>84</v>
      </c>
      <c r="U17" s="24" t="s">
        <v>83</v>
      </c>
    </row>
    <row r="18" spans="1:21" s="3" customFormat="1" ht="30" customHeight="1" x14ac:dyDescent="0.2">
      <c r="A18" s="4"/>
      <c r="B18" s="4"/>
      <c r="C18" s="4"/>
      <c r="D18" s="4"/>
      <c r="E18" s="4"/>
      <c r="F18" s="5"/>
      <c r="G18" s="5"/>
      <c r="H18" s="5"/>
      <c r="I18" s="5"/>
      <c r="J18" s="13"/>
      <c r="K18" s="14"/>
      <c r="L18" s="4"/>
      <c r="M18" s="11"/>
      <c r="N18" s="11"/>
      <c r="O18" s="11"/>
      <c r="P18" s="11"/>
      <c r="Q18" s="11"/>
      <c r="S18" s="24" t="s">
        <v>85</v>
      </c>
      <c r="T18" s="25" t="s">
        <v>86</v>
      </c>
      <c r="U18" s="24" t="s">
        <v>85</v>
      </c>
    </row>
    <row r="19" spans="1:21" s="3" customFormat="1" ht="30" customHeight="1" x14ac:dyDescent="0.2">
      <c r="A19" s="4"/>
      <c r="B19" s="4"/>
      <c r="C19" s="4"/>
      <c r="D19" s="4"/>
      <c r="E19" s="4"/>
      <c r="F19" s="5"/>
      <c r="G19" s="5"/>
      <c r="H19" s="5"/>
      <c r="I19" s="5"/>
      <c r="J19" s="13"/>
      <c r="K19" s="14"/>
      <c r="L19" s="4"/>
      <c r="M19" s="11"/>
      <c r="N19" s="11"/>
      <c r="O19" s="11"/>
      <c r="P19" s="11"/>
      <c r="Q19" s="11"/>
      <c r="S19" s="24" t="s">
        <v>87</v>
      </c>
      <c r="T19" s="25" t="s">
        <v>88</v>
      </c>
      <c r="U19" s="24" t="s">
        <v>87</v>
      </c>
    </row>
    <row r="20" spans="1:21" s="3" customFormat="1" ht="30" customHeight="1" x14ac:dyDescent="0.2">
      <c r="A20" s="4"/>
      <c r="B20" s="4"/>
      <c r="C20" s="4"/>
      <c r="D20" s="4"/>
      <c r="E20" s="4"/>
      <c r="F20" s="5"/>
      <c r="G20" s="5"/>
      <c r="H20" s="5"/>
      <c r="I20" s="5"/>
      <c r="J20" s="13"/>
      <c r="K20" s="14"/>
      <c r="L20" s="4"/>
      <c r="M20" s="11"/>
      <c r="N20" s="11"/>
      <c r="O20" s="11"/>
      <c r="P20" s="11"/>
      <c r="Q20" s="11"/>
      <c r="S20" s="25" t="s">
        <v>89</v>
      </c>
      <c r="T20" s="25" t="s">
        <v>90</v>
      </c>
      <c r="U20" s="25" t="s">
        <v>89</v>
      </c>
    </row>
    <row r="21" spans="1:21" s="3" customFormat="1" ht="30" customHeight="1" x14ac:dyDescent="0.2">
      <c r="A21" s="4"/>
      <c r="B21" s="4"/>
      <c r="C21" s="4"/>
      <c r="D21" s="4"/>
      <c r="E21" s="4"/>
      <c r="F21" s="5"/>
      <c r="G21" s="5"/>
      <c r="H21" s="5"/>
      <c r="I21" s="5"/>
      <c r="J21" s="13"/>
      <c r="K21" s="14"/>
      <c r="L21" s="4"/>
      <c r="M21" s="12"/>
      <c r="N21" s="12"/>
      <c r="O21" s="12"/>
      <c r="P21" s="12"/>
      <c r="Q21" s="12"/>
    </row>
    <row r="22" spans="1:21" s="3" customFormat="1" ht="30" customHeight="1" x14ac:dyDescent="0.2">
      <c r="A22" s="4"/>
      <c r="B22" s="4"/>
      <c r="C22" s="4"/>
      <c r="D22" s="4"/>
      <c r="E22" s="4"/>
      <c r="F22" s="5"/>
      <c r="G22" s="5"/>
      <c r="H22" s="5"/>
      <c r="I22" s="5"/>
      <c r="J22" s="13"/>
      <c r="K22" s="14"/>
      <c r="L22" s="4"/>
      <c r="M22" s="12"/>
      <c r="N22" s="12"/>
      <c r="O22" s="12"/>
      <c r="P22" s="12"/>
      <c r="Q22" s="12"/>
      <c r="S22" s="3" t="s">
        <v>204</v>
      </c>
    </row>
    <row r="23" spans="1:21" s="3" customFormat="1" ht="30" customHeight="1" x14ac:dyDescent="0.2">
      <c r="A23" s="4"/>
      <c r="B23" s="4"/>
      <c r="C23" s="4"/>
      <c r="D23" s="4"/>
      <c r="E23" s="4"/>
      <c r="F23" s="5"/>
      <c r="G23" s="5"/>
      <c r="H23" s="5"/>
      <c r="I23" s="5"/>
      <c r="J23" s="13"/>
      <c r="K23" s="14"/>
      <c r="L23" s="4"/>
      <c r="M23" s="12"/>
      <c r="N23" s="12"/>
      <c r="O23" s="12"/>
      <c r="P23" s="12"/>
      <c r="Q23" s="12"/>
      <c r="S23" s="3" t="s">
        <v>205</v>
      </c>
      <c r="T23" s="3" t="s">
        <v>206</v>
      </c>
    </row>
    <row r="24" spans="1:21" s="3" customFormat="1" ht="30" customHeight="1" x14ac:dyDescent="0.2">
      <c r="A24" s="4"/>
      <c r="B24" s="4"/>
      <c r="C24" s="4"/>
      <c r="D24" s="4"/>
      <c r="E24" s="4"/>
      <c r="F24" s="5"/>
      <c r="G24" s="5"/>
      <c r="H24" s="5"/>
      <c r="I24" s="5"/>
      <c r="J24" s="13"/>
      <c r="K24" s="14"/>
      <c r="L24" s="4"/>
      <c r="M24" s="12"/>
      <c r="N24" s="12"/>
      <c r="O24" s="12"/>
      <c r="P24" s="12"/>
      <c r="Q24" s="12"/>
      <c r="S24" s="3" t="s">
        <v>207</v>
      </c>
      <c r="T24" s="3" t="s">
        <v>208</v>
      </c>
    </row>
    <row r="25" spans="1:21" s="3" customFormat="1" ht="30" customHeight="1" x14ac:dyDescent="0.2">
      <c r="A25" s="4"/>
      <c r="B25" s="4"/>
      <c r="C25" s="4"/>
      <c r="D25" s="4"/>
      <c r="E25" s="4"/>
      <c r="F25" s="5"/>
      <c r="G25" s="5"/>
      <c r="H25" s="5"/>
      <c r="I25" s="5"/>
      <c r="J25" s="13"/>
      <c r="K25" s="14"/>
      <c r="L25" s="4"/>
      <c r="M25" s="12"/>
      <c r="N25" s="12"/>
      <c r="O25" s="12"/>
      <c r="P25" s="12"/>
      <c r="Q25" s="12"/>
      <c r="S25" s="3" t="s">
        <v>209</v>
      </c>
      <c r="T25" s="3" t="s">
        <v>210</v>
      </c>
    </row>
    <row r="26" spans="1:21" s="3" customFormat="1" ht="30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6"/>
      <c r="L26" s="4"/>
      <c r="M26" s="4"/>
      <c r="N26" s="4"/>
      <c r="O26" s="4"/>
      <c r="P26" s="4"/>
      <c r="Q26" s="4"/>
    </row>
    <row r="27" spans="1:21" s="3" customFormat="1" ht="30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6"/>
      <c r="L27" s="4"/>
      <c r="M27" s="4"/>
      <c r="N27" s="4"/>
      <c r="O27" s="4"/>
      <c r="P27" s="4"/>
      <c r="Q27" s="4"/>
    </row>
    <row r="28" spans="1:21" s="3" customFormat="1" ht="30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6"/>
      <c r="L28" s="4"/>
      <c r="M28" s="4"/>
      <c r="N28" s="4"/>
      <c r="O28" s="4"/>
      <c r="P28" s="4"/>
      <c r="Q28" s="4"/>
    </row>
    <row r="29" spans="1:21" s="3" customFormat="1" ht="30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6"/>
      <c r="L29" s="4"/>
      <c r="M29" s="4"/>
      <c r="N29" s="4"/>
      <c r="O29" s="4"/>
      <c r="P29" s="4"/>
      <c r="Q29" s="4"/>
    </row>
    <row r="30" spans="1:21" s="3" customFormat="1" ht="30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6"/>
      <c r="L30" s="4"/>
      <c r="M30" s="4"/>
      <c r="N30" s="4"/>
      <c r="O30" s="4"/>
      <c r="P30" s="4"/>
      <c r="Q30" s="4"/>
    </row>
    <row r="31" spans="1:21" s="3" customFormat="1" ht="30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6"/>
      <c r="L31" s="4"/>
      <c r="M31" s="4"/>
      <c r="N31" s="4"/>
      <c r="O31" s="4"/>
      <c r="P31" s="4"/>
      <c r="Q31" s="4"/>
    </row>
    <row r="32" spans="1:21" s="3" customFormat="1" ht="30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6"/>
      <c r="L32" s="4"/>
      <c r="M32" s="4"/>
      <c r="N32" s="4"/>
      <c r="O32" s="4"/>
      <c r="P32" s="4"/>
      <c r="Q32" s="4"/>
    </row>
    <row r="33" spans="1:17" s="3" customFormat="1" ht="30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6"/>
      <c r="L33" s="4"/>
      <c r="M33" s="4"/>
      <c r="N33" s="4"/>
      <c r="O33" s="4"/>
      <c r="P33" s="4"/>
      <c r="Q33" s="4"/>
    </row>
    <row r="34" spans="1:17" s="3" customFormat="1" ht="30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6"/>
      <c r="L34" s="4"/>
      <c r="M34" s="4"/>
      <c r="N34" s="4"/>
      <c r="O34" s="4"/>
      <c r="P34" s="4"/>
      <c r="Q34" s="4"/>
    </row>
    <row r="35" spans="1:17" s="3" customFormat="1" ht="30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6"/>
      <c r="L35" s="4"/>
      <c r="M35" s="4"/>
      <c r="N35" s="4"/>
      <c r="O35" s="4"/>
      <c r="P35" s="4"/>
      <c r="Q35" s="4"/>
    </row>
    <row r="36" spans="1:17" s="3" customFormat="1" ht="30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6"/>
      <c r="L36" s="4"/>
      <c r="M36" s="4"/>
      <c r="N36" s="4"/>
      <c r="O36" s="4"/>
      <c r="P36" s="4"/>
      <c r="Q36" s="4"/>
    </row>
    <row r="37" spans="1:17" s="3" customFormat="1" ht="30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6"/>
      <c r="L37" s="4"/>
      <c r="M37" s="4"/>
      <c r="N37" s="4"/>
      <c r="O37" s="4"/>
      <c r="P37" s="4"/>
      <c r="Q37" s="4"/>
    </row>
    <row r="38" spans="1:17" s="3" customFormat="1" ht="30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6"/>
      <c r="L38" s="4"/>
      <c r="M38" s="4"/>
      <c r="N38" s="4"/>
      <c r="O38" s="4"/>
      <c r="P38" s="4"/>
      <c r="Q38" s="4"/>
    </row>
    <row r="39" spans="1:17" s="3" customFormat="1" ht="30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6"/>
      <c r="L39" s="4"/>
      <c r="M39" s="4"/>
      <c r="N39" s="4"/>
      <c r="O39" s="4"/>
      <c r="P39" s="4"/>
      <c r="Q39" s="4"/>
    </row>
    <row r="40" spans="1:17" s="3" customFormat="1" ht="30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6"/>
      <c r="L40" s="4"/>
      <c r="M40" s="4"/>
      <c r="N40" s="4"/>
      <c r="O40" s="4"/>
      <c r="P40" s="4"/>
      <c r="Q40" s="4"/>
    </row>
    <row r="41" spans="1:17" s="3" customFormat="1" ht="30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6"/>
      <c r="L41" s="4"/>
      <c r="M41" s="4"/>
      <c r="N41" s="4"/>
      <c r="O41" s="4"/>
      <c r="P41" s="4"/>
      <c r="Q41" s="4"/>
    </row>
    <row r="42" spans="1:17" s="3" customFormat="1" ht="30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6"/>
      <c r="L42" s="4"/>
      <c r="M42" s="4"/>
      <c r="N42" s="4"/>
      <c r="O42" s="4"/>
      <c r="P42" s="4"/>
      <c r="Q42" s="4"/>
    </row>
    <row r="43" spans="1:17" s="3" customFormat="1" ht="30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6"/>
      <c r="L43" s="4"/>
      <c r="M43" s="4"/>
      <c r="N43" s="4"/>
      <c r="O43" s="4"/>
      <c r="P43" s="4"/>
      <c r="Q43" s="4"/>
    </row>
    <row r="44" spans="1:17" s="3" customFormat="1" ht="30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6"/>
      <c r="L44" s="4"/>
      <c r="M44" s="4"/>
      <c r="N44" s="4"/>
      <c r="O44" s="4"/>
      <c r="P44" s="4"/>
      <c r="Q44" s="4"/>
    </row>
    <row r="45" spans="1:17" s="3" customFormat="1" ht="30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6"/>
      <c r="L45" s="4"/>
      <c r="M45" s="4"/>
      <c r="N45" s="4"/>
      <c r="O45" s="4"/>
      <c r="P45" s="4"/>
      <c r="Q45" s="4"/>
    </row>
    <row r="46" spans="1:17" s="3" customFormat="1" ht="30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6"/>
      <c r="L46" s="4"/>
      <c r="M46" s="4"/>
      <c r="N46" s="4"/>
      <c r="O46" s="4"/>
      <c r="P46" s="4"/>
      <c r="Q46" s="4"/>
    </row>
    <row r="47" spans="1:17" s="3" customFormat="1" ht="30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6"/>
      <c r="L47" s="4"/>
      <c r="M47" s="4"/>
      <c r="N47" s="4"/>
      <c r="O47" s="4"/>
      <c r="P47" s="4"/>
      <c r="Q47" s="4"/>
    </row>
    <row r="48" spans="1:17" s="3" customFormat="1" ht="30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6"/>
      <c r="L48" s="4"/>
      <c r="M48" s="4"/>
      <c r="N48" s="4"/>
      <c r="O48" s="4"/>
      <c r="P48" s="4"/>
      <c r="Q48" s="4"/>
    </row>
    <row r="49" spans="1:17" s="3" customFormat="1" ht="30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6"/>
      <c r="L49" s="4"/>
      <c r="M49" s="4"/>
      <c r="N49" s="4"/>
      <c r="O49" s="4"/>
      <c r="P49" s="4"/>
      <c r="Q49" s="4"/>
    </row>
    <row r="50" spans="1:17" s="3" customFormat="1" ht="30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6"/>
      <c r="L50" s="4"/>
      <c r="M50" s="4"/>
      <c r="N50" s="4"/>
      <c r="O50" s="4"/>
      <c r="P50" s="4"/>
      <c r="Q50" s="4"/>
    </row>
    <row r="51" spans="1:17" s="3" customFormat="1" ht="30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6"/>
      <c r="L51" s="4"/>
      <c r="M51" s="4"/>
      <c r="N51" s="4"/>
      <c r="O51" s="4"/>
      <c r="P51" s="4"/>
      <c r="Q51" s="4"/>
    </row>
    <row r="52" spans="1:17" s="3" customFormat="1" ht="30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6"/>
      <c r="L52" s="4"/>
      <c r="M52" s="4"/>
      <c r="N52" s="4"/>
      <c r="O52" s="4"/>
      <c r="P52" s="4"/>
      <c r="Q52" s="4"/>
    </row>
    <row r="53" spans="1:17" s="3" customFormat="1" ht="30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6"/>
      <c r="L53" s="4"/>
      <c r="M53" s="4"/>
      <c r="N53" s="4"/>
      <c r="O53" s="4"/>
      <c r="P53" s="4"/>
      <c r="Q53" s="4"/>
    </row>
    <row r="54" spans="1:17" s="3" customFormat="1" ht="30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6"/>
      <c r="L54" s="4"/>
      <c r="M54" s="4"/>
      <c r="N54" s="4"/>
      <c r="O54" s="4"/>
      <c r="P54" s="4"/>
      <c r="Q54" s="4"/>
    </row>
    <row r="55" spans="1:17" s="3" customFormat="1" ht="30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6"/>
      <c r="L55" s="4"/>
      <c r="M55" s="4"/>
      <c r="N55" s="4"/>
      <c r="O55" s="4"/>
      <c r="P55" s="4"/>
      <c r="Q55" s="4"/>
    </row>
  </sheetData>
  <mergeCells count="10">
    <mergeCell ref="K6:K7"/>
    <mergeCell ref="L6:L7"/>
    <mergeCell ref="M6:Q6"/>
    <mergeCell ref="C6:D6"/>
    <mergeCell ref="E6:E7"/>
    <mergeCell ref="A6:A7"/>
    <mergeCell ref="B6:B7"/>
    <mergeCell ref="F6:H6"/>
    <mergeCell ref="I6:I7"/>
    <mergeCell ref="J6:J7"/>
  </mergeCells>
  <pageMargins left="0.7" right="0.7" top="0.75" bottom="0.75" header="0.3" footer="0.3"/>
  <pageSetup scale="24"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5295-FE34-4FEB-815E-EC9D5DC25652}">
  <sheetPr codeName="Sheet8">
    <tabColor rgb="FF92D050"/>
  </sheetPr>
  <dimension ref="A1:W55"/>
  <sheetViews>
    <sheetView showGridLines="0" view="pageBreakPreview" topLeftCell="E1" zoomScale="55" zoomScaleNormal="70" zoomScaleSheetLayoutView="55" workbookViewId="0">
      <selection activeCell="T8" sqref="T8:U15"/>
    </sheetView>
  </sheetViews>
  <sheetFormatPr baseColWidth="10" defaultColWidth="9.1640625" defaultRowHeight="14" outlineLevelCol="1" x14ac:dyDescent="0.15"/>
  <cols>
    <col min="1" max="1" width="8.6640625" style="7" customWidth="1" outlineLevel="1"/>
    <col min="2" max="2" width="8.33203125" style="7" customWidth="1" outlineLevel="1"/>
    <col min="3" max="3" width="39.6640625" style="7" customWidth="1"/>
    <col min="4" max="4" width="15.5" style="7" customWidth="1"/>
    <col min="5" max="5" width="76.33203125" style="7" customWidth="1"/>
    <col min="6" max="7" width="14.1640625" style="7" customWidth="1"/>
    <col min="8" max="8" width="20.33203125" style="7" customWidth="1"/>
    <col min="9" max="9" width="39.5" style="27" customWidth="1"/>
    <col min="10" max="10" width="16.1640625" style="7" customWidth="1"/>
    <col min="11" max="11" width="18.6640625" style="7" customWidth="1"/>
    <col min="12" max="12" width="21.5" style="7" customWidth="1"/>
    <col min="13" max="13" width="22.1640625" style="7" customWidth="1" outlineLevel="1"/>
    <col min="14" max="18" width="18.5" style="7" customWidth="1" outlineLevel="1"/>
    <col min="19" max="19" width="9.1640625" style="7" customWidth="1"/>
    <col min="20" max="20" width="16.83203125" style="7" bestFit="1" customWidth="1"/>
    <col min="21" max="21" width="76.5" style="7" bestFit="1" customWidth="1"/>
    <col min="22" max="16384" width="9.1640625" style="7"/>
  </cols>
  <sheetData>
    <row r="1" spans="1:23" ht="20" x14ac:dyDescent="0.2">
      <c r="C1" s="10" t="s">
        <v>7</v>
      </c>
      <c r="D1" s="10"/>
    </row>
    <row r="2" spans="1:23" x14ac:dyDescent="0.15">
      <c r="C2" s="9" t="s">
        <v>8</v>
      </c>
      <c r="D2" s="9"/>
    </row>
    <row r="3" spans="1:23" x14ac:dyDescent="0.15">
      <c r="C3" s="156"/>
      <c r="D3" s="377"/>
      <c r="I3" s="7"/>
    </row>
    <row r="4" spans="1:23" x14ac:dyDescent="0.15">
      <c r="C4" s="156" t="s">
        <v>836</v>
      </c>
      <c r="D4" s="377" t="s">
        <v>505</v>
      </c>
      <c r="F4" s="7" t="s">
        <v>168</v>
      </c>
      <c r="I4" s="7"/>
      <c r="L4" s="9" t="s">
        <v>169</v>
      </c>
    </row>
    <row r="5" spans="1:23" x14ac:dyDescent="0.15">
      <c r="I5" s="7"/>
      <c r="K5" s="29">
        <f>SUM(K8:K55)</f>
        <v>21454481063</v>
      </c>
      <c r="L5" s="29">
        <f>SUM(L8:L55)</f>
        <v>57938723564</v>
      </c>
      <c r="N5" s="29">
        <f>SUM(N8:N55)</f>
        <v>21454481063</v>
      </c>
      <c r="O5" s="29">
        <f>SUM(O8:O55)</f>
        <v>19271771063</v>
      </c>
      <c r="P5" s="29">
        <f>SUM(P8:P55)</f>
        <v>15371771063</v>
      </c>
      <c r="Q5" s="29">
        <f>SUM(Q8:Q55)</f>
        <v>15251771063</v>
      </c>
      <c r="R5" s="29">
        <f>SUM(R8:R55)</f>
        <v>14207771063</v>
      </c>
    </row>
    <row r="6" spans="1:23" s="3" customFormat="1" ht="30" customHeight="1" x14ac:dyDescent="0.2">
      <c r="A6" s="380" t="s">
        <v>55</v>
      </c>
      <c r="B6" s="380" t="s">
        <v>59</v>
      </c>
      <c r="C6" s="434" t="s">
        <v>58</v>
      </c>
      <c r="D6" s="434" t="s">
        <v>57</v>
      </c>
      <c r="E6" s="380" t="s">
        <v>166</v>
      </c>
      <c r="F6" s="434" t="s">
        <v>145</v>
      </c>
      <c r="G6" s="434"/>
      <c r="H6" s="380" t="s">
        <v>148</v>
      </c>
      <c r="I6" s="435" t="s">
        <v>149</v>
      </c>
      <c r="J6" s="380" t="s">
        <v>31</v>
      </c>
      <c r="K6" s="380" t="s">
        <v>61</v>
      </c>
      <c r="L6" s="382" t="s">
        <v>60</v>
      </c>
      <c r="M6" s="380" t="s">
        <v>33</v>
      </c>
      <c r="N6" s="384" t="s">
        <v>54</v>
      </c>
      <c r="O6" s="385"/>
      <c r="P6" s="385"/>
      <c r="Q6" s="385"/>
      <c r="R6" s="386"/>
      <c r="V6" s="1"/>
    </row>
    <row r="7" spans="1:23" s="3" customFormat="1" ht="30" customHeight="1" x14ac:dyDescent="0.2">
      <c r="A7" s="381"/>
      <c r="B7" s="381"/>
      <c r="C7" s="434"/>
      <c r="D7" s="434"/>
      <c r="E7" s="381"/>
      <c r="F7" s="16" t="s">
        <v>146</v>
      </c>
      <c r="G7" s="16" t="s">
        <v>147</v>
      </c>
      <c r="H7" s="381"/>
      <c r="I7" s="436"/>
      <c r="J7" s="381"/>
      <c r="K7" s="381"/>
      <c r="L7" s="383"/>
      <c r="M7" s="381"/>
      <c r="N7" s="15">
        <v>2024</v>
      </c>
      <c r="O7" s="15">
        <v>2023</v>
      </c>
      <c r="P7" s="15">
        <v>2022</v>
      </c>
      <c r="Q7" s="15">
        <v>2021</v>
      </c>
      <c r="R7" s="15">
        <v>2020</v>
      </c>
      <c r="T7" s="3" t="s">
        <v>30</v>
      </c>
      <c r="U7" s="3" t="s">
        <v>30</v>
      </c>
      <c r="V7" s="1" t="s">
        <v>30</v>
      </c>
    </row>
    <row r="8" spans="1:23" s="3" customFormat="1" ht="30" customHeight="1" x14ac:dyDescent="0.2">
      <c r="A8" s="4">
        <v>1</v>
      </c>
      <c r="B8" s="4" t="str">
        <f t="shared" ref="B8:B36" si="0">VLOOKUP(C8,$U:$V,2,0)</f>
        <v>0502</v>
      </c>
      <c r="C8" s="23" t="s">
        <v>153</v>
      </c>
      <c r="D8" s="4" t="s">
        <v>225</v>
      </c>
      <c r="E8" s="73" t="s">
        <v>393</v>
      </c>
      <c r="F8" s="5" t="s">
        <v>394</v>
      </c>
      <c r="G8" s="5" t="s">
        <v>395</v>
      </c>
      <c r="H8" s="37" t="s">
        <v>223</v>
      </c>
      <c r="I8" s="21" t="s">
        <v>396</v>
      </c>
      <c r="J8" s="5">
        <v>1992</v>
      </c>
      <c r="K8" s="11">
        <v>60000000</v>
      </c>
      <c r="L8" s="36">
        <v>1318220000</v>
      </c>
      <c r="M8" s="22" t="s">
        <v>30</v>
      </c>
      <c r="N8" s="11">
        <v>60000000</v>
      </c>
      <c r="O8" s="11">
        <v>60000000</v>
      </c>
      <c r="P8" s="11">
        <v>60000000</v>
      </c>
      <c r="Q8" s="11">
        <v>60000000</v>
      </c>
      <c r="R8" s="11">
        <v>60000000</v>
      </c>
      <c r="T8" s="20" t="s">
        <v>150</v>
      </c>
      <c r="U8" s="19" t="s">
        <v>151</v>
      </c>
      <c r="V8" s="20" t="s">
        <v>150</v>
      </c>
      <c r="W8" s="3" t="s">
        <v>197</v>
      </c>
    </row>
    <row r="9" spans="1:23" s="3" customFormat="1" ht="30" customHeight="1" x14ac:dyDescent="0.2">
      <c r="A9" s="4">
        <f>A8+1</f>
        <v>2</v>
      </c>
      <c r="B9" s="4" t="str">
        <f t="shared" si="0"/>
        <v>0502</v>
      </c>
      <c r="C9" s="23" t="s">
        <v>153</v>
      </c>
      <c r="D9" s="4" t="s">
        <v>225</v>
      </c>
      <c r="E9" s="73" t="s">
        <v>397</v>
      </c>
      <c r="F9" s="5" t="s">
        <v>398</v>
      </c>
      <c r="G9" s="5" t="s">
        <v>399</v>
      </c>
      <c r="H9" s="37" t="s">
        <v>223</v>
      </c>
      <c r="I9" s="21" t="s">
        <v>400</v>
      </c>
      <c r="J9" s="5">
        <v>2001</v>
      </c>
      <c r="K9" s="11">
        <v>905310000</v>
      </c>
      <c r="L9" s="36">
        <v>10227585000</v>
      </c>
      <c r="M9" s="22" t="s">
        <v>30</v>
      </c>
      <c r="N9" s="11">
        <v>905310000</v>
      </c>
      <c r="O9" s="11">
        <v>905310000</v>
      </c>
      <c r="P9" s="11">
        <v>905310000</v>
      </c>
      <c r="Q9" s="11">
        <v>905310000</v>
      </c>
      <c r="R9" s="11">
        <v>905310000</v>
      </c>
      <c r="T9" s="20" t="s">
        <v>152</v>
      </c>
      <c r="U9" s="19" t="s">
        <v>153</v>
      </c>
      <c r="V9" s="20" t="s">
        <v>152</v>
      </c>
      <c r="W9" s="3" t="s">
        <v>198</v>
      </c>
    </row>
    <row r="10" spans="1:23" s="3" customFormat="1" ht="30" customHeight="1" x14ac:dyDescent="0.2">
      <c r="A10" s="4">
        <f t="shared" ref="A10:A36" si="1">A9+1</f>
        <v>3</v>
      </c>
      <c r="B10" s="4" t="str">
        <f t="shared" si="0"/>
        <v>0501</v>
      </c>
      <c r="C10" s="23" t="s">
        <v>151</v>
      </c>
      <c r="D10" s="4" t="s">
        <v>225</v>
      </c>
      <c r="E10" s="73" t="s">
        <v>1064</v>
      </c>
      <c r="F10" s="5" t="s">
        <v>245</v>
      </c>
      <c r="G10" s="5" t="s">
        <v>401</v>
      </c>
      <c r="H10" s="37" t="s">
        <v>223</v>
      </c>
      <c r="I10" s="5" t="s">
        <v>402</v>
      </c>
      <c r="J10" s="5">
        <v>2016</v>
      </c>
      <c r="K10" s="11">
        <v>581250000</v>
      </c>
      <c r="L10" s="36">
        <v>959760000</v>
      </c>
      <c r="M10" s="22" t="s">
        <v>30</v>
      </c>
      <c r="N10" s="11">
        <v>581250000</v>
      </c>
      <c r="O10" s="11">
        <v>581250000</v>
      </c>
      <c r="P10" s="11">
        <v>581250000</v>
      </c>
      <c r="Q10" s="11">
        <v>581250000</v>
      </c>
      <c r="R10" s="11">
        <v>581250000</v>
      </c>
      <c r="T10" s="20" t="s">
        <v>154</v>
      </c>
      <c r="U10" s="19" t="s">
        <v>155</v>
      </c>
      <c r="V10" s="20" t="s">
        <v>154</v>
      </c>
    </row>
    <row r="11" spans="1:23" s="3" customFormat="1" ht="30" customHeight="1" x14ac:dyDescent="0.2">
      <c r="A11" s="4">
        <f t="shared" si="1"/>
        <v>4</v>
      </c>
      <c r="B11" s="4" t="str">
        <f t="shared" si="0"/>
        <v>0501</v>
      </c>
      <c r="C11" s="23" t="s">
        <v>151</v>
      </c>
      <c r="D11" s="4" t="s">
        <v>225</v>
      </c>
      <c r="E11" s="73" t="s">
        <v>403</v>
      </c>
      <c r="F11" s="5" t="s">
        <v>245</v>
      </c>
      <c r="G11" s="5" t="s">
        <v>401</v>
      </c>
      <c r="H11" s="37" t="s">
        <v>223</v>
      </c>
      <c r="I11" s="5" t="s">
        <v>404</v>
      </c>
      <c r="J11" s="5">
        <v>2016</v>
      </c>
      <c r="K11" s="11">
        <v>581250000</v>
      </c>
      <c r="L11" s="36">
        <v>959760000</v>
      </c>
      <c r="M11" s="22" t="s">
        <v>30</v>
      </c>
      <c r="N11" s="11">
        <v>581250000</v>
      </c>
      <c r="O11" s="11">
        <v>581250000</v>
      </c>
      <c r="P11" s="11">
        <v>581250000</v>
      </c>
      <c r="Q11" s="11">
        <v>581250000</v>
      </c>
      <c r="R11" s="11">
        <v>581250000</v>
      </c>
      <c r="T11" s="20" t="s">
        <v>156</v>
      </c>
      <c r="U11" s="19" t="s">
        <v>157</v>
      </c>
      <c r="V11" s="20" t="s">
        <v>156</v>
      </c>
    </row>
    <row r="12" spans="1:23" s="3" customFormat="1" ht="30" customHeight="1" x14ac:dyDescent="0.2">
      <c r="A12" s="4">
        <f t="shared" si="1"/>
        <v>5</v>
      </c>
      <c r="B12" s="4" t="str">
        <f t="shared" si="0"/>
        <v>0501</v>
      </c>
      <c r="C12" s="23" t="s">
        <v>151</v>
      </c>
      <c r="D12" s="4" t="s">
        <v>225</v>
      </c>
      <c r="E12" s="76" t="s">
        <v>1080</v>
      </c>
      <c r="F12" s="5" t="s">
        <v>1081</v>
      </c>
      <c r="G12" s="5" t="s">
        <v>245</v>
      </c>
      <c r="H12" s="37" t="s">
        <v>223</v>
      </c>
      <c r="I12" s="38" t="s">
        <v>1082</v>
      </c>
      <c r="J12" s="5">
        <v>2016</v>
      </c>
      <c r="K12" s="11">
        <v>30720000</v>
      </c>
      <c r="L12" s="36">
        <v>30720000</v>
      </c>
      <c r="M12" s="22" t="s">
        <v>30</v>
      </c>
      <c r="N12" s="11">
        <v>30720000</v>
      </c>
      <c r="O12" s="11">
        <v>30720000</v>
      </c>
      <c r="P12" s="11">
        <v>30720000</v>
      </c>
      <c r="Q12" s="11">
        <v>30720000</v>
      </c>
      <c r="R12" s="11">
        <v>30720000</v>
      </c>
      <c r="T12" s="20" t="s">
        <v>158</v>
      </c>
      <c r="U12" s="19" t="s">
        <v>159</v>
      </c>
      <c r="V12" s="20" t="s">
        <v>158</v>
      </c>
    </row>
    <row r="13" spans="1:23" s="3" customFormat="1" ht="30" customHeight="1" x14ac:dyDescent="0.2">
      <c r="A13" s="4">
        <f t="shared" si="1"/>
        <v>6</v>
      </c>
      <c r="B13" s="4" t="str">
        <f t="shared" si="0"/>
        <v>0502</v>
      </c>
      <c r="C13" s="23" t="s">
        <v>153</v>
      </c>
      <c r="D13" s="4" t="s">
        <v>225</v>
      </c>
      <c r="E13" s="76" t="s">
        <v>405</v>
      </c>
      <c r="F13" s="5" t="s">
        <v>406</v>
      </c>
      <c r="G13" s="5" t="s">
        <v>407</v>
      </c>
      <c r="H13" s="37" t="s">
        <v>223</v>
      </c>
      <c r="I13" s="5" t="s">
        <v>408</v>
      </c>
      <c r="J13" s="5">
        <v>2016</v>
      </c>
      <c r="K13" s="11">
        <v>2850000000</v>
      </c>
      <c r="L13" s="36">
        <v>4121625000</v>
      </c>
      <c r="M13" s="22" t="s">
        <v>30</v>
      </c>
      <c r="N13" s="11">
        <v>2850000000</v>
      </c>
      <c r="O13" s="11">
        <v>2850000000</v>
      </c>
      <c r="P13" s="11">
        <v>2850000000</v>
      </c>
      <c r="Q13" s="11">
        <v>2850000000</v>
      </c>
      <c r="R13" s="11">
        <v>2850000000</v>
      </c>
      <c r="T13" s="20" t="s">
        <v>160</v>
      </c>
      <c r="U13" s="19" t="s">
        <v>161</v>
      </c>
      <c r="V13" s="20" t="s">
        <v>160</v>
      </c>
    </row>
    <row r="14" spans="1:23" s="3" customFormat="1" ht="30" customHeight="1" x14ac:dyDescent="0.2">
      <c r="A14" s="4">
        <f t="shared" si="1"/>
        <v>7</v>
      </c>
      <c r="B14" s="4" t="str">
        <f t="shared" si="0"/>
        <v>0502</v>
      </c>
      <c r="C14" s="23" t="s">
        <v>153</v>
      </c>
      <c r="D14" s="4" t="s">
        <v>225</v>
      </c>
      <c r="E14" s="76" t="s">
        <v>409</v>
      </c>
      <c r="F14" s="5" t="s">
        <v>410</v>
      </c>
      <c r="G14" s="5" t="s">
        <v>411</v>
      </c>
      <c r="H14" s="37" t="s">
        <v>223</v>
      </c>
      <c r="I14" s="26" t="s">
        <v>412</v>
      </c>
      <c r="J14" s="5">
        <v>2021</v>
      </c>
      <c r="K14" s="11">
        <v>1164000000</v>
      </c>
      <c r="L14" s="36">
        <v>1164000000</v>
      </c>
      <c r="M14" s="22">
        <v>427100000</v>
      </c>
      <c r="N14" s="11">
        <v>1164000000</v>
      </c>
      <c r="O14" s="11">
        <v>1164000000</v>
      </c>
      <c r="P14" s="11">
        <v>1164000000</v>
      </c>
      <c r="Q14" s="11">
        <v>1044000000</v>
      </c>
      <c r="R14" s="11">
        <v>0</v>
      </c>
      <c r="T14" s="20" t="s">
        <v>162</v>
      </c>
      <c r="U14" s="19" t="s">
        <v>163</v>
      </c>
      <c r="V14" s="20" t="s">
        <v>162</v>
      </c>
    </row>
    <row r="15" spans="1:23" s="3" customFormat="1" ht="30" customHeight="1" x14ac:dyDescent="0.2">
      <c r="A15" s="4">
        <f t="shared" si="1"/>
        <v>8</v>
      </c>
      <c r="B15" s="4" t="str">
        <f t="shared" si="0"/>
        <v>0502</v>
      </c>
      <c r="C15" s="23" t="s">
        <v>153</v>
      </c>
      <c r="D15" s="4" t="s">
        <v>225</v>
      </c>
      <c r="E15" s="76" t="s">
        <v>1091</v>
      </c>
      <c r="F15" s="5" t="s">
        <v>406</v>
      </c>
      <c r="G15" s="5" t="s">
        <v>413</v>
      </c>
      <c r="H15" s="37" t="s">
        <v>223</v>
      </c>
      <c r="I15" s="26" t="s">
        <v>414</v>
      </c>
      <c r="J15" s="5">
        <v>2023</v>
      </c>
      <c r="K15" s="11">
        <v>3900000000</v>
      </c>
      <c r="L15" s="36">
        <v>3974225000</v>
      </c>
      <c r="M15" s="22" t="s">
        <v>30</v>
      </c>
      <c r="N15" s="11">
        <v>3900000000</v>
      </c>
      <c r="O15" s="11">
        <v>3900000000</v>
      </c>
      <c r="P15" s="11">
        <v>0</v>
      </c>
      <c r="Q15" s="11">
        <v>0</v>
      </c>
      <c r="R15" s="11">
        <v>0</v>
      </c>
      <c r="T15" s="20" t="s">
        <v>164</v>
      </c>
      <c r="U15" s="19" t="s">
        <v>165</v>
      </c>
      <c r="V15" s="20" t="s">
        <v>164</v>
      </c>
    </row>
    <row r="16" spans="1:23" s="3" customFormat="1" ht="30" customHeight="1" x14ac:dyDescent="0.2">
      <c r="A16" s="4">
        <f t="shared" si="1"/>
        <v>9</v>
      </c>
      <c r="B16" s="4" t="str">
        <f t="shared" si="0"/>
        <v>0502</v>
      </c>
      <c r="C16" s="23" t="s">
        <v>153</v>
      </c>
      <c r="D16" s="4" t="s">
        <v>225</v>
      </c>
      <c r="E16" s="76" t="s">
        <v>1063</v>
      </c>
      <c r="F16" s="5" t="s">
        <v>415</v>
      </c>
      <c r="G16" s="5" t="s">
        <v>416</v>
      </c>
      <c r="H16" s="37" t="s">
        <v>223</v>
      </c>
      <c r="I16" s="77" t="s">
        <v>417</v>
      </c>
      <c r="J16" s="5">
        <v>2024</v>
      </c>
      <c r="K16" s="11">
        <v>2350000000</v>
      </c>
      <c r="L16" s="36">
        <f>4606543000/2</f>
        <v>2303271500</v>
      </c>
      <c r="M16" s="22" t="s">
        <v>30</v>
      </c>
      <c r="N16" s="11">
        <v>2350000000</v>
      </c>
      <c r="O16" s="11">
        <v>0</v>
      </c>
      <c r="P16" s="11">
        <v>0</v>
      </c>
      <c r="Q16" s="11">
        <v>0</v>
      </c>
      <c r="R16" s="11">
        <v>0</v>
      </c>
      <c r="T16" s="20"/>
      <c r="U16" s="19"/>
      <c r="V16" s="20"/>
    </row>
    <row r="17" spans="1:22" s="3" customFormat="1" ht="30" customHeight="1" x14ac:dyDescent="0.2">
      <c r="A17" s="4">
        <f t="shared" si="1"/>
        <v>10</v>
      </c>
      <c r="B17" s="4" t="str">
        <f t="shared" si="0"/>
        <v>0506</v>
      </c>
      <c r="C17" s="23" t="s">
        <v>161</v>
      </c>
      <c r="D17" s="4" t="s">
        <v>225</v>
      </c>
      <c r="E17" s="76" t="s">
        <v>1090</v>
      </c>
      <c r="F17" s="5" t="s">
        <v>245</v>
      </c>
      <c r="G17" s="5" t="s">
        <v>418</v>
      </c>
      <c r="H17" s="5" t="s">
        <v>223</v>
      </c>
      <c r="I17" s="26" t="s">
        <v>419</v>
      </c>
      <c r="J17" s="5">
        <v>1999</v>
      </c>
      <c r="K17" s="11">
        <v>170000000</v>
      </c>
      <c r="L17" s="36">
        <v>511180000</v>
      </c>
      <c r="M17" s="22" t="s">
        <v>30</v>
      </c>
      <c r="N17" s="11">
        <v>170000000</v>
      </c>
      <c r="O17" s="11">
        <v>170000000</v>
      </c>
      <c r="P17" s="11">
        <v>170000000</v>
      </c>
      <c r="Q17" s="11">
        <v>170000000</v>
      </c>
      <c r="R17" s="11">
        <v>170000000</v>
      </c>
      <c r="T17" s="20"/>
      <c r="U17" s="19"/>
      <c r="V17" s="20"/>
    </row>
    <row r="18" spans="1:22" s="3" customFormat="1" ht="30" customHeight="1" x14ac:dyDescent="0.2">
      <c r="A18" s="4">
        <f t="shared" si="1"/>
        <v>11</v>
      </c>
      <c r="B18" s="4" t="str">
        <f t="shared" si="0"/>
        <v>0506</v>
      </c>
      <c r="C18" s="23" t="s">
        <v>161</v>
      </c>
      <c r="D18" s="4" t="s">
        <v>225</v>
      </c>
      <c r="E18" s="76" t="s">
        <v>420</v>
      </c>
      <c r="F18" s="5" t="s">
        <v>421</v>
      </c>
      <c r="G18" s="5" t="s">
        <v>422</v>
      </c>
      <c r="H18" s="5" t="s">
        <v>223</v>
      </c>
      <c r="I18" s="26" t="s">
        <v>423</v>
      </c>
      <c r="J18" s="5">
        <v>2000</v>
      </c>
      <c r="K18" s="11">
        <v>490500000</v>
      </c>
      <c r="L18" s="36">
        <v>3154842000</v>
      </c>
      <c r="M18" s="22" t="s">
        <v>30</v>
      </c>
      <c r="N18" s="11">
        <v>490500000</v>
      </c>
      <c r="O18" s="11">
        <v>490500000</v>
      </c>
      <c r="P18" s="11">
        <v>490500000</v>
      </c>
      <c r="Q18" s="11">
        <v>490500000</v>
      </c>
      <c r="R18" s="11">
        <v>490500000</v>
      </c>
      <c r="T18" s="20" t="s">
        <v>211</v>
      </c>
      <c r="U18" s="19"/>
      <c r="V18" s="20"/>
    </row>
    <row r="19" spans="1:22" s="3" customFormat="1" ht="30" customHeight="1" x14ac:dyDescent="0.2">
      <c r="A19" s="4">
        <f t="shared" si="1"/>
        <v>12</v>
      </c>
      <c r="B19" s="4" t="str">
        <f t="shared" si="0"/>
        <v>0506</v>
      </c>
      <c r="C19" s="23" t="s">
        <v>161</v>
      </c>
      <c r="D19" s="4" t="s">
        <v>225</v>
      </c>
      <c r="E19" s="76" t="s">
        <v>424</v>
      </c>
      <c r="F19" s="5" t="s">
        <v>425</v>
      </c>
      <c r="G19" s="5" t="s">
        <v>426</v>
      </c>
      <c r="H19" s="5" t="s">
        <v>223</v>
      </c>
      <c r="I19" s="26" t="s">
        <v>427</v>
      </c>
      <c r="J19" s="5">
        <v>2003</v>
      </c>
      <c r="K19" s="11">
        <v>600000000</v>
      </c>
      <c r="L19" s="36">
        <v>4119580000</v>
      </c>
      <c r="M19" s="22" t="s">
        <v>30</v>
      </c>
      <c r="N19" s="11">
        <v>600000000</v>
      </c>
      <c r="O19" s="11">
        <v>600000000</v>
      </c>
      <c r="P19" s="11">
        <v>600000000</v>
      </c>
      <c r="Q19" s="11">
        <v>600000000</v>
      </c>
      <c r="R19" s="11">
        <v>600000000</v>
      </c>
      <c r="T19" s="20" t="s">
        <v>212</v>
      </c>
      <c r="U19" s="19" t="s">
        <v>206</v>
      </c>
      <c r="V19" s="20"/>
    </row>
    <row r="20" spans="1:22" s="3" customFormat="1" ht="30" customHeight="1" x14ac:dyDescent="0.2">
      <c r="A20" s="4">
        <f t="shared" si="1"/>
        <v>13</v>
      </c>
      <c r="B20" s="4" t="str">
        <f t="shared" si="0"/>
        <v>0506</v>
      </c>
      <c r="C20" s="23" t="s">
        <v>161</v>
      </c>
      <c r="D20" s="4" t="s">
        <v>225</v>
      </c>
      <c r="E20" s="76" t="s">
        <v>428</v>
      </c>
      <c r="F20" s="5" t="s">
        <v>245</v>
      </c>
      <c r="G20" s="5" t="s">
        <v>429</v>
      </c>
      <c r="H20" s="5" t="s">
        <v>223</v>
      </c>
      <c r="I20" s="26" t="s">
        <v>430</v>
      </c>
      <c r="J20" s="5">
        <v>2003</v>
      </c>
      <c r="K20" s="11">
        <v>230000000</v>
      </c>
      <c r="L20" s="36">
        <v>409265000</v>
      </c>
      <c r="M20" s="22" t="s">
        <v>30</v>
      </c>
      <c r="N20" s="11">
        <v>230000000</v>
      </c>
      <c r="O20" s="11">
        <v>230000000</v>
      </c>
      <c r="P20" s="11">
        <v>230000000</v>
      </c>
      <c r="Q20" s="11">
        <v>230000000</v>
      </c>
      <c r="R20" s="11">
        <v>230000000</v>
      </c>
      <c r="T20" s="19" t="s">
        <v>213</v>
      </c>
      <c r="U20" s="19" t="s">
        <v>214</v>
      </c>
      <c r="V20" s="19"/>
    </row>
    <row r="21" spans="1:22" s="3" customFormat="1" ht="30" customHeight="1" x14ac:dyDescent="0.2">
      <c r="A21" s="4">
        <f t="shared" si="1"/>
        <v>14</v>
      </c>
      <c r="B21" s="4" t="str">
        <f t="shared" si="0"/>
        <v>0502</v>
      </c>
      <c r="C21" s="23" t="s">
        <v>153</v>
      </c>
      <c r="D21" s="4" t="s">
        <v>225</v>
      </c>
      <c r="E21" s="76" t="s">
        <v>431</v>
      </c>
      <c r="F21" s="5" t="s">
        <v>410</v>
      </c>
      <c r="G21" s="5" t="s">
        <v>432</v>
      </c>
      <c r="H21" s="5" t="s">
        <v>223</v>
      </c>
      <c r="I21" s="26" t="s">
        <v>433</v>
      </c>
      <c r="J21" s="5">
        <v>2008</v>
      </c>
      <c r="K21" s="11">
        <v>1450000000</v>
      </c>
      <c r="L21" s="36">
        <v>3211900000</v>
      </c>
      <c r="M21" s="22" t="s">
        <v>30</v>
      </c>
      <c r="N21" s="11">
        <v>1450000000</v>
      </c>
      <c r="O21" s="11">
        <v>1450000000</v>
      </c>
      <c r="P21" s="11">
        <v>1450000000</v>
      </c>
      <c r="Q21" s="11">
        <v>1450000000</v>
      </c>
      <c r="R21" s="11">
        <v>1450000000</v>
      </c>
      <c r="T21" s="3" t="s">
        <v>215</v>
      </c>
      <c r="U21" s="3" t="s">
        <v>216</v>
      </c>
    </row>
    <row r="22" spans="1:22" s="3" customFormat="1" ht="30" customHeight="1" x14ac:dyDescent="0.2">
      <c r="A22" s="4">
        <f t="shared" si="1"/>
        <v>15</v>
      </c>
      <c r="B22" s="4" t="str">
        <f t="shared" si="0"/>
        <v>0506</v>
      </c>
      <c r="C22" s="23" t="s">
        <v>161</v>
      </c>
      <c r="D22" s="4" t="s">
        <v>225</v>
      </c>
      <c r="E22" s="76" t="s">
        <v>434</v>
      </c>
      <c r="F22" s="5" t="s">
        <v>435</v>
      </c>
      <c r="G22" s="5" t="s">
        <v>436</v>
      </c>
      <c r="H22" s="5" t="s">
        <v>223</v>
      </c>
      <c r="I22" s="26" t="s">
        <v>437</v>
      </c>
      <c r="J22" s="5">
        <v>2009</v>
      </c>
      <c r="K22" s="11">
        <v>472843636</v>
      </c>
      <c r="L22" s="36">
        <v>2437506000</v>
      </c>
      <c r="M22" s="22" t="s">
        <v>30</v>
      </c>
      <c r="N22" s="11">
        <v>472843636</v>
      </c>
      <c r="O22" s="11">
        <v>472843636</v>
      </c>
      <c r="P22" s="11">
        <v>472843636</v>
      </c>
      <c r="Q22" s="11">
        <v>472843636</v>
      </c>
      <c r="R22" s="11">
        <v>472843636</v>
      </c>
      <c r="T22" s="3" t="s">
        <v>217</v>
      </c>
      <c r="U22" s="3" t="s">
        <v>218</v>
      </c>
    </row>
    <row r="23" spans="1:22" s="3" customFormat="1" ht="30" customHeight="1" x14ac:dyDescent="0.2">
      <c r="A23" s="4">
        <f t="shared" si="1"/>
        <v>16</v>
      </c>
      <c r="B23" s="4" t="str">
        <f t="shared" si="0"/>
        <v>0506</v>
      </c>
      <c r="C23" s="23" t="s">
        <v>161</v>
      </c>
      <c r="D23" s="4" t="s">
        <v>225</v>
      </c>
      <c r="E23" s="76" t="s">
        <v>438</v>
      </c>
      <c r="F23" s="5" t="s">
        <v>435</v>
      </c>
      <c r="G23" s="5" t="s">
        <v>436</v>
      </c>
      <c r="H23" s="5" t="s">
        <v>223</v>
      </c>
      <c r="I23" s="26" t="s">
        <v>439</v>
      </c>
      <c r="J23" s="5">
        <v>2009</v>
      </c>
      <c r="K23" s="11">
        <v>472843636</v>
      </c>
      <c r="L23" s="36">
        <v>2437506000</v>
      </c>
      <c r="M23" s="22" t="s">
        <v>30</v>
      </c>
      <c r="N23" s="11">
        <v>472843636</v>
      </c>
      <c r="O23" s="11">
        <v>472843636</v>
      </c>
      <c r="P23" s="11">
        <v>472843636</v>
      </c>
      <c r="Q23" s="11">
        <v>472843636</v>
      </c>
      <c r="R23" s="11">
        <v>472843636</v>
      </c>
      <c r="T23" s="3" t="s">
        <v>219</v>
      </c>
      <c r="U23" s="3" t="s">
        <v>220</v>
      </c>
    </row>
    <row r="24" spans="1:22" s="3" customFormat="1" ht="30" customHeight="1" x14ac:dyDescent="0.2">
      <c r="A24" s="4">
        <f t="shared" si="1"/>
        <v>17</v>
      </c>
      <c r="B24" s="4" t="str">
        <f t="shared" si="0"/>
        <v>0506</v>
      </c>
      <c r="C24" s="23" t="s">
        <v>161</v>
      </c>
      <c r="D24" s="4" t="s">
        <v>225</v>
      </c>
      <c r="E24" s="76" t="s">
        <v>440</v>
      </c>
      <c r="F24" s="5" t="s">
        <v>435</v>
      </c>
      <c r="G24" s="5" t="s">
        <v>436</v>
      </c>
      <c r="H24" s="5" t="s">
        <v>223</v>
      </c>
      <c r="I24" s="26" t="s">
        <v>441</v>
      </c>
      <c r="J24" s="5">
        <v>2009</v>
      </c>
      <c r="K24" s="11">
        <v>527570909</v>
      </c>
      <c r="L24" s="36">
        <v>2437506000</v>
      </c>
      <c r="M24" s="22" t="s">
        <v>30</v>
      </c>
      <c r="N24" s="11">
        <v>527570909</v>
      </c>
      <c r="O24" s="11">
        <v>527570909</v>
      </c>
      <c r="P24" s="11">
        <v>527570909</v>
      </c>
      <c r="Q24" s="11">
        <v>527570909</v>
      </c>
      <c r="R24" s="11">
        <v>527570909</v>
      </c>
      <c r="T24" s="3" t="s">
        <v>221</v>
      </c>
      <c r="U24" s="3" t="s">
        <v>222</v>
      </c>
    </row>
    <row r="25" spans="1:22" s="3" customFormat="1" ht="30" customHeight="1" x14ac:dyDescent="0.2">
      <c r="A25" s="4">
        <f t="shared" si="1"/>
        <v>18</v>
      </c>
      <c r="B25" s="4" t="str">
        <f t="shared" si="0"/>
        <v>0506</v>
      </c>
      <c r="C25" s="23" t="s">
        <v>161</v>
      </c>
      <c r="D25" s="4" t="s">
        <v>225</v>
      </c>
      <c r="E25" s="76" t="s">
        <v>442</v>
      </c>
      <c r="F25" s="5" t="s">
        <v>435</v>
      </c>
      <c r="G25" s="5" t="s">
        <v>436</v>
      </c>
      <c r="H25" s="5" t="s">
        <v>223</v>
      </c>
      <c r="I25" s="26" t="s">
        <v>443</v>
      </c>
      <c r="J25" s="5">
        <v>2009</v>
      </c>
      <c r="K25" s="11">
        <v>527570909</v>
      </c>
      <c r="L25" s="36">
        <v>2437506000</v>
      </c>
      <c r="M25" s="22" t="s">
        <v>30</v>
      </c>
      <c r="N25" s="11">
        <v>527570909</v>
      </c>
      <c r="O25" s="11">
        <v>527570909</v>
      </c>
      <c r="P25" s="11">
        <v>527570909</v>
      </c>
      <c r="Q25" s="11">
        <v>527570909</v>
      </c>
      <c r="R25" s="11">
        <v>527570909</v>
      </c>
      <c r="T25" s="3" t="s">
        <v>223</v>
      </c>
      <c r="U25" s="3" t="s">
        <v>224</v>
      </c>
    </row>
    <row r="26" spans="1:22" s="3" customFormat="1" ht="30" customHeight="1" x14ac:dyDescent="0.2">
      <c r="A26" s="4">
        <f t="shared" si="1"/>
        <v>19</v>
      </c>
      <c r="B26" s="4" t="str">
        <f t="shared" si="0"/>
        <v>0506</v>
      </c>
      <c r="C26" s="23" t="s">
        <v>161</v>
      </c>
      <c r="D26" s="4" t="s">
        <v>225</v>
      </c>
      <c r="E26" s="373" t="s">
        <v>444</v>
      </c>
      <c r="F26" s="4" t="s">
        <v>245</v>
      </c>
      <c r="G26" s="4" t="s">
        <v>445</v>
      </c>
      <c r="H26" s="4" t="s">
        <v>223</v>
      </c>
      <c r="I26" s="28" t="s">
        <v>446</v>
      </c>
      <c r="J26" s="5">
        <v>2009</v>
      </c>
      <c r="K26" s="11">
        <v>337336364</v>
      </c>
      <c r="L26" s="36">
        <v>337336364</v>
      </c>
      <c r="M26" s="22">
        <v>243069000</v>
      </c>
      <c r="N26" s="11">
        <v>337336364</v>
      </c>
      <c r="O26" s="11">
        <v>337336364</v>
      </c>
      <c r="P26" s="11">
        <v>337336364</v>
      </c>
      <c r="Q26" s="11">
        <v>337336364</v>
      </c>
      <c r="R26" s="11">
        <v>337336364</v>
      </c>
    </row>
    <row r="27" spans="1:22" s="3" customFormat="1" ht="30" customHeight="1" x14ac:dyDescent="0.2">
      <c r="A27" s="4">
        <f t="shared" si="1"/>
        <v>20</v>
      </c>
      <c r="B27" s="4" t="str">
        <f t="shared" si="0"/>
        <v>0506</v>
      </c>
      <c r="C27" s="23" t="s">
        <v>161</v>
      </c>
      <c r="D27" s="4" t="s">
        <v>225</v>
      </c>
      <c r="E27" s="373" t="s">
        <v>447</v>
      </c>
      <c r="F27" s="4" t="s">
        <v>435</v>
      </c>
      <c r="G27" s="4" t="s">
        <v>436</v>
      </c>
      <c r="H27" s="4" t="s">
        <v>223</v>
      </c>
      <c r="I27" s="28" t="s">
        <v>448</v>
      </c>
      <c r="J27" s="5">
        <v>2011</v>
      </c>
      <c r="K27" s="11">
        <v>527570909</v>
      </c>
      <c r="L27" s="36">
        <v>2437506000</v>
      </c>
      <c r="M27" s="22" t="s">
        <v>30</v>
      </c>
      <c r="N27" s="11">
        <v>527570909</v>
      </c>
      <c r="O27" s="11">
        <v>527570909</v>
      </c>
      <c r="P27" s="11">
        <v>527570909</v>
      </c>
      <c r="Q27" s="11">
        <v>527570909</v>
      </c>
      <c r="R27" s="11">
        <v>527570909</v>
      </c>
    </row>
    <row r="28" spans="1:22" s="3" customFormat="1" ht="30" customHeight="1" x14ac:dyDescent="0.2">
      <c r="A28" s="4">
        <f t="shared" si="1"/>
        <v>21</v>
      </c>
      <c r="B28" s="4" t="str">
        <f t="shared" si="0"/>
        <v>0506</v>
      </c>
      <c r="C28" s="23" t="s">
        <v>161</v>
      </c>
      <c r="D28" s="4" t="s">
        <v>225</v>
      </c>
      <c r="E28" s="373" t="s">
        <v>449</v>
      </c>
      <c r="F28" s="4" t="s">
        <v>450</v>
      </c>
      <c r="G28" s="4" t="s">
        <v>451</v>
      </c>
      <c r="H28" s="4" t="s">
        <v>223</v>
      </c>
      <c r="I28" s="28" t="s">
        <v>452</v>
      </c>
      <c r="J28" s="5">
        <v>2012</v>
      </c>
      <c r="K28" s="11">
        <v>567360000</v>
      </c>
      <c r="L28" s="36">
        <v>2055312000</v>
      </c>
      <c r="M28" s="22" t="s">
        <v>30</v>
      </c>
      <c r="N28" s="11">
        <v>567360000</v>
      </c>
      <c r="O28" s="11">
        <v>567360000</v>
      </c>
      <c r="P28" s="11">
        <v>567360000</v>
      </c>
      <c r="Q28" s="11">
        <v>567360000</v>
      </c>
      <c r="R28" s="11">
        <v>567360000</v>
      </c>
    </row>
    <row r="29" spans="1:22" s="3" customFormat="1" ht="30" customHeight="1" x14ac:dyDescent="0.2">
      <c r="A29" s="4">
        <f t="shared" si="1"/>
        <v>22</v>
      </c>
      <c r="B29" s="4" t="str">
        <f t="shared" si="0"/>
        <v>0506</v>
      </c>
      <c r="C29" s="23" t="s">
        <v>161</v>
      </c>
      <c r="D29" s="4" t="s">
        <v>225</v>
      </c>
      <c r="E29" s="373" t="s">
        <v>453</v>
      </c>
      <c r="F29" s="4" t="s">
        <v>454</v>
      </c>
      <c r="G29" s="4" t="s">
        <v>451</v>
      </c>
      <c r="H29" s="4" t="s">
        <v>223</v>
      </c>
      <c r="I29" s="28" t="s">
        <v>455</v>
      </c>
      <c r="J29" s="5">
        <v>2012</v>
      </c>
      <c r="K29" s="11">
        <v>567360000</v>
      </c>
      <c r="L29" s="36">
        <v>1945260000</v>
      </c>
      <c r="M29" s="22" t="s">
        <v>30</v>
      </c>
      <c r="N29" s="11">
        <v>567360000</v>
      </c>
      <c r="O29" s="11">
        <v>567360000</v>
      </c>
      <c r="P29" s="11">
        <v>567360000</v>
      </c>
      <c r="Q29" s="11">
        <v>567360000</v>
      </c>
      <c r="R29" s="11">
        <v>567360000</v>
      </c>
    </row>
    <row r="30" spans="1:22" s="3" customFormat="1" ht="30" customHeight="1" x14ac:dyDescent="0.2">
      <c r="A30" s="4">
        <f t="shared" si="1"/>
        <v>23</v>
      </c>
      <c r="B30" s="4" t="str">
        <f t="shared" si="0"/>
        <v>0506</v>
      </c>
      <c r="C30" s="23" t="s">
        <v>161</v>
      </c>
      <c r="D30" s="4" t="s">
        <v>225</v>
      </c>
      <c r="E30" s="373" t="s">
        <v>456</v>
      </c>
      <c r="F30" s="4" t="s">
        <v>421</v>
      </c>
      <c r="G30" s="4" t="s">
        <v>422</v>
      </c>
      <c r="H30" s="4" t="s">
        <v>223</v>
      </c>
      <c r="I30" s="28" t="s">
        <v>457</v>
      </c>
      <c r="J30" s="5">
        <v>2016</v>
      </c>
      <c r="K30" s="11">
        <v>490500000</v>
      </c>
      <c r="L30" s="36">
        <v>3154842000</v>
      </c>
      <c r="M30" s="22" t="s">
        <v>30</v>
      </c>
      <c r="N30" s="11">
        <v>490500000</v>
      </c>
      <c r="O30" s="11">
        <v>490500000</v>
      </c>
      <c r="P30" s="11">
        <v>490500000</v>
      </c>
      <c r="Q30" s="11">
        <v>490500000</v>
      </c>
      <c r="R30" s="11">
        <v>490500000</v>
      </c>
    </row>
    <row r="31" spans="1:22" s="3" customFormat="1" ht="30" customHeight="1" x14ac:dyDescent="0.2">
      <c r="A31" s="4">
        <f t="shared" si="1"/>
        <v>24</v>
      </c>
      <c r="B31" s="4" t="str">
        <f t="shared" si="0"/>
        <v>0506</v>
      </c>
      <c r="C31" s="23" t="s">
        <v>161</v>
      </c>
      <c r="D31" s="4" t="s">
        <v>225</v>
      </c>
      <c r="E31" s="373" t="s">
        <v>458</v>
      </c>
      <c r="F31" s="4" t="s">
        <v>245</v>
      </c>
      <c r="G31" s="4" t="s">
        <v>459</v>
      </c>
      <c r="H31" s="4" t="s">
        <v>223</v>
      </c>
      <c r="I31" s="28" t="s">
        <v>460</v>
      </c>
      <c r="J31" s="5">
        <v>2016</v>
      </c>
      <c r="K31" s="11">
        <v>210000000</v>
      </c>
      <c r="L31" s="36">
        <v>402015000</v>
      </c>
      <c r="M31" s="22" t="s">
        <v>30</v>
      </c>
      <c r="N31" s="11">
        <v>210000000</v>
      </c>
      <c r="O31" s="11">
        <v>210000000</v>
      </c>
      <c r="P31" s="11">
        <v>210000000</v>
      </c>
      <c r="Q31" s="11">
        <v>210000000</v>
      </c>
      <c r="R31" s="11">
        <v>210000000</v>
      </c>
    </row>
    <row r="32" spans="1:22" s="3" customFormat="1" ht="30" customHeight="1" x14ac:dyDescent="0.2">
      <c r="A32" s="4">
        <f t="shared" si="1"/>
        <v>25</v>
      </c>
      <c r="B32" s="4" t="str">
        <f t="shared" si="0"/>
        <v>0506</v>
      </c>
      <c r="C32" s="23" t="s">
        <v>161</v>
      </c>
      <c r="D32" s="4" t="s">
        <v>225</v>
      </c>
      <c r="E32" s="373" t="s">
        <v>461</v>
      </c>
      <c r="F32" s="4" t="s">
        <v>245</v>
      </c>
      <c r="G32" s="4" t="s">
        <v>30</v>
      </c>
      <c r="H32" s="4" t="s">
        <v>223</v>
      </c>
      <c r="I32" s="28" t="s">
        <v>30</v>
      </c>
      <c r="J32" s="5">
        <v>2016</v>
      </c>
      <c r="K32" s="11">
        <v>31082000</v>
      </c>
      <c r="L32" s="36">
        <v>31082000</v>
      </c>
      <c r="M32" s="22" t="s">
        <v>30</v>
      </c>
      <c r="N32" s="11">
        <v>31082000</v>
      </c>
      <c r="O32" s="11">
        <v>31082000</v>
      </c>
      <c r="P32" s="11">
        <v>31082000</v>
      </c>
      <c r="Q32" s="11">
        <v>31082000</v>
      </c>
      <c r="R32" s="11">
        <v>31082000</v>
      </c>
    </row>
    <row r="33" spans="1:18" s="3" customFormat="1" ht="30" customHeight="1" x14ac:dyDescent="0.2">
      <c r="A33" s="4">
        <f t="shared" si="1"/>
        <v>26</v>
      </c>
      <c r="B33" s="4" t="str">
        <f t="shared" si="0"/>
        <v>0506</v>
      </c>
      <c r="C33" s="23" t="s">
        <v>161</v>
      </c>
      <c r="D33" s="4" t="s">
        <v>225</v>
      </c>
      <c r="E33" s="373" t="s">
        <v>462</v>
      </c>
      <c r="F33" s="4" t="s">
        <v>245</v>
      </c>
      <c r="G33" s="4" t="s">
        <v>30</v>
      </c>
      <c r="H33" s="4" t="s">
        <v>223</v>
      </c>
      <c r="I33" s="28" t="s">
        <v>30</v>
      </c>
      <c r="J33" s="5">
        <v>2016</v>
      </c>
      <c r="K33" s="11">
        <v>31082000</v>
      </c>
      <c r="L33" s="36">
        <v>31082000</v>
      </c>
      <c r="M33" s="22" t="s">
        <v>30</v>
      </c>
      <c r="N33" s="11">
        <v>31082000</v>
      </c>
      <c r="O33" s="11">
        <v>31082000</v>
      </c>
      <c r="P33" s="11">
        <v>31082000</v>
      </c>
      <c r="Q33" s="11">
        <v>31082000</v>
      </c>
      <c r="R33" s="11">
        <v>31082000</v>
      </c>
    </row>
    <row r="34" spans="1:18" s="3" customFormat="1" ht="30" customHeight="1" x14ac:dyDescent="0.2">
      <c r="A34" s="4">
        <f t="shared" si="1"/>
        <v>27</v>
      </c>
      <c r="B34" s="4" t="str">
        <f t="shared" si="0"/>
        <v>0506</v>
      </c>
      <c r="C34" s="23" t="s">
        <v>161</v>
      </c>
      <c r="D34" s="4" t="s">
        <v>225</v>
      </c>
      <c r="E34" s="373" t="s">
        <v>463</v>
      </c>
      <c r="F34" s="4" t="s">
        <v>245</v>
      </c>
      <c r="G34" s="4" t="s">
        <v>30</v>
      </c>
      <c r="H34" s="4" t="s">
        <v>223</v>
      </c>
      <c r="I34" s="28" t="s">
        <v>30</v>
      </c>
      <c r="J34" s="5">
        <v>2016</v>
      </c>
      <c r="K34" s="11">
        <v>41400000</v>
      </c>
      <c r="L34" s="36">
        <v>41400000</v>
      </c>
      <c r="M34" s="22" t="s">
        <v>30</v>
      </c>
      <c r="N34" s="11">
        <v>41400000</v>
      </c>
      <c r="O34" s="11">
        <v>41400000</v>
      </c>
      <c r="P34" s="11">
        <v>41400000</v>
      </c>
      <c r="Q34" s="11">
        <v>41400000</v>
      </c>
      <c r="R34" s="11">
        <v>41400000</v>
      </c>
    </row>
    <row r="35" spans="1:18" s="3" customFormat="1" ht="30" customHeight="1" x14ac:dyDescent="0.2">
      <c r="A35" s="4">
        <f t="shared" si="1"/>
        <v>28</v>
      </c>
      <c r="B35" s="4" t="str">
        <f t="shared" si="0"/>
        <v>0506</v>
      </c>
      <c r="C35" s="23" t="s">
        <v>161</v>
      </c>
      <c r="D35" s="4" t="s">
        <v>225</v>
      </c>
      <c r="E35" s="373" t="s">
        <v>1065</v>
      </c>
      <c r="F35" s="4" t="s">
        <v>245</v>
      </c>
      <c r="G35" s="4" t="s">
        <v>464</v>
      </c>
      <c r="H35" s="4" t="s">
        <v>223</v>
      </c>
      <c r="I35" s="28" t="s">
        <v>465</v>
      </c>
      <c r="J35" s="5">
        <v>2016</v>
      </c>
      <c r="K35" s="11">
        <v>678804500</v>
      </c>
      <c r="L35" s="36">
        <v>678804500</v>
      </c>
      <c r="M35" s="22">
        <v>326500000</v>
      </c>
      <c r="N35" s="11">
        <v>678804500</v>
      </c>
      <c r="O35" s="11">
        <v>678804500</v>
      </c>
      <c r="P35" s="11">
        <v>678804500</v>
      </c>
      <c r="Q35" s="11">
        <v>678804500</v>
      </c>
      <c r="R35" s="11">
        <v>678804500</v>
      </c>
    </row>
    <row r="36" spans="1:18" s="3" customFormat="1" ht="30" customHeight="1" x14ac:dyDescent="0.2">
      <c r="A36" s="4">
        <f t="shared" si="1"/>
        <v>29</v>
      </c>
      <c r="B36" s="4" t="str">
        <f t="shared" si="0"/>
        <v>0506</v>
      </c>
      <c r="C36" s="23" t="s">
        <v>161</v>
      </c>
      <c r="D36" s="4" t="s">
        <v>225</v>
      </c>
      <c r="E36" s="373" t="s">
        <v>1066</v>
      </c>
      <c r="F36" s="4" t="s">
        <v>245</v>
      </c>
      <c r="G36" s="4" t="s">
        <v>466</v>
      </c>
      <c r="H36" s="4" t="s">
        <v>223</v>
      </c>
      <c r="I36" s="28" t="s">
        <v>467</v>
      </c>
      <c r="J36" s="5">
        <v>2016</v>
      </c>
      <c r="K36" s="11">
        <v>608126200</v>
      </c>
      <c r="L36" s="36">
        <v>608126200</v>
      </c>
      <c r="M36" s="22">
        <v>293500000</v>
      </c>
      <c r="N36" s="11">
        <v>608126200</v>
      </c>
      <c r="O36" s="11">
        <v>608126200</v>
      </c>
      <c r="P36" s="11">
        <v>608126200</v>
      </c>
      <c r="Q36" s="11">
        <v>608126200</v>
      </c>
      <c r="R36" s="11">
        <v>608126200</v>
      </c>
    </row>
    <row r="37" spans="1:18" s="3" customFormat="1" ht="30" customHeight="1" x14ac:dyDescent="0.2">
      <c r="A37" s="4"/>
      <c r="B37" s="4"/>
      <c r="C37" s="4"/>
      <c r="D37" s="4"/>
      <c r="E37" s="4"/>
      <c r="F37" s="4"/>
      <c r="G37" s="4"/>
      <c r="H37" s="4"/>
      <c r="I37" s="28"/>
      <c r="J37" s="4"/>
      <c r="K37" s="4"/>
      <c r="L37" s="6"/>
      <c r="M37" s="4"/>
      <c r="N37" s="4"/>
      <c r="O37" s="4"/>
      <c r="P37" s="4"/>
      <c r="Q37" s="4"/>
      <c r="R37" s="4"/>
    </row>
    <row r="38" spans="1:18" s="3" customFormat="1" ht="30" customHeight="1" x14ac:dyDescent="0.2">
      <c r="A38" s="4"/>
      <c r="B38" s="4"/>
      <c r="C38" s="23" t="s">
        <v>151</v>
      </c>
      <c r="D38" s="4" t="s">
        <v>225</v>
      </c>
      <c r="E38" s="76" t="s">
        <v>1080</v>
      </c>
      <c r="F38" s="5" t="s">
        <v>30</v>
      </c>
      <c r="G38" s="5" t="s">
        <v>245</v>
      </c>
      <c r="H38" s="37" t="s">
        <v>223</v>
      </c>
      <c r="I38" s="38" t="s">
        <v>30</v>
      </c>
      <c r="J38" s="5">
        <v>2016</v>
      </c>
      <c r="K38" s="11" t="s">
        <v>53</v>
      </c>
      <c r="L38" s="6" t="s">
        <v>53</v>
      </c>
      <c r="M38" s="22" t="s">
        <v>30</v>
      </c>
      <c r="N38" s="11">
        <v>0</v>
      </c>
      <c r="O38" s="11">
        <v>6520000</v>
      </c>
      <c r="P38" s="11">
        <v>6520000</v>
      </c>
      <c r="Q38" s="11">
        <v>6520000</v>
      </c>
      <c r="R38" s="11">
        <v>6520000</v>
      </c>
    </row>
    <row r="39" spans="1:18" s="3" customFormat="1" ht="30" customHeight="1" x14ac:dyDescent="0.2">
      <c r="A39" s="4"/>
      <c r="B39" s="4"/>
      <c r="C39" s="23" t="s">
        <v>151</v>
      </c>
      <c r="D39" s="4" t="s">
        <v>225</v>
      </c>
      <c r="E39" s="76" t="s">
        <v>1080</v>
      </c>
      <c r="F39" s="5" t="s">
        <v>30</v>
      </c>
      <c r="G39" s="5" t="s">
        <v>245</v>
      </c>
      <c r="H39" s="37" t="s">
        <v>223</v>
      </c>
      <c r="I39" s="38" t="s">
        <v>30</v>
      </c>
      <c r="J39" s="5">
        <v>2016</v>
      </c>
      <c r="K39" s="12" t="s">
        <v>53</v>
      </c>
      <c r="L39" s="6" t="s">
        <v>53</v>
      </c>
      <c r="M39" s="4"/>
      <c r="N39" s="11">
        <v>0</v>
      </c>
      <c r="O39" s="12">
        <v>24740000</v>
      </c>
      <c r="P39" s="12">
        <v>24740000</v>
      </c>
      <c r="Q39" s="12">
        <v>24740000</v>
      </c>
      <c r="R39" s="12">
        <v>24740000</v>
      </c>
    </row>
    <row r="40" spans="1:18" s="3" customFormat="1" ht="30" customHeight="1" x14ac:dyDescent="0.2">
      <c r="A40" s="4"/>
      <c r="B40" s="4"/>
      <c r="C40" s="23" t="s">
        <v>151</v>
      </c>
      <c r="D40" s="4" t="s">
        <v>225</v>
      </c>
      <c r="E40" s="76" t="s">
        <v>1080</v>
      </c>
      <c r="F40" s="5" t="s">
        <v>30</v>
      </c>
      <c r="G40" s="5" t="s">
        <v>245</v>
      </c>
      <c r="H40" s="37" t="s">
        <v>223</v>
      </c>
      <c r="I40" s="38" t="s">
        <v>30</v>
      </c>
      <c r="J40" s="5">
        <v>2016</v>
      </c>
      <c r="K40" s="12" t="s">
        <v>53</v>
      </c>
      <c r="L40" s="6" t="s">
        <v>53</v>
      </c>
      <c r="M40" s="4"/>
      <c r="N40" s="11">
        <v>0</v>
      </c>
      <c r="O40" s="12">
        <v>29400000</v>
      </c>
      <c r="P40" s="12">
        <v>29400000</v>
      </c>
      <c r="Q40" s="12">
        <v>29400000</v>
      </c>
      <c r="R40" s="12">
        <v>29400000</v>
      </c>
    </row>
    <row r="41" spans="1:18" s="3" customFormat="1" ht="30" customHeight="1" x14ac:dyDescent="0.2">
      <c r="A41" s="4"/>
      <c r="B41" s="4"/>
      <c r="C41" s="23" t="s">
        <v>151</v>
      </c>
      <c r="D41" s="4" t="s">
        <v>225</v>
      </c>
      <c r="E41" s="76" t="s">
        <v>1080</v>
      </c>
      <c r="F41" s="5" t="s">
        <v>30</v>
      </c>
      <c r="G41" s="5" t="s">
        <v>245</v>
      </c>
      <c r="H41" s="37" t="s">
        <v>223</v>
      </c>
      <c r="I41" s="38" t="s">
        <v>30</v>
      </c>
      <c r="J41" s="5">
        <v>2016</v>
      </c>
      <c r="K41" s="12" t="s">
        <v>53</v>
      </c>
      <c r="L41" s="6" t="s">
        <v>53</v>
      </c>
      <c r="M41" s="4"/>
      <c r="N41" s="11">
        <v>0</v>
      </c>
      <c r="O41" s="12">
        <v>27740000</v>
      </c>
      <c r="P41" s="12">
        <v>27740000</v>
      </c>
      <c r="Q41" s="12">
        <v>27740000</v>
      </c>
      <c r="R41" s="12">
        <v>27740000</v>
      </c>
    </row>
    <row r="42" spans="1:18" s="3" customFormat="1" ht="30" customHeight="1" x14ac:dyDescent="0.2">
      <c r="A42" s="4"/>
      <c r="B42" s="4"/>
      <c r="C42" s="23" t="s">
        <v>151</v>
      </c>
      <c r="D42" s="4" t="s">
        <v>225</v>
      </c>
      <c r="E42" s="76" t="s">
        <v>1080</v>
      </c>
      <c r="F42" s="5" t="s">
        <v>30</v>
      </c>
      <c r="G42" s="5" t="s">
        <v>245</v>
      </c>
      <c r="H42" s="37" t="s">
        <v>223</v>
      </c>
      <c r="I42" s="38" t="s">
        <v>30</v>
      </c>
      <c r="J42" s="5">
        <v>2016</v>
      </c>
      <c r="K42" s="12" t="s">
        <v>53</v>
      </c>
      <c r="L42" s="6" t="s">
        <v>53</v>
      </c>
      <c r="M42" s="4"/>
      <c r="N42" s="11">
        <v>0</v>
      </c>
      <c r="O42" s="12">
        <v>27850000</v>
      </c>
      <c r="P42" s="12">
        <v>27850000</v>
      </c>
      <c r="Q42" s="12">
        <v>27850000</v>
      </c>
      <c r="R42" s="12">
        <v>27850000</v>
      </c>
    </row>
    <row r="43" spans="1:18" s="3" customFormat="1" ht="30" customHeight="1" x14ac:dyDescent="0.2">
      <c r="A43" s="4"/>
      <c r="B43" s="4"/>
      <c r="C43" s="23" t="s">
        <v>151</v>
      </c>
      <c r="D43" s="4" t="s">
        <v>225</v>
      </c>
      <c r="E43" s="76" t="s">
        <v>1080</v>
      </c>
      <c r="F43" s="5" t="s">
        <v>30</v>
      </c>
      <c r="G43" s="5" t="s">
        <v>245</v>
      </c>
      <c r="H43" s="37" t="s">
        <v>223</v>
      </c>
      <c r="I43" s="38" t="s">
        <v>30</v>
      </c>
      <c r="J43" s="5">
        <v>2016</v>
      </c>
      <c r="K43" s="12" t="s">
        <v>53</v>
      </c>
      <c r="L43" s="6" t="s">
        <v>53</v>
      </c>
      <c r="M43" s="4"/>
      <c r="N43" s="11">
        <v>0</v>
      </c>
      <c r="O43" s="12">
        <v>10000000</v>
      </c>
      <c r="P43" s="12">
        <v>10000000</v>
      </c>
      <c r="Q43" s="12">
        <v>10000000</v>
      </c>
      <c r="R43" s="12">
        <v>10000000</v>
      </c>
    </row>
    <row r="44" spans="1:18" s="3" customFormat="1" ht="30" customHeight="1" x14ac:dyDescent="0.2">
      <c r="A44" s="4"/>
      <c r="B44" s="4"/>
      <c r="C44" s="23" t="s">
        <v>151</v>
      </c>
      <c r="D44" s="4" t="s">
        <v>225</v>
      </c>
      <c r="E44" s="76" t="s">
        <v>1080</v>
      </c>
      <c r="F44" s="5" t="s">
        <v>30</v>
      </c>
      <c r="G44" s="5" t="s">
        <v>245</v>
      </c>
      <c r="H44" s="37" t="s">
        <v>223</v>
      </c>
      <c r="I44" s="38" t="s">
        <v>30</v>
      </c>
      <c r="J44" s="5">
        <v>2016</v>
      </c>
      <c r="K44" s="12" t="s">
        <v>53</v>
      </c>
      <c r="L44" s="6" t="s">
        <v>53</v>
      </c>
      <c r="M44" s="4"/>
      <c r="N44" s="11">
        <v>0</v>
      </c>
      <c r="O44" s="12">
        <v>41040000</v>
      </c>
      <c r="P44" s="12">
        <v>41040000</v>
      </c>
      <c r="Q44" s="12">
        <v>41040000</v>
      </c>
      <c r="R44" s="12">
        <v>41040000</v>
      </c>
    </row>
    <row r="45" spans="1:18" s="3" customFormat="1" ht="30" customHeight="1" x14ac:dyDescent="0.2">
      <c r="A45" s="4"/>
      <c r="B45" s="4"/>
      <c r="C45" s="4"/>
      <c r="D45" s="4"/>
      <c r="E45" s="4"/>
      <c r="F45" s="4"/>
      <c r="G45" s="4"/>
      <c r="H45" s="4"/>
      <c r="I45" s="28"/>
      <c r="J45" s="4"/>
      <c r="K45" s="4"/>
      <c r="L45" s="6"/>
      <c r="M45" s="4"/>
      <c r="N45" s="4"/>
      <c r="O45" s="4"/>
      <c r="P45" s="4"/>
      <c r="Q45" s="4"/>
      <c r="R45" s="4"/>
    </row>
    <row r="46" spans="1:18" s="3" customFormat="1" ht="30" customHeight="1" x14ac:dyDescent="0.2">
      <c r="A46" s="4"/>
      <c r="B46" s="4"/>
      <c r="C46" s="4"/>
      <c r="D46" s="4"/>
      <c r="E46" s="4"/>
      <c r="F46" s="4"/>
      <c r="G46" s="4"/>
      <c r="H46" s="4"/>
      <c r="I46" s="28"/>
      <c r="J46" s="4"/>
      <c r="K46" s="4"/>
      <c r="L46" s="6"/>
      <c r="M46" s="4"/>
      <c r="N46" s="4"/>
      <c r="O46" s="4"/>
      <c r="P46" s="4"/>
      <c r="Q46" s="4"/>
      <c r="R46" s="4"/>
    </row>
    <row r="47" spans="1:18" s="3" customFormat="1" ht="30" customHeight="1" x14ac:dyDescent="0.2">
      <c r="A47" s="4"/>
      <c r="B47" s="4"/>
      <c r="C47" s="4"/>
      <c r="D47" s="4"/>
      <c r="E47" s="4"/>
      <c r="F47" s="4"/>
      <c r="G47" s="4"/>
      <c r="H47" s="4"/>
      <c r="I47" s="28"/>
      <c r="J47" s="4"/>
      <c r="K47" s="4"/>
      <c r="L47" s="6"/>
      <c r="M47" s="4"/>
      <c r="N47" s="4"/>
      <c r="O47" s="4"/>
      <c r="P47" s="4"/>
      <c r="Q47" s="4"/>
      <c r="R47" s="4"/>
    </row>
    <row r="48" spans="1:18" s="3" customFormat="1" ht="30" customHeight="1" x14ac:dyDescent="0.2">
      <c r="A48" s="4"/>
      <c r="B48" s="4"/>
      <c r="C48" s="4"/>
      <c r="D48" s="4"/>
      <c r="E48" s="4"/>
      <c r="F48" s="4"/>
      <c r="G48" s="4"/>
      <c r="H48" s="4"/>
      <c r="I48" s="28"/>
      <c r="J48" s="4"/>
      <c r="K48" s="4"/>
      <c r="L48" s="6"/>
      <c r="M48" s="4"/>
      <c r="N48" s="4"/>
      <c r="O48" s="4"/>
      <c r="P48" s="4"/>
      <c r="Q48" s="4"/>
      <c r="R48" s="4"/>
    </row>
    <row r="49" spans="1:18" s="3" customFormat="1" ht="30" customHeight="1" x14ac:dyDescent="0.2">
      <c r="A49" s="4"/>
      <c r="B49" s="4"/>
      <c r="C49" s="4"/>
      <c r="D49" s="4"/>
      <c r="E49" s="4"/>
      <c r="F49" s="4"/>
      <c r="G49" s="4"/>
      <c r="H49" s="4"/>
      <c r="I49" s="28"/>
      <c r="J49" s="4"/>
      <c r="K49" s="4"/>
      <c r="L49" s="6"/>
      <c r="M49" s="4"/>
      <c r="N49" s="4"/>
      <c r="O49" s="4"/>
      <c r="P49" s="4"/>
      <c r="Q49" s="4"/>
      <c r="R49" s="4"/>
    </row>
    <row r="50" spans="1:18" s="3" customFormat="1" ht="30" customHeight="1" x14ac:dyDescent="0.2">
      <c r="A50" s="4"/>
      <c r="B50" s="4"/>
      <c r="C50" s="4"/>
      <c r="D50" s="4"/>
      <c r="E50" s="4"/>
      <c r="F50" s="4"/>
      <c r="G50" s="4"/>
      <c r="H50" s="4"/>
      <c r="I50" s="28"/>
      <c r="J50" s="4"/>
      <c r="K50" s="4"/>
      <c r="L50" s="6"/>
      <c r="M50" s="4"/>
      <c r="N50" s="4"/>
      <c r="O50" s="4"/>
      <c r="P50" s="4"/>
      <c r="Q50" s="4"/>
      <c r="R50" s="4"/>
    </row>
    <row r="51" spans="1:18" s="3" customFormat="1" ht="30" customHeight="1" x14ac:dyDescent="0.2">
      <c r="A51" s="4"/>
      <c r="B51" s="4"/>
      <c r="C51" s="4"/>
      <c r="D51" s="4"/>
      <c r="E51" s="4"/>
      <c r="F51" s="4"/>
      <c r="G51" s="4"/>
      <c r="H51" s="4"/>
      <c r="I51" s="28"/>
      <c r="J51" s="4"/>
      <c r="K51" s="4"/>
      <c r="L51" s="6"/>
      <c r="M51" s="4"/>
      <c r="N51" s="4"/>
      <c r="O51" s="4"/>
      <c r="P51" s="4"/>
      <c r="Q51" s="4"/>
      <c r="R51" s="4"/>
    </row>
    <row r="52" spans="1:18" s="3" customFormat="1" ht="30" customHeight="1" x14ac:dyDescent="0.2">
      <c r="A52" s="4"/>
      <c r="B52" s="4"/>
      <c r="C52" s="4"/>
      <c r="D52" s="4"/>
      <c r="E52" s="4"/>
      <c r="F52" s="4"/>
      <c r="G52" s="4"/>
      <c r="H52" s="4"/>
      <c r="I52" s="28"/>
      <c r="J52" s="4"/>
      <c r="K52" s="4"/>
      <c r="L52" s="6"/>
      <c r="M52" s="4"/>
      <c r="N52" s="4"/>
      <c r="O52" s="4"/>
      <c r="P52" s="4"/>
      <c r="Q52" s="4"/>
      <c r="R52" s="4"/>
    </row>
    <row r="53" spans="1:18" s="3" customFormat="1" ht="30" customHeight="1" x14ac:dyDescent="0.2">
      <c r="A53" s="4"/>
      <c r="B53" s="4"/>
      <c r="C53" s="4"/>
      <c r="D53" s="4"/>
      <c r="E53" s="4"/>
      <c r="F53" s="4"/>
      <c r="G53" s="4"/>
      <c r="H53" s="4"/>
      <c r="I53" s="28"/>
      <c r="J53" s="4"/>
      <c r="K53" s="4"/>
      <c r="L53" s="6"/>
      <c r="M53" s="4"/>
      <c r="N53" s="4"/>
      <c r="O53" s="4"/>
      <c r="P53" s="4"/>
      <c r="Q53" s="4"/>
      <c r="R53" s="4"/>
    </row>
    <row r="54" spans="1:18" s="3" customFormat="1" ht="30" customHeight="1" x14ac:dyDescent="0.2">
      <c r="A54" s="4"/>
      <c r="B54" s="4"/>
      <c r="C54" s="4"/>
      <c r="D54" s="4"/>
      <c r="E54" s="4"/>
      <c r="F54" s="4"/>
      <c r="G54" s="4"/>
      <c r="H54" s="4"/>
      <c r="I54" s="28"/>
      <c r="J54" s="4"/>
      <c r="K54" s="4"/>
      <c r="L54" s="6"/>
      <c r="M54" s="4"/>
      <c r="N54" s="4"/>
      <c r="O54" s="4"/>
      <c r="P54" s="4"/>
      <c r="Q54" s="4"/>
      <c r="R54" s="4"/>
    </row>
    <row r="55" spans="1:18" s="3" customFormat="1" ht="30" customHeight="1" x14ac:dyDescent="0.2">
      <c r="A55" s="4"/>
      <c r="B55" s="4"/>
      <c r="C55" s="4"/>
      <c r="D55" s="4"/>
      <c r="E55" s="4"/>
      <c r="F55" s="4"/>
      <c r="G55" s="4"/>
      <c r="H55" s="4"/>
      <c r="I55" s="28"/>
      <c r="J55" s="4"/>
      <c r="K55" s="4"/>
      <c r="L55" s="6"/>
      <c r="M55" s="4"/>
      <c r="N55" s="4"/>
      <c r="O55" s="4"/>
      <c r="P55" s="4"/>
      <c r="Q55" s="4"/>
      <c r="R55" s="4"/>
    </row>
  </sheetData>
  <mergeCells count="13">
    <mergeCell ref="K6:K7"/>
    <mergeCell ref="L6:L7"/>
    <mergeCell ref="M6:M7"/>
    <mergeCell ref="N6:R6"/>
    <mergeCell ref="C6:C7"/>
    <mergeCell ref="D6:D7"/>
    <mergeCell ref="H6:H7"/>
    <mergeCell ref="I6:I7"/>
    <mergeCell ref="A6:A7"/>
    <mergeCell ref="B6:B7"/>
    <mergeCell ref="F6:G6"/>
    <mergeCell ref="J6:J7"/>
    <mergeCell ref="E6:E7"/>
  </mergeCells>
  <pageMargins left="0.7" right="0.7" top="0.75" bottom="0.75" header="0.3" footer="0.3"/>
  <pageSetup scale="21" orientation="portrait" horizontalDpi="203" verticalDpi="203" r:id="rId1"/>
  <colBreaks count="1" manualBreakCount="1">
    <brk id="1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4C53-433A-4483-90D6-620508C10BD8}">
  <sheetPr codeName="Sheet9">
    <tabColor rgb="FF92D050"/>
  </sheetPr>
  <dimension ref="B1:H70"/>
  <sheetViews>
    <sheetView topLeftCell="A58" workbookViewId="0">
      <selection activeCell="H12" sqref="H12"/>
    </sheetView>
  </sheetViews>
  <sheetFormatPr baseColWidth="10" defaultColWidth="9.1640625" defaultRowHeight="15" x14ac:dyDescent="0.2"/>
  <cols>
    <col min="1" max="1" width="9.1640625" style="72"/>
    <col min="2" max="2" width="4.33203125" style="72" bestFit="1" customWidth="1"/>
    <col min="3" max="3" width="7.1640625" style="72" bestFit="1" customWidth="1"/>
    <col min="4" max="4" width="52" style="72" bestFit="1" customWidth="1"/>
    <col min="5" max="5" width="12.5" style="72" bestFit="1" customWidth="1"/>
    <col min="6" max="6" width="19.83203125" style="72" bestFit="1" customWidth="1"/>
    <col min="7" max="7" width="35" style="72" bestFit="1" customWidth="1"/>
    <col min="8" max="8" width="16.33203125" style="72" bestFit="1" customWidth="1"/>
    <col min="9" max="16384" width="9.1640625" style="72"/>
  </cols>
  <sheetData>
    <row r="1" spans="2:8" s="87" customFormat="1" ht="12" x14ac:dyDescent="0.2">
      <c r="B1" s="88" t="s">
        <v>287</v>
      </c>
      <c r="C1" s="88" t="s">
        <v>59</v>
      </c>
      <c r="D1" s="89" t="s">
        <v>288</v>
      </c>
      <c r="E1" s="88" t="s">
        <v>289</v>
      </c>
      <c r="F1" s="88" t="s">
        <v>61</v>
      </c>
      <c r="G1" s="88" t="s">
        <v>178</v>
      </c>
    </row>
    <row r="2" spans="2:8" ht="12" customHeight="1" x14ac:dyDescent="0.2">
      <c r="B2" s="79">
        <v>1</v>
      </c>
      <c r="C2" s="80" t="s">
        <v>290</v>
      </c>
      <c r="D2" s="81" t="s">
        <v>291</v>
      </c>
      <c r="E2" s="81">
        <v>2009</v>
      </c>
      <c r="F2" s="84">
        <v>1320000000</v>
      </c>
      <c r="G2" s="81" t="s">
        <v>292</v>
      </c>
    </row>
    <row r="3" spans="2:8" ht="12" customHeight="1" x14ac:dyDescent="0.2">
      <c r="B3" s="79">
        <v>2</v>
      </c>
      <c r="C3" s="80" t="s">
        <v>290</v>
      </c>
      <c r="D3" s="81" t="s">
        <v>293</v>
      </c>
      <c r="E3" s="81">
        <v>2016</v>
      </c>
      <c r="F3" s="84">
        <v>1538793523</v>
      </c>
      <c r="G3" s="81" t="s">
        <v>294</v>
      </c>
    </row>
    <row r="4" spans="2:8" ht="12" customHeight="1" x14ac:dyDescent="0.2">
      <c r="B4" s="79">
        <v>3</v>
      </c>
      <c r="C4" s="80" t="s">
        <v>290</v>
      </c>
      <c r="D4" s="81" t="s">
        <v>298</v>
      </c>
      <c r="E4" s="81">
        <v>2016</v>
      </c>
      <c r="F4" s="84">
        <v>1987500000</v>
      </c>
      <c r="G4" s="81" t="s">
        <v>299</v>
      </c>
    </row>
    <row r="5" spans="2:8" ht="12" customHeight="1" x14ac:dyDescent="0.2">
      <c r="B5" s="79">
        <v>4</v>
      </c>
      <c r="C5" s="80" t="s">
        <v>290</v>
      </c>
      <c r="D5" s="85" t="s">
        <v>301</v>
      </c>
      <c r="E5" s="81">
        <v>2016</v>
      </c>
      <c r="F5" s="84">
        <v>350370000</v>
      </c>
      <c r="G5" s="81" t="s">
        <v>302</v>
      </c>
    </row>
    <row r="6" spans="2:8" ht="12" customHeight="1" x14ac:dyDescent="0.2">
      <c r="B6" s="79">
        <v>5</v>
      </c>
      <c r="C6" s="80" t="s">
        <v>290</v>
      </c>
      <c r="D6" s="85" t="s">
        <v>303</v>
      </c>
      <c r="E6" s="81">
        <v>2016</v>
      </c>
      <c r="F6" s="84">
        <v>1025000000</v>
      </c>
      <c r="G6" s="81" t="s">
        <v>304</v>
      </c>
      <c r="H6" s="90">
        <f>SUM(F2:F6)</f>
        <v>6221663523</v>
      </c>
    </row>
    <row r="7" spans="2:8" ht="12" customHeight="1" x14ac:dyDescent="0.2">
      <c r="B7" s="79">
        <v>6</v>
      </c>
      <c r="C7" s="80" t="s">
        <v>307</v>
      </c>
      <c r="D7" s="85" t="s">
        <v>308</v>
      </c>
      <c r="E7" s="81">
        <v>2016</v>
      </c>
      <c r="F7" s="84">
        <v>2554200000</v>
      </c>
      <c r="G7" s="81" t="s">
        <v>309</v>
      </c>
    </row>
    <row r="8" spans="2:8" ht="12" customHeight="1" x14ac:dyDescent="0.2">
      <c r="B8" s="79">
        <v>7</v>
      </c>
      <c r="C8" s="80" t="s">
        <v>295</v>
      </c>
      <c r="D8" s="81" t="s">
        <v>296</v>
      </c>
      <c r="E8" s="81">
        <v>2010</v>
      </c>
      <c r="F8" s="84">
        <v>220000000</v>
      </c>
      <c r="G8" s="81" t="s">
        <v>297</v>
      </c>
    </row>
    <row r="9" spans="2:8" ht="12" customHeight="1" x14ac:dyDescent="0.2">
      <c r="B9" s="79">
        <v>8</v>
      </c>
      <c r="C9" s="80" t="s">
        <v>295</v>
      </c>
      <c r="D9" s="81" t="s">
        <v>313</v>
      </c>
      <c r="E9" s="81">
        <v>2020</v>
      </c>
      <c r="F9" s="84">
        <v>980000000</v>
      </c>
      <c r="G9" s="81" t="s">
        <v>314</v>
      </c>
    </row>
    <row r="10" spans="2:8" ht="12" customHeight="1" x14ac:dyDescent="0.2">
      <c r="B10" s="79">
        <v>9</v>
      </c>
      <c r="C10" s="80" t="s">
        <v>295</v>
      </c>
      <c r="D10" s="81" t="s">
        <v>315</v>
      </c>
      <c r="E10" s="81">
        <v>2021</v>
      </c>
      <c r="F10" s="84">
        <v>1240500000</v>
      </c>
      <c r="G10" s="81" t="s">
        <v>316</v>
      </c>
      <c r="H10" s="90">
        <f>SUM(H6+SUM(F7:F10))</f>
        <v>11216363523</v>
      </c>
    </row>
    <row r="11" spans="2:8" ht="12" customHeight="1" x14ac:dyDescent="0.2">
      <c r="B11" s="79">
        <v>10</v>
      </c>
      <c r="C11" s="80" t="s">
        <v>305</v>
      </c>
      <c r="D11" s="81" t="s">
        <v>306</v>
      </c>
      <c r="E11" s="81">
        <v>2019</v>
      </c>
      <c r="F11" s="84">
        <v>4763000000</v>
      </c>
      <c r="G11" s="81"/>
    </row>
    <row r="12" spans="2:8" ht="12" customHeight="1" x14ac:dyDescent="0.2">
      <c r="B12" s="79">
        <v>11</v>
      </c>
      <c r="C12" s="80" t="s">
        <v>305</v>
      </c>
      <c r="D12" s="81" t="s">
        <v>306</v>
      </c>
      <c r="E12" s="81">
        <v>2019</v>
      </c>
      <c r="F12" s="84">
        <v>87000000</v>
      </c>
      <c r="G12" s="81"/>
    </row>
    <row r="13" spans="2:8" ht="12" customHeight="1" x14ac:dyDescent="0.2">
      <c r="B13" s="79">
        <v>12</v>
      </c>
      <c r="C13" s="80" t="s">
        <v>310</v>
      </c>
      <c r="D13" s="81" t="s">
        <v>311</v>
      </c>
      <c r="E13" s="81">
        <v>2019</v>
      </c>
      <c r="F13" s="84">
        <v>1086000000</v>
      </c>
      <c r="G13" s="81"/>
    </row>
    <row r="14" spans="2:8" ht="12" customHeight="1" x14ac:dyDescent="0.2">
      <c r="B14" s="79">
        <v>13</v>
      </c>
      <c r="C14" s="80" t="s">
        <v>310</v>
      </c>
      <c r="D14" s="81" t="s">
        <v>318</v>
      </c>
      <c r="E14" s="81">
        <v>2019</v>
      </c>
      <c r="F14" s="84">
        <v>360000000</v>
      </c>
      <c r="G14" s="81"/>
      <c r="H14" s="90">
        <f>SUM(H10+SUM(F11:F14))</f>
        <v>17512363523</v>
      </c>
    </row>
    <row r="15" spans="2:8" ht="12" customHeight="1" x14ac:dyDescent="0.2">
      <c r="B15" s="79">
        <v>14</v>
      </c>
      <c r="C15" s="80" t="s">
        <v>310</v>
      </c>
      <c r="D15" s="81" t="s">
        <v>311</v>
      </c>
      <c r="E15" s="81">
        <v>2019</v>
      </c>
      <c r="F15" s="84">
        <v>14000000</v>
      </c>
      <c r="G15" s="81"/>
    </row>
    <row r="16" spans="2:8" ht="12" customHeight="1" x14ac:dyDescent="0.2">
      <c r="B16" s="79">
        <v>15</v>
      </c>
      <c r="C16" s="80" t="s">
        <v>300</v>
      </c>
      <c r="D16" s="81" t="s">
        <v>319</v>
      </c>
      <c r="E16" s="81">
        <v>2019</v>
      </c>
      <c r="F16" s="84">
        <v>3564000000</v>
      </c>
      <c r="G16" s="81"/>
    </row>
    <row r="17" spans="2:8" ht="12" customHeight="1" x14ac:dyDescent="0.2">
      <c r="B17" s="79">
        <v>16</v>
      </c>
      <c r="C17" s="80" t="s">
        <v>300</v>
      </c>
      <c r="D17" s="81" t="s">
        <v>320</v>
      </c>
      <c r="E17" s="81">
        <v>2024</v>
      </c>
      <c r="F17" s="84">
        <v>504094000</v>
      </c>
      <c r="G17" s="81"/>
    </row>
    <row r="18" spans="2:8" ht="12" customHeight="1" x14ac:dyDescent="0.2">
      <c r="B18" s="79">
        <v>17</v>
      </c>
      <c r="C18" s="80" t="s">
        <v>321</v>
      </c>
      <c r="D18" s="81" t="s">
        <v>322</v>
      </c>
      <c r="E18" s="81">
        <v>2016</v>
      </c>
      <c r="F18" s="84">
        <v>5700000000</v>
      </c>
      <c r="G18" s="81" t="s">
        <v>323</v>
      </c>
      <c r="H18" s="90">
        <f>SUM(H14+SUM(F15:F18))</f>
        <v>27294457523</v>
      </c>
    </row>
    <row r="19" spans="2:8" ht="12" customHeight="1" x14ac:dyDescent="0.2">
      <c r="B19" s="79">
        <v>18</v>
      </c>
      <c r="C19" s="80" t="s">
        <v>324</v>
      </c>
      <c r="D19" s="81" t="s">
        <v>325</v>
      </c>
      <c r="E19" s="81">
        <v>2020</v>
      </c>
      <c r="F19" s="84">
        <v>86958597</v>
      </c>
      <c r="G19" s="81"/>
    </row>
    <row r="20" spans="2:8" ht="12" customHeight="1" x14ac:dyDescent="0.2">
      <c r="B20" s="79">
        <v>19</v>
      </c>
      <c r="C20" s="80" t="s">
        <v>312</v>
      </c>
      <c r="D20" s="81" t="s">
        <v>27</v>
      </c>
      <c r="E20" s="81">
        <v>2024</v>
      </c>
      <c r="F20" s="84">
        <v>1689737</v>
      </c>
      <c r="G20" s="81" t="s">
        <v>326</v>
      </c>
    </row>
    <row r="21" spans="2:8" ht="12" customHeight="1" x14ac:dyDescent="0.2">
      <c r="B21" s="79">
        <v>20</v>
      </c>
      <c r="C21" s="80" t="s">
        <v>312</v>
      </c>
      <c r="D21" s="81" t="s">
        <v>27</v>
      </c>
      <c r="E21" s="81">
        <v>2024</v>
      </c>
      <c r="F21" s="84">
        <v>48293672</v>
      </c>
      <c r="G21" s="81" t="s">
        <v>327</v>
      </c>
    </row>
    <row r="22" spans="2:8" ht="12" customHeight="1" x14ac:dyDescent="0.2">
      <c r="B22" s="79">
        <v>21</v>
      </c>
      <c r="C22" s="80" t="s">
        <v>312</v>
      </c>
      <c r="D22" s="81" t="s">
        <v>27</v>
      </c>
      <c r="E22" s="81">
        <v>2024</v>
      </c>
      <c r="F22" s="84">
        <v>100818800.00000001</v>
      </c>
      <c r="G22" s="81" t="s">
        <v>328</v>
      </c>
      <c r="H22" s="90">
        <f>SUM(H18+SUM(F19:F22))</f>
        <v>27532218329</v>
      </c>
    </row>
    <row r="23" spans="2:8" ht="12" customHeight="1" x14ac:dyDescent="0.2">
      <c r="B23" s="79">
        <v>22</v>
      </c>
      <c r="C23" s="80" t="s">
        <v>312</v>
      </c>
      <c r="D23" s="81" t="s">
        <v>27</v>
      </c>
      <c r="E23" s="81">
        <v>2024</v>
      </c>
      <c r="F23" s="84">
        <v>47297325</v>
      </c>
      <c r="G23" s="81" t="s">
        <v>329</v>
      </c>
    </row>
    <row r="24" spans="2:8" ht="12" customHeight="1" x14ac:dyDescent="0.2">
      <c r="B24" s="79">
        <v>23</v>
      </c>
      <c r="C24" s="80" t="s">
        <v>312</v>
      </c>
      <c r="D24" s="81" t="s">
        <v>27</v>
      </c>
      <c r="E24" s="81">
        <v>2024</v>
      </c>
      <c r="F24" s="84">
        <v>527718970</v>
      </c>
      <c r="G24" s="81" t="s">
        <v>330</v>
      </c>
    </row>
    <row r="25" spans="2:8" ht="12" customHeight="1" x14ac:dyDescent="0.2">
      <c r="B25" s="79">
        <v>24</v>
      </c>
      <c r="C25" s="80" t="s">
        <v>331</v>
      </c>
      <c r="D25" s="81" t="s">
        <v>16</v>
      </c>
      <c r="E25" s="81">
        <v>2024</v>
      </c>
      <c r="F25" s="84">
        <v>912979464</v>
      </c>
      <c r="G25" s="81" t="s">
        <v>332</v>
      </c>
    </row>
    <row r="26" spans="2:8" ht="12" customHeight="1" x14ac:dyDescent="0.2">
      <c r="B26" s="79">
        <v>25</v>
      </c>
      <c r="C26" s="80" t="s">
        <v>333</v>
      </c>
      <c r="D26" s="81" t="s">
        <v>334</v>
      </c>
      <c r="E26" s="81">
        <v>2024</v>
      </c>
      <c r="F26" s="84">
        <v>5526951</v>
      </c>
      <c r="G26" s="81" t="s">
        <v>335</v>
      </c>
      <c r="H26" s="90">
        <f>SUM(H22+SUM(F23:F26))</f>
        <v>29025741039</v>
      </c>
    </row>
    <row r="27" spans="2:8" ht="12" customHeight="1" x14ac:dyDescent="0.2">
      <c r="B27" s="79">
        <v>26</v>
      </c>
      <c r="C27" s="80" t="s">
        <v>312</v>
      </c>
      <c r="D27" s="81" t="s">
        <v>27</v>
      </c>
      <c r="E27" s="81">
        <v>2024</v>
      </c>
      <c r="F27" s="84">
        <v>20820000</v>
      </c>
      <c r="G27" s="81" t="s">
        <v>335</v>
      </c>
    </row>
    <row r="28" spans="2:8" ht="12" customHeight="1" x14ac:dyDescent="0.2">
      <c r="B28" s="79">
        <v>27</v>
      </c>
      <c r="C28" s="80" t="s">
        <v>312</v>
      </c>
      <c r="D28" s="81" t="s">
        <v>27</v>
      </c>
      <c r="E28" s="81">
        <v>2024</v>
      </c>
      <c r="F28" s="84">
        <v>26092256</v>
      </c>
      <c r="G28" s="81" t="s">
        <v>336</v>
      </c>
    </row>
    <row r="29" spans="2:8" ht="12" customHeight="1" x14ac:dyDescent="0.2">
      <c r="B29" s="79">
        <v>28</v>
      </c>
      <c r="C29" s="80" t="s">
        <v>312</v>
      </c>
      <c r="D29" s="81" t="s">
        <v>27</v>
      </c>
      <c r="E29" s="81">
        <v>2024</v>
      </c>
      <c r="F29" s="84">
        <v>103772808</v>
      </c>
      <c r="G29" s="81" t="s">
        <v>337</v>
      </c>
    </row>
    <row r="30" spans="2:8" ht="12" customHeight="1" x14ac:dyDescent="0.2">
      <c r="B30" s="79">
        <v>29</v>
      </c>
      <c r="C30" s="80" t="s">
        <v>312</v>
      </c>
      <c r="D30" s="81" t="s">
        <v>27</v>
      </c>
      <c r="E30" s="81">
        <v>2024</v>
      </c>
      <c r="F30" s="84">
        <v>102044280</v>
      </c>
      <c r="G30" s="81" t="s">
        <v>338</v>
      </c>
      <c r="H30" s="90">
        <f>SUM(H26+SUM(F27:F30))</f>
        <v>29278470383</v>
      </c>
    </row>
    <row r="31" spans="2:8" ht="12" customHeight="1" x14ac:dyDescent="0.2">
      <c r="B31" s="79">
        <v>30</v>
      </c>
      <c r="C31" s="80" t="s">
        <v>312</v>
      </c>
      <c r="D31" s="81" t="s">
        <v>27</v>
      </c>
      <c r="E31" s="81">
        <v>2024</v>
      </c>
      <c r="F31" s="84">
        <v>17878500</v>
      </c>
      <c r="G31" s="81" t="s">
        <v>342</v>
      </c>
    </row>
    <row r="32" spans="2:8" ht="12" customHeight="1" x14ac:dyDescent="0.2">
      <c r="B32" s="79">
        <v>31</v>
      </c>
      <c r="C32" s="80" t="s">
        <v>312</v>
      </c>
      <c r="D32" s="81" t="s">
        <v>27</v>
      </c>
      <c r="E32" s="81">
        <v>2024</v>
      </c>
      <c r="F32" s="84">
        <v>286056000</v>
      </c>
      <c r="G32" s="81" t="s">
        <v>339</v>
      </c>
    </row>
    <row r="33" spans="2:8" ht="12" customHeight="1" x14ac:dyDescent="0.2">
      <c r="B33" s="79">
        <v>32</v>
      </c>
      <c r="C33" s="80" t="s">
        <v>312</v>
      </c>
      <c r="D33" s="81" t="s">
        <v>27</v>
      </c>
      <c r="E33" s="81">
        <v>2024</v>
      </c>
      <c r="F33" s="84">
        <v>0</v>
      </c>
      <c r="G33" s="81" t="s">
        <v>340</v>
      </c>
    </row>
    <row r="34" spans="2:8" ht="12" customHeight="1" x14ac:dyDescent="0.2">
      <c r="B34" s="79">
        <v>33</v>
      </c>
      <c r="C34" s="80" t="s">
        <v>331</v>
      </c>
      <c r="D34" s="81" t="s">
        <v>16</v>
      </c>
      <c r="E34" s="81">
        <v>2024</v>
      </c>
      <c r="F34" s="84">
        <v>441058879</v>
      </c>
      <c r="G34" s="81" t="s">
        <v>341</v>
      </c>
      <c r="H34" s="90">
        <f>SUM(H30+SUM(F31:F34))</f>
        <v>30023463762</v>
      </c>
    </row>
    <row r="35" spans="2:8" ht="12" customHeight="1" x14ac:dyDescent="0.2">
      <c r="B35" s="79">
        <v>34</v>
      </c>
      <c r="C35" s="80" t="s">
        <v>331</v>
      </c>
      <c r="D35" s="81" t="s">
        <v>16</v>
      </c>
      <c r="E35" s="81">
        <v>2024</v>
      </c>
      <c r="F35" s="84">
        <v>264098555</v>
      </c>
      <c r="G35" s="81" t="s">
        <v>341</v>
      </c>
    </row>
    <row r="36" spans="2:8" ht="12" customHeight="1" x14ac:dyDescent="0.2">
      <c r="B36" s="79">
        <v>35</v>
      </c>
      <c r="C36" s="80" t="s">
        <v>331</v>
      </c>
      <c r="D36" s="81" t="s">
        <v>16</v>
      </c>
      <c r="E36" s="81">
        <v>2024</v>
      </c>
      <c r="F36" s="84">
        <v>876232850</v>
      </c>
      <c r="G36" s="81" t="s">
        <v>341</v>
      </c>
    </row>
    <row r="37" spans="2:8" ht="12" customHeight="1" x14ac:dyDescent="0.2">
      <c r="B37" s="79">
        <v>36</v>
      </c>
      <c r="C37" s="80" t="s">
        <v>331</v>
      </c>
      <c r="D37" s="81" t="s">
        <v>16</v>
      </c>
      <c r="E37" s="81">
        <v>2024</v>
      </c>
      <c r="F37" s="84">
        <v>876232850</v>
      </c>
      <c r="G37" s="81" t="s">
        <v>341</v>
      </c>
    </row>
    <row r="38" spans="2:8" ht="12" customHeight="1" x14ac:dyDescent="0.2">
      <c r="B38" s="79">
        <v>37</v>
      </c>
      <c r="C38" s="80" t="s">
        <v>312</v>
      </c>
      <c r="D38" s="81" t="s">
        <v>27</v>
      </c>
      <c r="E38" s="81">
        <v>2024</v>
      </c>
      <c r="F38" s="84">
        <v>180943</v>
      </c>
      <c r="G38" s="81" t="s">
        <v>343</v>
      </c>
      <c r="H38" s="90">
        <f>SUM(H34+SUM(F35:F38))</f>
        <v>32040208960</v>
      </c>
    </row>
    <row r="39" spans="2:8" ht="12" customHeight="1" x14ac:dyDescent="0.2">
      <c r="B39" s="79">
        <v>38</v>
      </c>
      <c r="C39" s="80" t="s">
        <v>312</v>
      </c>
      <c r="D39" s="81" t="s">
        <v>27</v>
      </c>
      <c r="E39" s="81">
        <v>2024</v>
      </c>
      <c r="F39" s="84">
        <v>5272572</v>
      </c>
      <c r="G39" s="81" t="s">
        <v>344</v>
      </c>
    </row>
    <row r="40" spans="2:8" ht="12" customHeight="1" x14ac:dyDescent="0.2">
      <c r="B40" s="79">
        <v>39</v>
      </c>
      <c r="C40" s="80" t="s">
        <v>312</v>
      </c>
      <c r="D40" s="81" t="s">
        <v>27</v>
      </c>
      <c r="E40" s="81">
        <v>2024</v>
      </c>
      <c r="F40" s="84">
        <v>803897</v>
      </c>
      <c r="G40" s="81" t="s">
        <v>345</v>
      </c>
    </row>
    <row r="41" spans="2:8" ht="12" customHeight="1" x14ac:dyDescent="0.2">
      <c r="B41" s="79">
        <v>40</v>
      </c>
      <c r="C41" s="80" t="s">
        <v>312</v>
      </c>
      <c r="D41" s="81" t="s">
        <v>27</v>
      </c>
      <c r="E41" s="81">
        <v>2024</v>
      </c>
      <c r="F41" s="84">
        <v>3923313</v>
      </c>
      <c r="G41" s="81" t="s">
        <v>317</v>
      </c>
    </row>
    <row r="42" spans="2:8" ht="12" customHeight="1" x14ac:dyDescent="0.2">
      <c r="B42" s="79">
        <v>41</v>
      </c>
      <c r="C42" s="80" t="s">
        <v>312</v>
      </c>
      <c r="D42" s="81" t="s">
        <v>27</v>
      </c>
      <c r="E42" s="81">
        <v>2024</v>
      </c>
      <c r="F42" s="84">
        <v>0</v>
      </c>
      <c r="G42" s="81" t="s">
        <v>346</v>
      </c>
      <c r="H42" s="90">
        <f>SUM(H38+SUM(F39:F42))</f>
        <v>32050208742</v>
      </c>
    </row>
    <row r="43" spans="2:8" ht="12" customHeight="1" x14ac:dyDescent="0.2">
      <c r="B43" s="82">
        <v>42</v>
      </c>
      <c r="C43" s="80" t="s">
        <v>331</v>
      </c>
      <c r="D43" s="81" t="s">
        <v>16</v>
      </c>
      <c r="E43" s="81">
        <v>2024</v>
      </c>
      <c r="F43" s="84">
        <v>172683330</v>
      </c>
      <c r="G43" s="81" t="s">
        <v>347</v>
      </c>
    </row>
    <row r="44" spans="2:8" ht="12" customHeight="1" x14ac:dyDescent="0.2">
      <c r="B44" s="79">
        <v>43</v>
      </c>
      <c r="C44" s="80" t="s">
        <v>300</v>
      </c>
      <c r="D44" s="81" t="s">
        <v>28</v>
      </c>
      <c r="E44" s="81">
        <v>2024</v>
      </c>
      <c r="F44" s="84">
        <v>0</v>
      </c>
      <c r="G44" s="81" t="s">
        <v>348</v>
      </c>
    </row>
    <row r="45" spans="2:8" ht="12" customHeight="1" x14ac:dyDescent="0.2">
      <c r="B45" s="79">
        <v>44</v>
      </c>
      <c r="C45" s="83" t="s">
        <v>290</v>
      </c>
      <c r="D45" s="86" t="s">
        <v>349</v>
      </c>
      <c r="E45" s="81">
        <v>2022</v>
      </c>
      <c r="F45" s="84">
        <v>9520453147</v>
      </c>
      <c r="G45" s="81" t="s">
        <v>350</v>
      </c>
    </row>
    <row r="46" spans="2:8" ht="12" customHeight="1" x14ac:dyDescent="0.2">
      <c r="B46" s="79">
        <v>45</v>
      </c>
      <c r="C46" s="80" t="s">
        <v>312</v>
      </c>
      <c r="D46" s="81" t="s">
        <v>27</v>
      </c>
      <c r="E46" s="81">
        <v>2024</v>
      </c>
      <c r="F46" s="84">
        <v>155917</v>
      </c>
      <c r="G46" s="81" t="s">
        <v>351</v>
      </c>
      <c r="H46" s="90">
        <f>SUM(H42+SUM(F43:F46))</f>
        <v>41743501136</v>
      </c>
    </row>
    <row r="47" spans="2:8" ht="12" customHeight="1" x14ac:dyDescent="0.2">
      <c r="B47" s="79">
        <v>46</v>
      </c>
      <c r="C47" s="80" t="s">
        <v>312</v>
      </c>
      <c r="D47" s="81" t="s">
        <v>27</v>
      </c>
      <c r="E47" s="81">
        <v>2024</v>
      </c>
      <c r="F47" s="84">
        <v>155000000</v>
      </c>
      <c r="G47" s="81" t="s">
        <v>352</v>
      </c>
    </row>
    <row r="48" spans="2:8" ht="12" customHeight="1" x14ac:dyDescent="0.2">
      <c r="B48" s="79">
        <v>47</v>
      </c>
      <c r="C48" s="80" t="s">
        <v>333</v>
      </c>
      <c r="D48" s="81" t="s">
        <v>334</v>
      </c>
      <c r="E48" s="81">
        <v>2024</v>
      </c>
      <c r="F48" s="84">
        <v>1000000</v>
      </c>
      <c r="G48" s="81" t="s">
        <v>353</v>
      </c>
    </row>
    <row r="49" spans="2:8" ht="12" customHeight="1" x14ac:dyDescent="0.2">
      <c r="B49" s="79">
        <v>48</v>
      </c>
      <c r="C49" s="80" t="s">
        <v>312</v>
      </c>
      <c r="D49" s="81" t="s">
        <v>27</v>
      </c>
      <c r="E49" s="81">
        <v>2024</v>
      </c>
      <c r="F49" s="84">
        <v>16178323</v>
      </c>
      <c r="G49" s="81" t="s">
        <v>354</v>
      </c>
    </row>
    <row r="50" spans="2:8" ht="12" customHeight="1" x14ac:dyDescent="0.2">
      <c r="B50" s="79">
        <v>49</v>
      </c>
      <c r="C50" s="80" t="s">
        <v>331</v>
      </c>
      <c r="D50" s="81" t="s">
        <v>16</v>
      </c>
      <c r="E50" s="81">
        <v>2024</v>
      </c>
      <c r="F50" s="84">
        <v>522954440</v>
      </c>
      <c r="G50" s="81" t="s">
        <v>355</v>
      </c>
      <c r="H50" s="90">
        <f>SUM(H46+SUM(F47:F50))</f>
        <v>42438633899</v>
      </c>
    </row>
    <row r="51" spans="2:8" ht="12" customHeight="1" x14ac:dyDescent="0.2">
      <c r="B51" s="79">
        <v>50</v>
      </c>
      <c r="C51" s="80" t="s">
        <v>331</v>
      </c>
      <c r="D51" s="81" t="s">
        <v>16</v>
      </c>
      <c r="E51" s="81">
        <v>2024</v>
      </c>
      <c r="F51" s="84">
        <v>519743666</v>
      </c>
      <c r="G51" s="81" t="s">
        <v>355</v>
      </c>
    </row>
    <row r="52" spans="2:8" ht="12" customHeight="1" x14ac:dyDescent="0.2">
      <c r="B52" s="79">
        <v>51</v>
      </c>
      <c r="C52" s="80" t="s">
        <v>331</v>
      </c>
      <c r="D52" s="81" t="s">
        <v>16</v>
      </c>
      <c r="E52" s="81">
        <v>2024</v>
      </c>
      <c r="F52" s="84">
        <v>514030503</v>
      </c>
      <c r="G52" s="81" t="s">
        <v>355</v>
      </c>
    </row>
    <row r="53" spans="2:8" ht="12" customHeight="1" x14ac:dyDescent="0.2">
      <c r="B53" s="79">
        <v>52</v>
      </c>
      <c r="C53" s="80" t="s">
        <v>331</v>
      </c>
      <c r="D53" s="81" t="s">
        <v>16</v>
      </c>
      <c r="E53" s="81">
        <v>2024</v>
      </c>
      <c r="F53" s="84">
        <v>136079025</v>
      </c>
      <c r="G53" s="81" t="s">
        <v>356</v>
      </c>
    </row>
    <row r="54" spans="2:8" ht="12" customHeight="1" x14ac:dyDescent="0.2">
      <c r="B54" s="79">
        <v>53</v>
      </c>
      <c r="C54" s="80" t="s">
        <v>331</v>
      </c>
      <c r="D54" s="81" t="s">
        <v>16</v>
      </c>
      <c r="E54" s="81">
        <v>2024</v>
      </c>
      <c r="F54" s="84">
        <v>0</v>
      </c>
      <c r="G54" s="81" t="s">
        <v>357</v>
      </c>
      <c r="H54" s="90">
        <f>SUM(H50+SUM(F51:F54))</f>
        <v>43608487093</v>
      </c>
    </row>
    <row r="55" spans="2:8" ht="12" customHeight="1" x14ac:dyDescent="0.2">
      <c r="B55" s="79">
        <v>54</v>
      </c>
      <c r="C55" s="80" t="s">
        <v>331</v>
      </c>
      <c r="D55" s="81" t="s">
        <v>16</v>
      </c>
      <c r="E55" s="81">
        <v>2024</v>
      </c>
      <c r="F55" s="84">
        <v>310583872</v>
      </c>
      <c r="G55" s="81" t="s">
        <v>358</v>
      </c>
    </row>
    <row r="56" spans="2:8" ht="12" customHeight="1" x14ac:dyDescent="0.2">
      <c r="B56" s="79">
        <v>55</v>
      </c>
      <c r="C56" s="80" t="s">
        <v>312</v>
      </c>
      <c r="D56" s="81" t="s">
        <v>27</v>
      </c>
      <c r="E56" s="81">
        <v>2024</v>
      </c>
      <c r="F56" s="84">
        <v>51192698</v>
      </c>
      <c r="G56" s="81" t="s">
        <v>359</v>
      </c>
    </row>
    <row r="57" spans="2:8" ht="12" customHeight="1" x14ac:dyDescent="0.2">
      <c r="B57" s="79">
        <v>56</v>
      </c>
      <c r="C57" s="80" t="s">
        <v>312</v>
      </c>
      <c r="D57" s="81" t="s">
        <v>27</v>
      </c>
      <c r="E57" s="81">
        <v>2024</v>
      </c>
      <c r="F57" s="84">
        <v>308295</v>
      </c>
      <c r="G57" s="81" t="s">
        <v>360</v>
      </c>
    </row>
    <row r="58" spans="2:8" ht="12" customHeight="1" x14ac:dyDescent="0.2">
      <c r="B58" s="79">
        <v>57</v>
      </c>
      <c r="C58" s="80" t="s">
        <v>331</v>
      </c>
      <c r="D58" s="81" t="s">
        <v>16</v>
      </c>
      <c r="E58" s="81">
        <v>2024</v>
      </c>
      <c r="F58" s="84">
        <v>50536943</v>
      </c>
      <c r="G58" s="81" t="s">
        <v>361</v>
      </c>
      <c r="H58" s="90">
        <f>SUM(H54+SUM(F55:F58))</f>
        <v>44021108901</v>
      </c>
    </row>
    <row r="59" spans="2:8" ht="12" customHeight="1" x14ac:dyDescent="0.2">
      <c r="B59" s="79">
        <v>58</v>
      </c>
      <c r="C59" s="80" t="s">
        <v>331</v>
      </c>
      <c r="D59" s="81" t="s">
        <v>16</v>
      </c>
      <c r="E59" s="81">
        <v>2024</v>
      </c>
      <c r="F59" s="84">
        <v>60157808</v>
      </c>
      <c r="G59" s="81" t="s">
        <v>362</v>
      </c>
    </row>
    <row r="60" spans="2:8" ht="12" customHeight="1" x14ac:dyDescent="0.2">
      <c r="B60" s="79">
        <v>59</v>
      </c>
      <c r="C60" s="80" t="s">
        <v>331</v>
      </c>
      <c r="D60" s="81" t="s">
        <v>16</v>
      </c>
      <c r="E60" s="81">
        <v>2024</v>
      </c>
      <c r="F60" s="84">
        <v>55144657</v>
      </c>
      <c r="G60" s="81" t="s">
        <v>363</v>
      </c>
    </row>
    <row r="61" spans="2:8" ht="12" customHeight="1" x14ac:dyDescent="0.2">
      <c r="B61" s="79">
        <v>60</v>
      </c>
      <c r="C61" s="80" t="s">
        <v>331</v>
      </c>
      <c r="D61" s="81" t="s">
        <v>16</v>
      </c>
      <c r="E61" s="81">
        <v>2024</v>
      </c>
      <c r="F61" s="84">
        <v>252500000</v>
      </c>
      <c r="G61" s="81" t="s">
        <v>364</v>
      </c>
    </row>
    <row r="62" spans="2:8" ht="12" customHeight="1" x14ac:dyDescent="0.2">
      <c r="B62" s="79">
        <v>61</v>
      </c>
      <c r="C62" s="80" t="s">
        <v>331</v>
      </c>
      <c r="D62" s="81" t="s">
        <v>16</v>
      </c>
      <c r="E62" s="81">
        <v>2024</v>
      </c>
      <c r="F62" s="84">
        <v>175060064</v>
      </c>
      <c r="G62" s="81" t="s">
        <v>365</v>
      </c>
      <c r="H62" s="90">
        <f>SUM(H58+SUM(F59:F62))</f>
        <v>44563971430</v>
      </c>
    </row>
    <row r="63" spans="2:8" ht="12" customHeight="1" x14ac:dyDescent="0.2">
      <c r="B63" s="79">
        <v>62</v>
      </c>
      <c r="C63" s="80" t="s">
        <v>331</v>
      </c>
      <c r="D63" s="81" t="s">
        <v>16</v>
      </c>
      <c r="E63" s="81">
        <v>2024</v>
      </c>
      <c r="F63" s="84">
        <v>436645424</v>
      </c>
      <c r="G63" s="81" t="s">
        <v>366</v>
      </c>
    </row>
    <row r="64" spans="2:8" ht="12" customHeight="1" x14ac:dyDescent="0.2">
      <c r="B64" s="79">
        <v>63</v>
      </c>
      <c r="C64" s="80" t="s">
        <v>331</v>
      </c>
      <c r="D64" s="81" t="s">
        <v>16</v>
      </c>
      <c r="E64" s="81">
        <v>2024</v>
      </c>
      <c r="F64" s="84">
        <v>1000000000</v>
      </c>
      <c r="G64" s="81" t="s">
        <v>367</v>
      </c>
    </row>
    <row r="65" spans="2:8" ht="12" customHeight="1" x14ac:dyDescent="0.2">
      <c r="B65" s="79">
        <v>64</v>
      </c>
      <c r="C65" s="80" t="s">
        <v>331</v>
      </c>
      <c r="D65" s="81" t="s">
        <v>16</v>
      </c>
      <c r="E65" s="81">
        <v>2024</v>
      </c>
      <c r="F65" s="84">
        <v>514030503</v>
      </c>
      <c r="G65" s="81" t="s">
        <v>368</v>
      </c>
    </row>
    <row r="66" spans="2:8" ht="12" customHeight="1" x14ac:dyDescent="0.2">
      <c r="B66" s="79">
        <v>65</v>
      </c>
      <c r="C66" s="80" t="s">
        <v>331</v>
      </c>
      <c r="D66" s="81" t="s">
        <v>16</v>
      </c>
      <c r="E66" s="81">
        <v>2024</v>
      </c>
      <c r="F66" s="84">
        <v>505847387</v>
      </c>
      <c r="G66" s="81" t="s">
        <v>368</v>
      </c>
      <c r="H66" s="90">
        <f>SUM(H62+SUM(F63:F66))</f>
        <v>47020494744</v>
      </c>
    </row>
    <row r="67" spans="2:8" ht="12" customHeight="1" x14ac:dyDescent="0.2">
      <c r="B67" s="79">
        <v>66</v>
      </c>
      <c r="C67" s="80" t="s">
        <v>331</v>
      </c>
      <c r="D67" s="81" t="s">
        <v>16</v>
      </c>
      <c r="E67" s="81">
        <v>2024</v>
      </c>
      <c r="F67" s="84">
        <v>1011694773</v>
      </c>
      <c r="G67" s="81" t="s">
        <v>368</v>
      </c>
    </row>
    <row r="68" spans="2:8" ht="12" customHeight="1" x14ac:dyDescent="0.2">
      <c r="B68" s="79">
        <v>67</v>
      </c>
      <c r="C68" s="80" t="s">
        <v>369</v>
      </c>
      <c r="D68" s="81" t="s">
        <v>26</v>
      </c>
      <c r="E68" s="81">
        <v>2024</v>
      </c>
      <c r="F68" s="84">
        <v>2500000000</v>
      </c>
      <c r="G68" s="81" t="s">
        <v>348</v>
      </c>
    </row>
    <row r="69" spans="2:8" ht="12" customHeight="1" x14ac:dyDescent="0.2">
      <c r="B69" s="79">
        <v>68</v>
      </c>
      <c r="C69" s="80" t="s">
        <v>370</v>
      </c>
      <c r="D69" s="81" t="s">
        <v>172</v>
      </c>
      <c r="E69" s="81">
        <v>2024</v>
      </c>
      <c r="F69" s="84">
        <v>950000000</v>
      </c>
      <c r="G69" s="81" t="s">
        <v>371</v>
      </c>
    </row>
    <row r="70" spans="2:8" x14ac:dyDescent="0.2">
      <c r="F70" s="90">
        <f>SUM(F2:F69)</f>
        <v>51482189517</v>
      </c>
      <c r="H70" s="90">
        <f>SUM(H66+SUM(F67:F69))</f>
        <v>51482189517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F8B8-D30D-4CDD-9D56-9B4F0607F7DB}">
  <sheetPr codeName="Sheet10">
    <tabColor rgb="FF92D050"/>
  </sheetPr>
  <dimension ref="A1:R55"/>
  <sheetViews>
    <sheetView showGridLines="0" view="pageBreakPreview" zoomScale="70" zoomScaleNormal="70" zoomScaleSheetLayoutView="70" workbookViewId="0">
      <selection activeCell="P8" sqref="P8:Q23"/>
    </sheetView>
  </sheetViews>
  <sheetFormatPr baseColWidth="10" defaultColWidth="9.1640625" defaultRowHeight="14" outlineLevelCol="1" x14ac:dyDescent="0.15"/>
  <cols>
    <col min="1" max="1" width="8.6640625" style="7" customWidth="1" outlineLevel="1"/>
    <col min="2" max="2" width="8.33203125" style="7" customWidth="1" outlineLevel="1"/>
    <col min="3" max="3" width="32.1640625" style="7" customWidth="1"/>
    <col min="4" max="4" width="18.5" style="7" customWidth="1"/>
    <col min="5" max="5" width="26.83203125" style="7" customWidth="1"/>
    <col min="6" max="6" width="28.33203125" style="7" bestFit="1" customWidth="1"/>
    <col min="7" max="7" width="18.6640625" style="7" customWidth="1"/>
    <col min="8" max="8" width="22.1640625" style="7" customWidth="1"/>
    <col min="9" max="9" width="22.1640625" style="7" customWidth="1" outlineLevel="1"/>
    <col min="10" max="14" width="18.5" style="7" customWidth="1" outlineLevel="1"/>
    <col min="15" max="16" width="9.1640625" style="7" customWidth="1"/>
    <col min="17" max="17" width="35.1640625" style="7" customWidth="1"/>
    <col min="18" max="16384" width="9.1640625" style="7"/>
  </cols>
  <sheetData>
    <row r="1" spans="1:18" ht="20" x14ac:dyDescent="0.2">
      <c r="C1" s="10" t="s">
        <v>142</v>
      </c>
      <c r="E1" s="10"/>
    </row>
    <row r="2" spans="1:18" x14ac:dyDescent="0.15">
      <c r="C2" s="9" t="s">
        <v>9</v>
      </c>
      <c r="E2" s="9"/>
    </row>
    <row r="3" spans="1:18" x14ac:dyDescent="0.15">
      <c r="C3" s="156"/>
      <c r="D3" s="377"/>
      <c r="E3" s="9"/>
    </row>
    <row r="4" spans="1:18" x14ac:dyDescent="0.15">
      <c r="C4" s="156" t="s">
        <v>836</v>
      </c>
      <c r="D4" s="377" t="s">
        <v>505</v>
      </c>
      <c r="E4" s="9"/>
    </row>
    <row r="5" spans="1:18" x14ac:dyDescent="0.15">
      <c r="G5" s="29">
        <f>SUM(G8:G55)</f>
        <v>6964760000</v>
      </c>
      <c r="H5" s="29">
        <f>SUM(H8:H55)</f>
        <v>20319280000</v>
      </c>
      <c r="J5" s="29">
        <f>SUM(J8:J55)</f>
        <v>7113010000</v>
      </c>
      <c r="K5" s="29">
        <f t="shared" ref="K5:N5" si="0">SUM(K8:K55)</f>
        <v>7063060000</v>
      </c>
      <c r="L5" s="29">
        <f t="shared" si="0"/>
        <v>7032965000</v>
      </c>
      <c r="M5" s="29">
        <f t="shared" si="0"/>
        <v>6927635000</v>
      </c>
      <c r="N5" s="29">
        <f t="shared" si="0"/>
        <v>7237655000</v>
      </c>
    </row>
    <row r="6" spans="1:18" s="3" customFormat="1" ht="30" customHeight="1" x14ac:dyDescent="0.2">
      <c r="A6" s="380" t="s">
        <v>55</v>
      </c>
      <c r="B6" s="380" t="s">
        <v>59</v>
      </c>
      <c r="C6" s="380" t="s">
        <v>58</v>
      </c>
      <c r="D6" s="380" t="s">
        <v>31</v>
      </c>
      <c r="E6" s="380" t="s">
        <v>143</v>
      </c>
      <c r="F6" s="380" t="s">
        <v>144</v>
      </c>
      <c r="G6" s="380" t="s">
        <v>61</v>
      </c>
      <c r="H6" s="382" t="s">
        <v>60</v>
      </c>
      <c r="I6" s="380" t="s">
        <v>33</v>
      </c>
      <c r="J6" s="384" t="s">
        <v>54</v>
      </c>
      <c r="K6" s="385"/>
      <c r="L6" s="385"/>
      <c r="M6" s="385"/>
      <c r="N6" s="386"/>
      <c r="R6" s="1"/>
    </row>
    <row r="7" spans="1:18" s="3" customFormat="1" ht="30" customHeight="1" x14ac:dyDescent="0.2">
      <c r="A7" s="381"/>
      <c r="B7" s="381"/>
      <c r="C7" s="381"/>
      <c r="D7" s="381"/>
      <c r="E7" s="381"/>
      <c r="F7" s="381"/>
      <c r="G7" s="381"/>
      <c r="H7" s="383"/>
      <c r="I7" s="381"/>
      <c r="J7" s="15">
        <v>2024</v>
      </c>
      <c r="K7" s="15">
        <v>2023</v>
      </c>
      <c r="L7" s="15">
        <v>2022</v>
      </c>
      <c r="M7" s="15">
        <v>2021</v>
      </c>
      <c r="N7" s="15">
        <v>2020</v>
      </c>
      <c r="P7" s="25" t="s">
        <v>30</v>
      </c>
      <c r="Q7" s="25" t="s">
        <v>30</v>
      </c>
      <c r="R7" s="1" t="s">
        <v>30</v>
      </c>
    </row>
    <row r="8" spans="1:18" s="3" customFormat="1" ht="30" customHeight="1" x14ac:dyDescent="0.2">
      <c r="A8" s="4">
        <v>1</v>
      </c>
      <c r="B8" s="4" t="str">
        <f t="shared" ref="B8:B9" si="1">VLOOKUP(C8,$Q:$R,2,0)</f>
        <v>0701</v>
      </c>
      <c r="C8" s="4" t="s">
        <v>120</v>
      </c>
      <c r="D8" s="5">
        <v>2014</v>
      </c>
      <c r="E8" s="4" t="s">
        <v>30</v>
      </c>
      <c r="F8" s="38" t="s">
        <v>387</v>
      </c>
      <c r="G8" s="11">
        <v>6677260000</v>
      </c>
      <c r="H8" s="36">
        <f>G8*3</f>
        <v>20031780000</v>
      </c>
      <c r="I8" s="4" t="s">
        <v>30</v>
      </c>
      <c r="J8" s="11">
        <v>6677260000</v>
      </c>
      <c r="K8" s="11">
        <v>6677260000</v>
      </c>
      <c r="L8" s="11">
        <v>6677260000</v>
      </c>
      <c r="M8" s="11">
        <v>6677260000</v>
      </c>
      <c r="N8" s="11">
        <v>6677260000</v>
      </c>
      <c r="P8" s="17" t="s">
        <v>111</v>
      </c>
      <c r="Q8" s="18" t="s">
        <v>112</v>
      </c>
      <c r="R8" s="17" t="s">
        <v>111</v>
      </c>
    </row>
    <row r="9" spans="1:18" s="3" customFormat="1" ht="30" customHeight="1" x14ac:dyDescent="0.2">
      <c r="A9" s="4">
        <f>A8+1</f>
        <v>2</v>
      </c>
      <c r="B9" s="4" t="str">
        <f t="shared" si="1"/>
        <v>0712</v>
      </c>
      <c r="C9" s="4" t="s">
        <v>141</v>
      </c>
      <c r="D9" s="5">
        <v>2025</v>
      </c>
      <c r="E9" s="4" t="s">
        <v>30</v>
      </c>
      <c r="F9" s="38" t="s">
        <v>30</v>
      </c>
      <c r="G9" s="13">
        <f>H9</f>
        <v>287500000</v>
      </c>
      <c r="H9" s="36">
        <v>287500000</v>
      </c>
      <c r="I9" s="4" t="s">
        <v>30</v>
      </c>
      <c r="J9" s="11">
        <v>435750000</v>
      </c>
      <c r="K9" s="11">
        <v>385800000</v>
      </c>
      <c r="L9" s="11">
        <v>355705000</v>
      </c>
      <c r="M9" s="11">
        <v>250375000</v>
      </c>
      <c r="N9" s="11">
        <v>560395000</v>
      </c>
      <c r="P9" s="17" t="s">
        <v>113</v>
      </c>
      <c r="Q9" s="18" t="s">
        <v>114</v>
      </c>
      <c r="R9" s="17" t="s">
        <v>113</v>
      </c>
    </row>
    <row r="10" spans="1:18" s="3" customFormat="1" ht="30" customHeight="1" x14ac:dyDescent="0.2">
      <c r="A10" s="4"/>
      <c r="B10" s="4"/>
      <c r="C10" s="4"/>
      <c r="D10" s="5"/>
      <c r="E10" s="4"/>
      <c r="F10" s="38"/>
      <c r="G10" s="13"/>
      <c r="H10" s="36"/>
      <c r="I10" s="4"/>
      <c r="J10" s="11"/>
      <c r="K10" s="11"/>
      <c r="L10" s="11"/>
      <c r="M10" s="11"/>
      <c r="N10" s="11"/>
      <c r="P10" s="17" t="s">
        <v>115</v>
      </c>
      <c r="Q10" s="18" t="s">
        <v>116</v>
      </c>
      <c r="R10" s="17" t="s">
        <v>115</v>
      </c>
    </row>
    <row r="11" spans="1:18" s="3" customFormat="1" ht="30" customHeight="1" x14ac:dyDescent="0.2">
      <c r="A11" s="4"/>
      <c r="B11" s="4"/>
      <c r="C11" s="4"/>
      <c r="D11" s="5"/>
      <c r="E11" s="4"/>
      <c r="F11" s="38"/>
      <c r="G11" s="13"/>
      <c r="H11" s="14"/>
      <c r="I11" s="4"/>
      <c r="J11" s="11"/>
      <c r="K11" s="11"/>
      <c r="L11" s="11"/>
      <c r="M11" s="11"/>
      <c r="N11" s="11"/>
      <c r="P11" s="17" t="s">
        <v>117</v>
      </c>
      <c r="Q11" s="18" t="s">
        <v>118</v>
      </c>
      <c r="R11" s="17" t="s">
        <v>117</v>
      </c>
    </row>
    <row r="12" spans="1:18" s="3" customFormat="1" ht="30" customHeight="1" x14ac:dyDescent="0.2">
      <c r="A12" s="4"/>
      <c r="B12" s="4"/>
      <c r="C12" s="4"/>
      <c r="D12" s="5"/>
      <c r="E12" s="4"/>
      <c r="F12" s="5"/>
      <c r="G12" s="13"/>
      <c r="H12" s="14"/>
      <c r="I12" s="4"/>
      <c r="J12" s="11"/>
      <c r="K12" s="11"/>
      <c r="L12" s="11"/>
      <c r="M12" s="11"/>
      <c r="N12" s="11"/>
      <c r="P12" s="17" t="s">
        <v>119</v>
      </c>
      <c r="Q12" s="18" t="s">
        <v>120</v>
      </c>
      <c r="R12" s="17" t="s">
        <v>119</v>
      </c>
    </row>
    <row r="13" spans="1:18" s="3" customFormat="1" ht="30" customHeight="1" x14ac:dyDescent="0.2">
      <c r="A13" s="4"/>
      <c r="B13" s="4"/>
      <c r="C13" s="4"/>
      <c r="D13" s="5"/>
      <c r="E13" s="4"/>
      <c r="F13" s="5"/>
      <c r="G13" s="13"/>
      <c r="H13" s="14"/>
      <c r="I13" s="4"/>
      <c r="J13" s="11"/>
      <c r="K13" s="11"/>
      <c r="L13" s="11"/>
      <c r="M13" s="11"/>
      <c r="N13" s="11"/>
      <c r="P13" s="17" t="s">
        <v>121</v>
      </c>
      <c r="Q13" s="18" t="s">
        <v>122</v>
      </c>
      <c r="R13" s="17" t="s">
        <v>121</v>
      </c>
    </row>
    <row r="14" spans="1:18" s="3" customFormat="1" ht="30" customHeight="1" x14ac:dyDescent="0.2">
      <c r="A14" s="4"/>
      <c r="B14" s="4"/>
      <c r="C14" s="4"/>
      <c r="D14" s="5"/>
      <c r="E14" s="4"/>
      <c r="F14" s="5"/>
      <c r="G14" s="13"/>
      <c r="H14" s="14"/>
      <c r="I14" s="4"/>
      <c r="J14" s="11"/>
      <c r="K14" s="11"/>
      <c r="L14" s="11"/>
      <c r="M14" s="11"/>
      <c r="N14" s="11"/>
      <c r="P14" s="17" t="s">
        <v>123</v>
      </c>
      <c r="Q14" s="18" t="s">
        <v>124</v>
      </c>
      <c r="R14" s="17" t="s">
        <v>123</v>
      </c>
    </row>
    <row r="15" spans="1:18" s="3" customFormat="1" ht="30" customHeight="1" x14ac:dyDescent="0.2">
      <c r="A15" s="4"/>
      <c r="B15" s="4"/>
      <c r="C15" s="4"/>
      <c r="D15" s="5"/>
      <c r="E15" s="4"/>
      <c r="F15" s="5"/>
      <c r="G15" s="13"/>
      <c r="H15" s="14"/>
      <c r="I15" s="4"/>
      <c r="J15" s="11"/>
      <c r="K15" s="11"/>
      <c r="L15" s="11"/>
      <c r="M15" s="11"/>
      <c r="N15" s="11"/>
      <c r="P15" s="17" t="s">
        <v>125</v>
      </c>
      <c r="Q15" s="18" t="s">
        <v>126</v>
      </c>
      <c r="R15" s="17" t="s">
        <v>125</v>
      </c>
    </row>
    <row r="16" spans="1:18" s="3" customFormat="1" ht="30" customHeight="1" x14ac:dyDescent="0.2">
      <c r="A16" s="4"/>
      <c r="B16" s="4"/>
      <c r="C16" s="4"/>
      <c r="D16" s="5"/>
      <c r="E16" s="4"/>
      <c r="F16" s="5"/>
      <c r="G16" s="13"/>
      <c r="H16" s="14"/>
      <c r="I16" s="4"/>
      <c r="J16" s="11"/>
      <c r="K16" s="11"/>
      <c r="L16" s="11"/>
      <c r="M16" s="11"/>
      <c r="N16" s="11"/>
      <c r="P16" s="17" t="s">
        <v>127</v>
      </c>
      <c r="Q16" s="18" t="s">
        <v>29</v>
      </c>
      <c r="R16" s="17" t="s">
        <v>127</v>
      </c>
    </row>
    <row r="17" spans="1:18" s="3" customFormat="1" ht="30" customHeight="1" x14ac:dyDescent="0.2">
      <c r="A17" s="4"/>
      <c r="B17" s="4"/>
      <c r="C17" s="4"/>
      <c r="D17" s="5"/>
      <c r="E17" s="4"/>
      <c r="F17" s="5"/>
      <c r="G17" s="13"/>
      <c r="H17" s="14"/>
      <c r="I17" s="4"/>
      <c r="J17" s="11"/>
      <c r="K17" s="11"/>
      <c r="L17" s="11"/>
      <c r="M17" s="11"/>
      <c r="N17" s="11"/>
      <c r="P17" s="17" t="s">
        <v>128</v>
      </c>
      <c r="Q17" s="18" t="s">
        <v>129</v>
      </c>
      <c r="R17" s="17" t="s">
        <v>128</v>
      </c>
    </row>
    <row r="18" spans="1:18" s="3" customFormat="1" ht="30" customHeight="1" x14ac:dyDescent="0.2">
      <c r="A18" s="4"/>
      <c r="B18" s="4"/>
      <c r="C18" s="4"/>
      <c r="D18" s="5"/>
      <c r="E18" s="4"/>
      <c r="F18" s="5"/>
      <c r="G18" s="13"/>
      <c r="H18" s="14"/>
      <c r="I18" s="4"/>
      <c r="J18" s="11"/>
      <c r="K18" s="11"/>
      <c r="L18" s="11"/>
      <c r="M18" s="11"/>
      <c r="N18" s="11"/>
      <c r="P18" s="17" t="s">
        <v>130</v>
      </c>
      <c r="Q18" s="18" t="s">
        <v>131</v>
      </c>
      <c r="R18" s="17" t="s">
        <v>130</v>
      </c>
    </row>
    <row r="19" spans="1:18" s="3" customFormat="1" ht="30" customHeight="1" x14ac:dyDescent="0.2">
      <c r="A19" s="4"/>
      <c r="B19" s="4"/>
      <c r="C19" s="4"/>
      <c r="D19" s="5"/>
      <c r="E19" s="4"/>
      <c r="F19" s="5"/>
      <c r="G19" s="13"/>
      <c r="H19" s="14"/>
      <c r="I19" s="4"/>
      <c r="J19" s="11"/>
      <c r="K19" s="11"/>
      <c r="L19" s="11"/>
      <c r="M19" s="11"/>
      <c r="N19" s="11"/>
      <c r="P19" s="17" t="s">
        <v>132</v>
      </c>
      <c r="Q19" s="18" t="s">
        <v>133</v>
      </c>
      <c r="R19" s="17" t="s">
        <v>132</v>
      </c>
    </row>
    <row r="20" spans="1:18" s="3" customFormat="1" ht="30" customHeight="1" x14ac:dyDescent="0.2">
      <c r="A20" s="4"/>
      <c r="B20" s="4"/>
      <c r="C20" s="4"/>
      <c r="D20" s="5"/>
      <c r="E20" s="4"/>
      <c r="F20" s="5"/>
      <c r="G20" s="13"/>
      <c r="H20" s="14"/>
      <c r="I20" s="4"/>
      <c r="J20" s="11"/>
      <c r="K20" s="11"/>
      <c r="L20" s="11"/>
      <c r="M20" s="11"/>
      <c r="N20" s="11"/>
      <c r="P20" s="18" t="s">
        <v>134</v>
      </c>
      <c r="Q20" s="18" t="s">
        <v>135</v>
      </c>
      <c r="R20" s="18" t="s">
        <v>134</v>
      </c>
    </row>
    <row r="21" spans="1:18" s="3" customFormat="1" ht="30" customHeight="1" x14ac:dyDescent="0.2">
      <c r="A21" s="4"/>
      <c r="B21" s="4"/>
      <c r="C21" s="4"/>
      <c r="D21" s="5"/>
      <c r="E21" s="4"/>
      <c r="F21" s="5"/>
      <c r="G21" s="13"/>
      <c r="H21" s="14"/>
      <c r="I21" s="4"/>
      <c r="J21" s="12"/>
      <c r="K21" s="12"/>
      <c r="L21" s="12"/>
      <c r="M21" s="12"/>
      <c r="N21" s="12"/>
      <c r="P21" s="25" t="s">
        <v>136</v>
      </c>
      <c r="Q21" s="25" t="s">
        <v>137</v>
      </c>
      <c r="R21" s="25" t="s">
        <v>136</v>
      </c>
    </row>
    <row r="22" spans="1:18" s="3" customFormat="1" ht="30" customHeight="1" x14ac:dyDescent="0.2">
      <c r="A22" s="4"/>
      <c r="B22" s="4"/>
      <c r="C22" s="4"/>
      <c r="D22" s="5"/>
      <c r="E22" s="4"/>
      <c r="F22" s="5"/>
      <c r="G22" s="13"/>
      <c r="H22" s="14"/>
      <c r="I22" s="4"/>
      <c r="J22" s="12"/>
      <c r="K22" s="12"/>
      <c r="L22" s="12"/>
      <c r="M22" s="12"/>
      <c r="N22" s="12"/>
      <c r="P22" s="25" t="s">
        <v>138</v>
      </c>
      <c r="Q22" s="25" t="s">
        <v>139</v>
      </c>
      <c r="R22" s="25" t="s">
        <v>138</v>
      </c>
    </row>
    <row r="23" spans="1:18" s="3" customFormat="1" ht="30" customHeight="1" x14ac:dyDescent="0.2">
      <c r="A23" s="4"/>
      <c r="B23" s="4"/>
      <c r="C23" s="4"/>
      <c r="D23" s="5"/>
      <c r="E23" s="4"/>
      <c r="F23" s="5"/>
      <c r="G23" s="13"/>
      <c r="H23" s="14"/>
      <c r="I23" s="4"/>
      <c r="J23" s="12"/>
      <c r="K23" s="12"/>
      <c r="L23" s="12"/>
      <c r="M23" s="12"/>
      <c r="N23" s="12"/>
      <c r="P23" s="25" t="s">
        <v>140</v>
      </c>
      <c r="Q23" s="25" t="s">
        <v>141</v>
      </c>
      <c r="R23" s="25" t="s">
        <v>140</v>
      </c>
    </row>
    <row r="24" spans="1:18" s="3" customFormat="1" ht="30" customHeight="1" x14ac:dyDescent="0.2">
      <c r="A24" s="4"/>
      <c r="B24" s="4"/>
      <c r="C24" s="4"/>
      <c r="D24" s="5"/>
      <c r="E24" s="4"/>
      <c r="F24" s="5"/>
      <c r="G24" s="13"/>
      <c r="H24" s="14"/>
      <c r="I24" s="4"/>
      <c r="J24" s="12"/>
      <c r="K24" s="12"/>
      <c r="L24" s="12"/>
      <c r="M24" s="12"/>
      <c r="N24" s="12"/>
    </row>
    <row r="25" spans="1:18" s="3" customFormat="1" ht="30" customHeight="1" x14ac:dyDescent="0.2">
      <c r="A25" s="4"/>
      <c r="B25" s="4"/>
      <c r="C25" s="4"/>
      <c r="D25" s="5"/>
      <c r="E25" s="4"/>
      <c r="F25" s="5"/>
      <c r="G25" s="13"/>
      <c r="H25" s="14"/>
      <c r="I25" s="4"/>
      <c r="J25" s="12"/>
      <c r="K25" s="12"/>
      <c r="L25" s="12"/>
      <c r="M25" s="12"/>
      <c r="N25" s="12"/>
    </row>
    <row r="26" spans="1:18" s="3" customFormat="1" ht="30" customHeight="1" x14ac:dyDescent="0.2">
      <c r="A26" s="4"/>
      <c r="B26" s="4"/>
      <c r="C26" s="4"/>
      <c r="D26" s="4"/>
      <c r="E26" s="4"/>
      <c r="F26" s="4"/>
      <c r="G26" s="4"/>
      <c r="H26" s="6"/>
      <c r="I26" s="4"/>
      <c r="J26" s="4"/>
      <c r="K26" s="4"/>
      <c r="L26" s="4"/>
      <c r="M26" s="4"/>
      <c r="N26" s="4"/>
    </row>
    <row r="27" spans="1:18" s="3" customFormat="1" ht="30" customHeight="1" x14ac:dyDescent="0.2">
      <c r="A27" s="4"/>
      <c r="B27" s="4"/>
      <c r="C27" s="4"/>
      <c r="D27" s="4"/>
      <c r="E27" s="4"/>
      <c r="F27" s="4"/>
      <c r="G27" s="4"/>
      <c r="H27" s="6"/>
      <c r="I27" s="4"/>
      <c r="J27" s="4"/>
      <c r="K27" s="4"/>
      <c r="L27" s="4"/>
      <c r="M27" s="4"/>
      <c r="N27" s="4"/>
    </row>
    <row r="28" spans="1:18" s="3" customFormat="1" ht="30" customHeight="1" x14ac:dyDescent="0.2">
      <c r="A28" s="4"/>
      <c r="B28" s="4"/>
      <c r="C28" s="4"/>
      <c r="D28" s="4"/>
      <c r="E28" s="4"/>
      <c r="F28" s="4"/>
      <c r="G28" s="4"/>
      <c r="H28" s="6"/>
      <c r="I28" s="4"/>
      <c r="J28" s="4"/>
      <c r="K28" s="4"/>
      <c r="L28" s="4"/>
      <c r="M28" s="4"/>
      <c r="N28" s="4"/>
    </row>
    <row r="29" spans="1:18" s="3" customFormat="1" ht="30" customHeight="1" x14ac:dyDescent="0.2">
      <c r="A29" s="4"/>
      <c r="B29" s="4"/>
      <c r="C29" s="4"/>
      <c r="D29" s="4"/>
      <c r="E29" s="4"/>
      <c r="F29" s="4"/>
      <c r="G29" s="4"/>
      <c r="H29" s="6"/>
      <c r="I29" s="4"/>
      <c r="J29" s="4"/>
      <c r="K29" s="4"/>
      <c r="L29" s="4"/>
      <c r="M29" s="4"/>
      <c r="N29" s="4"/>
    </row>
    <row r="30" spans="1:18" s="3" customFormat="1" ht="30" customHeight="1" x14ac:dyDescent="0.2">
      <c r="A30" s="4"/>
      <c r="B30" s="4"/>
      <c r="C30" s="4"/>
      <c r="D30" s="4"/>
      <c r="E30" s="4"/>
      <c r="F30" s="4"/>
      <c r="G30" s="4"/>
      <c r="H30" s="6"/>
      <c r="I30" s="4"/>
      <c r="J30" s="4"/>
      <c r="K30" s="4"/>
      <c r="L30" s="4"/>
      <c r="M30" s="4"/>
      <c r="N30" s="4"/>
    </row>
    <row r="31" spans="1:18" s="3" customFormat="1" ht="30" customHeight="1" x14ac:dyDescent="0.2">
      <c r="A31" s="4"/>
      <c r="B31" s="4"/>
      <c r="C31" s="4"/>
      <c r="D31" s="4"/>
      <c r="E31" s="4"/>
      <c r="F31" s="4"/>
      <c r="G31" s="4"/>
      <c r="H31" s="6"/>
      <c r="I31" s="4"/>
      <c r="J31" s="4"/>
      <c r="K31" s="4"/>
      <c r="L31" s="4"/>
      <c r="M31" s="4"/>
      <c r="N31" s="4"/>
    </row>
    <row r="32" spans="1:18" s="3" customFormat="1" ht="30" customHeight="1" x14ac:dyDescent="0.2">
      <c r="A32" s="4"/>
      <c r="B32" s="4"/>
      <c r="C32" s="4"/>
      <c r="D32" s="4"/>
      <c r="E32" s="4"/>
      <c r="F32" s="4"/>
      <c r="G32" s="4"/>
      <c r="H32" s="6"/>
      <c r="I32" s="4"/>
      <c r="J32" s="4"/>
      <c r="K32" s="4"/>
      <c r="L32" s="4"/>
      <c r="M32" s="4"/>
      <c r="N32" s="4"/>
    </row>
    <row r="33" spans="1:14" s="3" customFormat="1" ht="30" customHeight="1" x14ac:dyDescent="0.2">
      <c r="A33" s="4"/>
      <c r="B33" s="4"/>
      <c r="C33" s="4"/>
      <c r="D33" s="4"/>
      <c r="E33" s="4"/>
      <c r="F33" s="4"/>
      <c r="G33" s="4"/>
      <c r="H33" s="6"/>
      <c r="I33" s="4"/>
      <c r="J33" s="4"/>
      <c r="K33" s="4"/>
      <c r="L33" s="4"/>
      <c r="M33" s="4"/>
      <c r="N33" s="4"/>
    </row>
    <row r="34" spans="1:14" s="3" customFormat="1" ht="30" customHeight="1" x14ac:dyDescent="0.2">
      <c r="A34" s="4"/>
      <c r="B34" s="4"/>
      <c r="C34" s="4"/>
      <c r="D34" s="4"/>
      <c r="E34" s="4"/>
      <c r="F34" s="4"/>
      <c r="G34" s="4"/>
      <c r="H34" s="6"/>
      <c r="I34" s="4"/>
      <c r="J34" s="4"/>
      <c r="K34" s="4"/>
      <c r="L34" s="4"/>
      <c r="M34" s="4"/>
      <c r="N34" s="4"/>
    </row>
    <row r="35" spans="1:14" s="3" customFormat="1" ht="30" customHeight="1" x14ac:dyDescent="0.2">
      <c r="A35" s="4"/>
      <c r="B35" s="4"/>
      <c r="C35" s="4"/>
      <c r="D35" s="4"/>
      <c r="E35" s="4"/>
      <c r="F35" s="4"/>
      <c r="G35" s="4"/>
      <c r="H35" s="6"/>
      <c r="I35" s="4"/>
      <c r="J35" s="4"/>
      <c r="K35" s="4"/>
      <c r="L35" s="4"/>
      <c r="M35" s="4"/>
      <c r="N35" s="4"/>
    </row>
    <row r="36" spans="1:14" s="3" customFormat="1" ht="30" customHeight="1" x14ac:dyDescent="0.2">
      <c r="A36" s="4"/>
      <c r="B36" s="4"/>
      <c r="C36" s="4"/>
      <c r="D36" s="4"/>
      <c r="E36" s="4"/>
      <c r="F36" s="4"/>
      <c r="G36" s="4"/>
      <c r="H36" s="6"/>
      <c r="I36" s="4"/>
      <c r="J36" s="4"/>
      <c r="K36" s="4"/>
      <c r="L36" s="4"/>
      <c r="M36" s="4"/>
      <c r="N36" s="4"/>
    </row>
    <row r="37" spans="1:14" s="3" customFormat="1" ht="30" customHeight="1" x14ac:dyDescent="0.2">
      <c r="A37" s="4"/>
      <c r="B37" s="4"/>
      <c r="C37" s="4"/>
      <c r="D37" s="4"/>
      <c r="E37" s="4"/>
      <c r="F37" s="4"/>
      <c r="G37" s="4"/>
      <c r="H37" s="6"/>
      <c r="I37" s="4"/>
      <c r="J37" s="4"/>
      <c r="K37" s="4"/>
      <c r="L37" s="4"/>
      <c r="M37" s="4"/>
      <c r="N37" s="4"/>
    </row>
    <row r="38" spans="1:14" s="3" customFormat="1" ht="30" customHeight="1" x14ac:dyDescent="0.2">
      <c r="A38" s="4"/>
      <c r="B38" s="4"/>
      <c r="C38" s="4"/>
      <c r="D38" s="4"/>
      <c r="E38" s="4"/>
      <c r="F38" s="4"/>
      <c r="G38" s="4"/>
      <c r="H38" s="6"/>
      <c r="I38" s="4"/>
      <c r="J38" s="4"/>
      <c r="K38" s="4"/>
      <c r="L38" s="4"/>
      <c r="M38" s="4"/>
      <c r="N38" s="4"/>
    </row>
    <row r="39" spans="1:14" s="3" customFormat="1" ht="30" customHeight="1" x14ac:dyDescent="0.2">
      <c r="A39" s="4"/>
      <c r="B39" s="4"/>
      <c r="C39" s="4"/>
      <c r="D39" s="4"/>
      <c r="E39" s="4"/>
      <c r="F39" s="4"/>
      <c r="G39" s="4"/>
      <c r="H39" s="6"/>
      <c r="I39" s="4"/>
      <c r="J39" s="4"/>
      <c r="K39" s="4"/>
      <c r="L39" s="4"/>
      <c r="M39" s="4"/>
      <c r="N39" s="4"/>
    </row>
    <row r="40" spans="1:14" s="3" customFormat="1" ht="30" customHeight="1" x14ac:dyDescent="0.2">
      <c r="A40" s="4"/>
      <c r="B40" s="4"/>
      <c r="C40" s="4"/>
      <c r="D40" s="4"/>
      <c r="E40" s="4"/>
      <c r="F40" s="4"/>
      <c r="G40" s="4"/>
      <c r="H40" s="6"/>
      <c r="I40" s="4"/>
      <c r="J40" s="4"/>
      <c r="K40" s="4"/>
      <c r="L40" s="4"/>
      <c r="M40" s="4"/>
      <c r="N40" s="4"/>
    </row>
    <row r="41" spans="1:14" s="3" customFormat="1" ht="30" customHeight="1" x14ac:dyDescent="0.2">
      <c r="A41" s="4"/>
      <c r="B41" s="4"/>
      <c r="C41" s="4"/>
      <c r="D41" s="4"/>
      <c r="E41" s="4"/>
      <c r="F41" s="4"/>
      <c r="G41" s="4"/>
      <c r="H41" s="6"/>
      <c r="I41" s="4"/>
      <c r="J41" s="4"/>
      <c r="K41" s="4"/>
      <c r="L41" s="4"/>
      <c r="M41" s="4"/>
      <c r="N41" s="4"/>
    </row>
    <row r="42" spans="1:14" s="3" customFormat="1" ht="30" customHeight="1" x14ac:dyDescent="0.2">
      <c r="A42" s="4"/>
      <c r="B42" s="4"/>
      <c r="C42" s="4"/>
      <c r="D42" s="4"/>
      <c r="E42" s="4"/>
      <c r="F42" s="4"/>
      <c r="G42" s="4"/>
      <c r="H42" s="6"/>
      <c r="I42" s="4"/>
      <c r="J42" s="4"/>
      <c r="K42" s="4"/>
      <c r="L42" s="4"/>
      <c r="M42" s="4"/>
      <c r="N42" s="4"/>
    </row>
    <row r="43" spans="1:14" s="3" customFormat="1" ht="30" customHeight="1" x14ac:dyDescent="0.2">
      <c r="A43" s="4"/>
      <c r="B43" s="4"/>
      <c r="C43" s="4"/>
      <c r="D43" s="4"/>
      <c r="E43" s="4"/>
      <c r="F43" s="4"/>
      <c r="G43" s="4"/>
      <c r="H43" s="6"/>
      <c r="I43" s="4"/>
      <c r="J43" s="4"/>
      <c r="K43" s="4"/>
      <c r="L43" s="4"/>
      <c r="M43" s="4"/>
      <c r="N43" s="4"/>
    </row>
    <row r="44" spans="1:14" s="3" customFormat="1" ht="30" customHeight="1" x14ac:dyDescent="0.2">
      <c r="A44" s="4"/>
      <c r="B44" s="4"/>
      <c r="C44" s="4"/>
      <c r="D44" s="4"/>
      <c r="E44" s="4"/>
      <c r="F44" s="4"/>
      <c r="G44" s="4"/>
      <c r="H44" s="6"/>
      <c r="I44" s="4"/>
      <c r="J44" s="4"/>
      <c r="K44" s="4"/>
      <c r="L44" s="4"/>
      <c r="M44" s="4"/>
      <c r="N44" s="4"/>
    </row>
    <row r="45" spans="1:14" s="3" customFormat="1" ht="30" customHeight="1" x14ac:dyDescent="0.2">
      <c r="A45" s="4"/>
      <c r="B45" s="4"/>
      <c r="C45" s="4"/>
      <c r="D45" s="4"/>
      <c r="E45" s="4"/>
      <c r="F45" s="4"/>
      <c r="G45" s="4"/>
      <c r="H45" s="6"/>
      <c r="I45" s="4"/>
      <c r="J45" s="4"/>
      <c r="K45" s="4"/>
      <c r="L45" s="4"/>
      <c r="M45" s="4"/>
      <c r="N45" s="4"/>
    </row>
    <row r="46" spans="1:14" s="3" customFormat="1" ht="30" customHeight="1" x14ac:dyDescent="0.2">
      <c r="A46" s="4"/>
      <c r="B46" s="4"/>
      <c r="C46" s="4"/>
      <c r="D46" s="4"/>
      <c r="E46" s="4"/>
      <c r="F46" s="4"/>
      <c r="G46" s="4"/>
      <c r="H46" s="6"/>
      <c r="I46" s="4"/>
      <c r="J46" s="4"/>
      <c r="K46" s="4"/>
      <c r="L46" s="4"/>
      <c r="M46" s="4"/>
      <c r="N46" s="4"/>
    </row>
    <row r="47" spans="1:14" s="3" customFormat="1" ht="30" customHeight="1" x14ac:dyDescent="0.2">
      <c r="A47" s="4"/>
      <c r="B47" s="4"/>
      <c r="C47" s="4"/>
      <c r="D47" s="4"/>
      <c r="E47" s="4"/>
      <c r="F47" s="4"/>
      <c r="G47" s="4"/>
      <c r="H47" s="6"/>
      <c r="I47" s="4"/>
      <c r="J47" s="4"/>
      <c r="K47" s="4"/>
      <c r="L47" s="4"/>
      <c r="M47" s="4"/>
      <c r="N47" s="4"/>
    </row>
    <row r="48" spans="1:14" s="3" customFormat="1" ht="30" customHeight="1" x14ac:dyDescent="0.2">
      <c r="A48" s="4"/>
      <c r="B48" s="4"/>
      <c r="C48" s="4"/>
      <c r="D48" s="4"/>
      <c r="E48" s="4"/>
      <c r="F48" s="4"/>
      <c r="G48" s="4"/>
      <c r="H48" s="6"/>
      <c r="I48" s="4"/>
      <c r="J48" s="4"/>
      <c r="K48" s="4"/>
      <c r="L48" s="4"/>
      <c r="M48" s="4"/>
      <c r="N48" s="4"/>
    </row>
    <row r="49" spans="1:14" s="3" customFormat="1" ht="30" customHeight="1" x14ac:dyDescent="0.2">
      <c r="A49" s="4"/>
      <c r="B49" s="4"/>
      <c r="C49" s="4"/>
      <c r="D49" s="4"/>
      <c r="E49" s="4"/>
      <c r="F49" s="4"/>
      <c r="G49" s="4"/>
      <c r="H49" s="6"/>
      <c r="I49" s="4"/>
      <c r="J49" s="4"/>
      <c r="K49" s="4"/>
      <c r="L49" s="4"/>
      <c r="M49" s="4"/>
      <c r="N49" s="4"/>
    </row>
    <row r="50" spans="1:14" s="3" customFormat="1" ht="30" customHeight="1" x14ac:dyDescent="0.2">
      <c r="A50" s="4"/>
      <c r="B50" s="4"/>
      <c r="C50" s="4"/>
      <c r="D50" s="4"/>
      <c r="E50" s="4"/>
      <c r="F50" s="4"/>
      <c r="G50" s="4"/>
      <c r="H50" s="6"/>
      <c r="I50" s="4"/>
      <c r="J50" s="4"/>
      <c r="K50" s="4"/>
      <c r="L50" s="4"/>
      <c r="M50" s="4"/>
      <c r="N50" s="4"/>
    </row>
    <row r="51" spans="1:14" s="3" customFormat="1" ht="30" customHeight="1" x14ac:dyDescent="0.2">
      <c r="A51" s="4"/>
      <c r="B51" s="4"/>
      <c r="C51" s="4"/>
      <c r="D51" s="4"/>
      <c r="E51" s="4"/>
      <c r="F51" s="4"/>
      <c r="G51" s="4"/>
      <c r="H51" s="6"/>
      <c r="I51" s="4"/>
      <c r="J51" s="4"/>
      <c r="K51" s="4"/>
      <c r="L51" s="4"/>
      <c r="M51" s="4"/>
      <c r="N51" s="4"/>
    </row>
    <row r="52" spans="1:14" s="3" customFormat="1" ht="30" customHeight="1" x14ac:dyDescent="0.2">
      <c r="A52" s="4"/>
      <c r="B52" s="4"/>
      <c r="C52" s="4"/>
      <c r="D52" s="4"/>
      <c r="E52" s="4"/>
      <c r="F52" s="4"/>
      <c r="G52" s="4"/>
      <c r="H52" s="6"/>
      <c r="I52" s="4"/>
      <c r="J52" s="4"/>
      <c r="K52" s="4"/>
      <c r="L52" s="4"/>
      <c r="M52" s="4"/>
      <c r="N52" s="4"/>
    </row>
    <row r="53" spans="1:14" s="3" customFormat="1" ht="30" customHeight="1" x14ac:dyDescent="0.2">
      <c r="A53" s="4"/>
      <c r="B53" s="4"/>
      <c r="C53" s="4"/>
      <c r="D53" s="4"/>
      <c r="E53" s="4"/>
      <c r="F53" s="4"/>
      <c r="G53" s="4"/>
      <c r="H53" s="6"/>
      <c r="I53" s="4"/>
      <c r="J53" s="4"/>
      <c r="K53" s="4"/>
      <c r="L53" s="4"/>
      <c r="M53" s="4"/>
      <c r="N53" s="4"/>
    </row>
    <row r="54" spans="1:14" s="3" customFormat="1" ht="30" customHeight="1" x14ac:dyDescent="0.2">
      <c r="A54" s="4"/>
      <c r="B54" s="4"/>
      <c r="C54" s="4"/>
      <c r="D54" s="4"/>
      <c r="E54" s="4"/>
      <c r="F54" s="4"/>
      <c r="G54" s="4"/>
      <c r="H54" s="6"/>
      <c r="I54" s="4"/>
      <c r="J54" s="4"/>
      <c r="K54" s="4"/>
      <c r="L54" s="4"/>
      <c r="M54" s="4"/>
      <c r="N54" s="4"/>
    </row>
    <row r="55" spans="1:14" s="3" customFormat="1" ht="30" customHeight="1" x14ac:dyDescent="0.2">
      <c r="A55" s="4"/>
      <c r="B55" s="4"/>
      <c r="C55" s="4"/>
      <c r="D55" s="4"/>
      <c r="E55" s="4"/>
      <c r="F55" s="4"/>
      <c r="G55" s="4"/>
      <c r="H55" s="6"/>
      <c r="I55" s="4"/>
      <c r="J55" s="4"/>
      <c r="K55" s="4"/>
      <c r="L55" s="4"/>
      <c r="M55" s="4"/>
      <c r="N55" s="4"/>
    </row>
  </sheetData>
  <mergeCells count="10">
    <mergeCell ref="H6:H7"/>
    <mergeCell ref="I6:I7"/>
    <mergeCell ref="J6:N6"/>
    <mergeCell ref="C6:C7"/>
    <mergeCell ref="D6:D7"/>
    <mergeCell ref="A6:A7"/>
    <mergeCell ref="B6:B7"/>
    <mergeCell ref="E6:E7"/>
    <mergeCell ref="F6:F7"/>
    <mergeCell ref="G6:G7"/>
  </mergeCells>
  <pageMargins left="0.7" right="0.7" top="0.75" bottom="0.75" header="0.3" footer="0.3"/>
  <pageSetup scale="24" orientation="portrait" horizontalDpi="203" verticalDpi="20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1340-3F69-4AF0-A325-CDDD6DC966C7}">
  <sheetPr codeName="Sheet11">
    <tabColor rgb="FFFFFF00"/>
  </sheetPr>
  <dimension ref="A1:R55"/>
  <sheetViews>
    <sheetView showGridLines="0" view="pageBreakPreview" zoomScale="60" zoomScaleNormal="70" workbookViewId="0">
      <selection activeCell="P8" sqref="P8:Q11"/>
    </sheetView>
  </sheetViews>
  <sheetFormatPr baseColWidth="10" defaultColWidth="9.1640625" defaultRowHeight="14" outlineLevelCol="1" x14ac:dyDescent="0.15"/>
  <cols>
    <col min="1" max="1" width="8.6640625" style="7" customWidth="1" outlineLevel="1"/>
    <col min="2" max="2" width="8.33203125" style="7" customWidth="1" outlineLevel="1"/>
    <col min="3" max="3" width="32.83203125" style="7" customWidth="1"/>
    <col min="4" max="4" width="26.33203125" style="7" customWidth="1"/>
    <col min="5" max="5" width="21.83203125" style="7" customWidth="1"/>
    <col min="6" max="6" width="18.83203125" style="8" bestFit="1" customWidth="1"/>
    <col min="7" max="7" width="18.6640625" style="7" customWidth="1"/>
    <col min="8" max="8" width="18.5" style="7" customWidth="1"/>
    <col min="9" max="9" width="22.1640625" style="7" customWidth="1"/>
    <col min="10" max="14" width="18.5" style="7" customWidth="1"/>
    <col min="15" max="15" width="10.6640625" style="7" bestFit="1" customWidth="1"/>
    <col min="16" max="16" width="9.1640625" style="7" customWidth="1"/>
    <col min="17" max="17" width="57.33203125" style="7" bestFit="1" customWidth="1"/>
    <col min="18" max="18" width="9.1640625" style="7" customWidth="1"/>
    <col min="19" max="16384" width="9.1640625" style="7"/>
  </cols>
  <sheetData>
    <row r="1" spans="1:18" ht="20" x14ac:dyDescent="0.2">
      <c r="C1" s="10" t="s">
        <v>190</v>
      </c>
    </row>
    <row r="2" spans="1:18" x14ac:dyDescent="0.15">
      <c r="C2" s="9"/>
    </row>
    <row r="3" spans="1:18" x14ac:dyDescent="0.15">
      <c r="C3" s="156"/>
      <c r="D3" s="377"/>
    </row>
    <row r="4" spans="1:18" x14ac:dyDescent="0.15">
      <c r="C4" s="156" t="s">
        <v>836</v>
      </c>
      <c r="D4" s="377" t="s">
        <v>505</v>
      </c>
    </row>
    <row r="5" spans="1:18" x14ac:dyDescent="0.15">
      <c r="H5" s="29">
        <f>SUM(H8:H55)</f>
        <v>0</v>
      </c>
      <c r="J5" s="29">
        <f>SUM(J8:J55)</f>
        <v>0</v>
      </c>
      <c r="K5" s="29">
        <f t="shared" ref="K5:N5" si="0">SUM(K8:K55)</f>
        <v>0</v>
      </c>
      <c r="L5" s="29">
        <f t="shared" si="0"/>
        <v>0</v>
      </c>
      <c r="M5" s="29">
        <f t="shared" si="0"/>
        <v>0</v>
      </c>
      <c r="N5" s="29">
        <f t="shared" si="0"/>
        <v>0</v>
      </c>
    </row>
    <row r="6" spans="1:18" s="3" customFormat="1" ht="30" customHeight="1" x14ac:dyDescent="0.2">
      <c r="A6" s="380" t="s">
        <v>55</v>
      </c>
      <c r="B6" s="380" t="s">
        <v>59</v>
      </c>
      <c r="C6" s="380" t="s">
        <v>58</v>
      </c>
      <c r="D6" s="434" t="s">
        <v>226</v>
      </c>
      <c r="E6" s="434"/>
      <c r="F6" s="380" t="s">
        <v>191</v>
      </c>
      <c r="G6" s="380" t="s">
        <v>192</v>
      </c>
      <c r="H6" s="382" t="s">
        <v>103</v>
      </c>
      <c r="I6" s="380" t="s">
        <v>178</v>
      </c>
      <c r="J6" s="384" t="s">
        <v>54</v>
      </c>
      <c r="K6" s="385"/>
      <c r="L6" s="385"/>
      <c r="M6" s="385"/>
      <c r="N6" s="386"/>
    </row>
    <row r="7" spans="1:18" s="3" customFormat="1" ht="30" customHeight="1" x14ac:dyDescent="0.15">
      <c r="A7" s="381"/>
      <c r="B7" s="381"/>
      <c r="C7" s="381"/>
      <c r="D7" s="16" t="s">
        <v>100</v>
      </c>
      <c r="E7" s="16" t="s">
        <v>64</v>
      </c>
      <c r="F7" s="381"/>
      <c r="G7" s="381"/>
      <c r="H7" s="383"/>
      <c r="I7" s="381"/>
      <c r="J7" s="15">
        <v>2024</v>
      </c>
      <c r="K7" s="15">
        <v>2023</v>
      </c>
      <c r="L7" s="15">
        <v>2022</v>
      </c>
      <c r="M7" s="15">
        <v>2021</v>
      </c>
      <c r="N7" s="15">
        <v>2020</v>
      </c>
      <c r="P7" s="7" t="s">
        <v>30</v>
      </c>
      <c r="Q7" s="7" t="s">
        <v>30</v>
      </c>
      <c r="R7" s="7" t="s">
        <v>30</v>
      </c>
    </row>
    <row r="8" spans="1:18" s="3" customFormat="1" ht="30" customHeight="1" x14ac:dyDescent="0.2">
      <c r="A8" s="4">
        <v>1</v>
      </c>
      <c r="B8" s="4" t="str">
        <f>VLOOKUP(C8,$Q:$R,2,0)</f>
        <v>-</v>
      </c>
      <c r="C8" s="23" t="s">
        <v>30</v>
      </c>
      <c r="D8" s="5"/>
      <c r="E8" s="5"/>
      <c r="F8" s="5"/>
      <c r="G8" s="4"/>
      <c r="H8" s="36"/>
      <c r="I8" s="62"/>
      <c r="J8" s="11"/>
      <c r="K8" s="11"/>
      <c r="L8" s="11"/>
      <c r="M8" s="11"/>
      <c r="N8" s="11"/>
      <c r="P8" s="47">
        <v>101</v>
      </c>
      <c r="Q8" s="48" t="s">
        <v>193</v>
      </c>
      <c r="R8" s="47">
        <v>101</v>
      </c>
    </row>
    <row r="9" spans="1:18" s="3" customFormat="1" ht="30" customHeight="1" x14ac:dyDescent="0.2">
      <c r="A9" s="4">
        <f>A8+1</f>
        <v>2</v>
      </c>
      <c r="B9" s="4"/>
      <c r="C9" s="23"/>
      <c r="D9" s="5"/>
      <c r="E9" s="5"/>
      <c r="F9" s="5"/>
      <c r="G9" s="4"/>
      <c r="H9" s="36"/>
      <c r="I9" s="4"/>
      <c r="J9" s="11"/>
      <c r="K9" s="11"/>
      <c r="L9" s="11"/>
      <c r="M9" s="11"/>
      <c r="N9" s="11"/>
      <c r="P9" s="47">
        <v>102</v>
      </c>
      <c r="Q9" s="48" t="s">
        <v>194</v>
      </c>
      <c r="R9" s="47">
        <v>102</v>
      </c>
    </row>
    <row r="10" spans="1:18" s="3" customFormat="1" ht="30" customHeight="1" x14ac:dyDescent="0.2">
      <c r="A10" s="4">
        <f t="shared" ref="A10:A55" si="1">A9+1</f>
        <v>3</v>
      </c>
      <c r="B10" s="4"/>
      <c r="C10" s="23"/>
      <c r="D10" s="5"/>
      <c r="E10" s="5"/>
      <c r="F10" s="5"/>
      <c r="G10" s="4"/>
      <c r="H10" s="36"/>
      <c r="I10" s="4"/>
      <c r="J10" s="11"/>
      <c r="K10" s="11"/>
      <c r="L10" s="11"/>
      <c r="M10" s="11"/>
      <c r="N10" s="11"/>
      <c r="P10" s="47">
        <v>103</v>
      </c>
      <c r="Q10" s="48" t="s">
        <v>195</v>
      </c>
      <c r="R10" s="47">
        <v>103</v>
      </c>
    </row>
    <row r="11" spans="1:18" s="3" customFormat="1" ht="30" customHeight="1" x14ac:dyDescent="0.2">
      <c r="A11" s="4">
        <f t="shared" si="1"/>
        <v>4</v>
      </c>
      <c r="B11" s="4"/>
      <c r="C11" s="23"/>
      <c r="D11" s="5"/>
      <c r="E11" s="5"/>
      <c r="F11" s="5"/>
      <c r="G11" s="4"/>
      <c r="H11" s="6"/>
      <c r="I11" s="4"/>
      <c r="J11" s="11"/>
      <c r="K11" s="11"/>
      <c r="L11" s="11"/>
      <c r="M11" s="11"/>
      <c r="N11" s="11"/>
      <c r="P11" s="47">
        <v>109</v>
      </c>
      <c r="Q11" s="48" t="s">
        <v>196</v>
      </c>
      <c r="R11" s="47">
        <v>109</v>
      </c>
    </row>
    <row r="12" spans="1:18" s="3" customFormat="1" ht="30" customHeight="1" x14ac:dyDescent="0.2">
      <c r="A12" s="4">
        <f t="shared" si="1"/>
        <v>5</v>
      </c>
      <c r="B12" s="4"/>
      <c r="C12" s="23"/>
      <c r="D12" s="5"/>
      <c r="E12" s="5"/>
      <c r="F12" s="5"/>
      <c r="G12" s="4"/>
      <c r="H12" s="6"/>
      <c r="I12" s="4"/>
      <c r="J12" s="11"/>
      <c r="K12" s="11"/>
      <c r="L12" s="11"/>
      <c r="M12" s="11"/>
      <c r="N12" s="11"/>
      <c r="P12" s="1"/>
      <c r="Q12" s="2"/>
      <c r="R12" s="1"/>
    </row>
    <row r="13" spans="1:18" s="3" customFormat="1" ht="30" customHeight="1" x14ac:dyDescent="0.2">
      <c r="A13" s="4">
        <f t="shared" si="1"/>
        <v>6</v>
      </c>
      <c r="B13" s="4"/>
      <c r="C13" s="4"/>
      <c r="D13" s="5"/>
      <c r="E13" s="5"/>
      <c r="F13" s="4"/>
      <c r="G13" s="4"/>
      <c r="H13" s="6"/>
      <c r="I13" s="4"/>
      <c r="J13" s="11"/>
      <c r="K13" s="11"/>
      <c r="L13" s="11"/>
      <c r="M13" s="11"/>
      <c r="N13" s="11"/>
      <c r="P13" s="1"/>
      <c r="Q13" s="2" t="s">
        <v>390</v>
      </c>
      <c r="R13" s="1"/>
    </row>
    <row r="14" spans="1:18" s="3" customFormat="1" ht="30" customHeight="1" x14ac:dyDescent="0.2">
      <c r="A14" s="4">
        <f t="shared" si="1"/>
        <v>7</v>
      </c>
      <c r="B14" s="4"/>
      <c r="C14" s="4"/>
      <c r="D14" s="5"/>
      <c r="E14" s="5"/>
      <c r="F14" s="4"/>
      <c r="G14" s="4"/>
      <c r="H14" s="6"/>
      <c r="I14" s="4"/>
      <c r="J14" s="11"/>
      <c r="K14" s="11"/>
      <c r="L14" s="11"/>
      <c r="M14" s="11"/>
      <c r="N14" s="11"/>
      <c r="P14" s="1"/>
      <c r="Q14" s="2"/>
      <c r="R14" s="1"/>
    </row>
    <row r="15" spans="1:18" s="3" customFormat="1" ht="30" customHeight="1" x14ac:dyDescent="0.2">
      <c r="A15" s="4">
        <f t="shared" si="1"/>
        <v>8</v>
      </c>
      <c r="B15" s="4"/>
      <c r="C15" s="4"/>
      <c r="D15" s="5"/>
      <c r="E15" s="5"/>
      <c r="F15" s="4"/>
      <c r="G15" s="4"/>
      <c r="H15" s="6"/>
      <c r="I15" s="4"/>
      <c r="J15" s="11"/>
      <c r="K15" s="11"/>
      <c r="L15" s="11"/>
      <c r="M15" s="11"/>
      <c r="N15" s="11"/>
      <c r="P15" s="1"/>
      <c r="Q15" s="2"/>
      <c r="R15" s="1"/>
    </row>
    <row r="16" spans="1:18" s="3" customFormat="1" ht="30" customHeight="1" x14ac:dyDescent="0.2">
      <c r="A16" s="4">
        <f t="shared" si="1"/>
        <v>9</v>
      </c>
      <c r="B16" s="4"/>
      <c r="C16" s="4"/>
      <c r="D16" s="5"/>
      <c r="E16" s="5"/>
      <c r="F16" s="4"/>
      <c r="G16" s="4"/>
      <c r="H16" s="6"/>
      <c r="I16" s="4"/>
      <c r="J16" s="11"/>
      <c r="K16" s="11"/>
      <c r="L16" s="11"/>
      <c r="M16" s="11"/>
      <c r="N16" s="11"/>
    </row>
    <row r="17" spans="1:18" s="3" customFormat="1" ht="30" customHeight="1" x14ac:dyDescent="0.2">
      <c r="A17" s="4">
        <f t="shared" si="1"/>
        <v>10</v>
      </c>
      <c r="B17" s="4"/>
      <c r="C17" s="4"/>
      <c r="D17" s="5"/>
      <c r="E17" s="5"/>
      <c r="F17" s="4"/>
      <c r="G17" s="4"/>
      <c r="H17" s="6"/>
      <c r="I17" s="4"/>
      <c r="J17" s="11"/>
      <c r="K17" s="11"/>
      <c r="L17" s="11"/>
      <c r="M17" s="11"/>
      <c r="N17" s="11"/>
      <c r="P17" s="1"/>
      <c r="Q17" s="2"/>
      <c r="R17" s="1"/>
    </row>
    <row r="18" spans="1:18" s="3" customFormat="1" ht="30" customHeight="1" x14ac:dyDescent="0.2">
      <c r="A18" s="4">
        <f t="shared" si="1"/>
        <v>11</v>
      </c>
      <c r="B18" s="4"/>
      <c r="C18" s="4"/>
      <c r="D18" s="5"/>
      <c r="E18" s="5"/>
      <c r="F18" s="4"/>
      <c r="G18" s="4"/>
      <c r="H18" s="6"/>
      <c r="I18" s="4"/>
      <c r="J18" s="11"/>
      <c r="K18" s="11"/>
      <c r="L18" s="11"/>
      <c r="M18" s="11"/>
      <c r="N18" s="11"/>
    </row>
    <row r="19" spans="1:18" s="3" customFormat="1" ht="30" customHeight="1" x14ac:dyDescent="0.2">
      <c r="A19" s="4">
        <f t="shared" si="1"/>
        <v>12</v>
      </c>
      <c r="B19" s="4"/>
      <c r="C19" s="4"/>
      <c r="D19" s="5"/>
      <c r="E19" s="5"/>
      <c r="F19" s="4"/>
      <c r="G19" s="4"/>
      <c r="H19" s="6"/>
      <c r="I19" s="4"/>
      <c r="J19" s="11"/>
      <c r="K19" s="11"/>
      <c r="L19" s="11"/>
      <c r="M19" s="11"/>
      <c r="N19" s="11"/>
    </row>
    <row r="20" spans="1:18" s="3" customFormat="1" ht="30" customHeight="1" x14ac:dyDescent="0.2">
      <c r="A20" s="4">
        <f t="shared" si="1"/>
        <v>13</v>
      </c>
      <c r="B20" s="4"/>
      <c r="C20" s="4"/>
      <c r="D20" s="5"/>
      <c r="E20" s="5"/>
      <c r="F20" s="4"/>
      <c r="G20" s="4"/>
      <c r="H20" s="6"/>
      <c r="I20" s="4"/>
      <c r="J20" s="11"/>
      <c r="K20" s="11"/>
      <c r="L20" s="11"/>
      <c r="M20" s="11"/>
      <c r="N20" s="11"/>
    </row>
    <row r="21" spans="1:18" s="3" customFormat="1" ht="30" customHeight="1" x14ac:dyDescent="0.2">
      <c r="A21" s="4">
        <f t="shared" si="1"/>
        <v>14</v>
      </c>
      <c r="B21" s="4"/>
      <c r="C21" s="4"/>
      <c r="D21" s="5"/>
      <c r="E21" s="5"/>
      <c r="F21" s="4"/>
      <c r="G21" s="4"/>
      <c r="H21" s="6"/>
      <c r="I21" s="4"/>
      <c r="J21" s="11"/>
      <c r="K21" s="11"/>
      <c r="L21" s="11"/>
      <c r="M21" s="11"/>
      <c r="N21" s="11"/>
    </row>
    <row r="22" spans="1:18" s="3" customFormat="1" ht="30" customHeight="1" x14ac:dyDescent="0.2">
      <c r="A22" s="4">
        <f t="shared" si="1"/>
        <v>15</v>
      </c>
      <c r="B22" s="4"/>
      <c r="C22" s="4"/>
      <c r="D22" s="5"/>
      <c r="E22" s="5"/>
      <c r="F22" s="4"/>
      <c r="G22" s="4"/>
      <c r="H22" s="6"/>
      <c r="I22" s="4"/>
      <c r="J22" s="12"/>
      <c r="K22" s="12"/>
      <c r="L22" s="12"/>
      <c r="M22" s="12"/>
      <c r="N22" s="12"/>
    </row>
    <row r="23" spans="1:18" s="3" customFormat="1" ht="30" customHeight="1" x14ac:dyDescent="0.2">
      <c r="A23" s="4">
        <f t="shared" si="1"/>
        <v>16</v>
      </c>
      <c r="B23" s="4"/>
      <c r="C23" s="4"/>
      <c r="D23" s="5"/>
      <c r="E23" s="5"/>
      <c r="F23" s="4"/>
      <c r="G23" s="4"/>
      <c r="H23" s="6"/>
      <c r="I23" s="4"/>
      <c r="J23" s="12"/>
      <c r="K23" s="12"/>
      <c r="L23" s="12"/>
      <c r="M23" s="12"/>
      <c r="N23" s="12"/>
    </row>
    <row r="24" spans="1:18" s="3" customFormat="1" ht="30" customHeight="1" x14ac:dyDescent="0.2">
      <c r="A24" s="4">
        <f t="shared" si="1"/>
        <v>17</v>
      </c>
      <c r="B24" s="4"/>
      <c r="C24" s="4"/>
      <c r="D24" s="5"/>
      <c r="E24" s="5"/>
      <c r="F24" s="4"/>
      <c r="G24" s="4"/>
      <c r="H24" s="6"/>
      <c r="I24" s="4"/>
      <c r="J24" s="12"/>
      <c r="K24" s="12"/>
      <c r="L24" s="12"/>
      <c r="M24" s="12"/>
      <c r="N24" s="12"/>
    </row>
    <row r="25" spans="1:18" s="3" customFormat="1" ht="30" customHeight="1" x14ac:dyDescent="0.2">
      <c r="A25" s="4">
        <f t="shared" si="1"/>
        <v>18</v>
      </c>
      <c r="B25" s="4"/>
      <c r="C25" s="4"/>
      <c r="D25" s="5"/>
      <c r="E25" s="5"/>
      <c r="F25" s="5"/>
      <c r="G25" s="4"/>
      <c r="H25" s="6"/>
      <c r="I25" s="4"/>
      <c r="J25" s="12"/>
      <c r="K25" s="12"/>
      <c r="L25" s="12"/>
      <c r="M25" s="12"/>
      <c r="N25" s="12"/>
    </row>
    <row r="26" spans="1:18" s="3" customFormat="1" ht="30" customHeight="1" x14ac:dyDescent="0.2">
      <c r="A26" s="4">
        <f t="shared" si="1"/>
        <v>19</v>
      </c>
      <c r="B26" s="4"/>
      <c r="C26" s="4"/>
      <c r="D26" s="4"/>
      <c r="E26" s="4"/>
      <c r="F26" s="5"/>
      <c r="G26" s="4"/>
      <c r="H26" s="6"/>
      <c r="I26" s="4"/>
      <c r="J26" s="12"/>
      <c r="K26" s="12"/>
      <c r="L26" s="12"/>
      <c r="M26" s="12"/>
      <c r="N26" s="12"/>
    </row>
    <row r="27" spans="1:18" s="3" customFormat="1" ht="30" customHeight="1" x14ac:dyDescent="0.2">
      <c r="A27" s="4">
        <f t="shared" si="1"/>
        <v>20</v>
      </c>
      <c r="B27" s="4"/>
      <c r="C27" s="4"/>
      <c r="D27" s="4"/>
      <c r="E27" s="4"/>
      <c r="F27" s="5"/>
      <c r="G27" s="4"/>
      <c r="H27" s="6"/>
      <c r="I27" s="4"/>
      <c r="J27" s="12"/>
      <c r="K27" s="12"/>
      <c r="L27" s="12"/>
      <c r="M27" s="12"/>
      <c r="N27" s="12"/>
    </row>
    <row r="28" spans="1:18" s="3" customFormat="1" ht="30" customHeight="1" x14ac:dyDescent="0.2">
      <c r="A28" s="4">
        <f t="shared" si="1"/>
        <v>21</v>
      </c>
      <c r="B28" s="4"/>
      <c r="C28" s="4"/>
      <c r="D28" s="4"/>
      <c r="E28" s="4"/>
      <c r="F28" s="5"/>
      <c r="G28" s="4"/>
      <c r="H28" s="6"/>
      <c r="I28" s="4"/>
      <c r="J28" s="4"/>
      <c r="K28" s="4"/>
      <c r="L28" s="4"/>
      <c r="M28" s="4"/>
      <c r="N28" s="4"/>
    </row>
    <row r="29" spans="1:18" s="3" customFormat="1" ht="30" customHeight="1" x14ac:dyDescent="0.2">
      <c r="A29" s="4">
        <f t="shared" si="1"/>
        <v>22</v>
      </c>
      <c r="B29" s="4"/>
      <c r="C29" s="4"/>
      <c r="D29" s="4"/>
      <c r="E29" s="4"/>
      <c r="F29" s="5"/>
      <c r="G29" s="4"/>
      <c r="H29" s="6"/>
      <c r="I29" s="4"/>
      <c r="J29" s="4"/>
      <c r="K29" s="4"/>
      <c r="L29" s="4"/>
      <c r="M29" s="4"/>
      <c r="N29" s="4"/>
    </row>
    <row r="30" spans="1:18" s="3" customFormat="1" ht="30" customHeight="1" x14ac:dyDescent="0.2">
      <c r="A30" s="4">
        <f t="shared" si="1"/>
        <v>23</v>
      </c>
      <c r="B30" s="4"/>
      <c r="C30" s="4"/>
      <c r="D30" s="4"/>
      <c r="E30" s="4"/>
      <c r="F30" s="5"/>
      <c r="G30" s="4"/>
      <c r="H30" s="6"/>
      <c r="I30" s="4"/>
      <c r="J30" s="4"/>
      <c r="K30" s="4"/>
      <c r="L30" s="4"/>
      <c r="M30" s="4"/>
      <c r="N30" s="4"/>
    </row>
    <row r="31" spans="1:18" s="3" customFormat="1" ht="30" customHeight="1" x14ac:dyDescent="0.2">
      <c r="A31" s="4">
        <f t="shared" si="1"/>
        <v>24</v>
      </c>
      <c r="B31" s="4"/>
      <c r="C31" s="4"/>
      <c r="D31" s="4"/>
      <c r="E31" s="4"/>
      <c r="F31" s="5"/>
      <c r="G31" s="4"/>
      <c r="H31" s="6"/>
      <c r="I31" s="4"/>
      <c r="J31" s="4"/>
      <c r="K31" s="4"/>
      <c r="L31" s="4"/>
      <c r="M31" s="4"/>
      <c r="N31" s="4"/>
    </row>
    <row r="32" spans="1:18" s="3" customFormat="1" ht="30" customHeight="1" x14ac:dyDescent="0.2">
      <c r="A32" s="4">
        <f t="shared" si="1"/>
        <v>25</v>
      </c>
      <c r="B32" s="4"/>
      <c r="C32" s="4"/>
      <c r="D32" s="4"/>
      <c r="E32" s="4"/>
      <c r="F32" s="5"/>
      <c r="G32" s="4"/>
      <c r="H32" s="6"/>
      <c r="I32" s="4"/>
      <c r="J32" s="4"/>
      <c r="K32" s="4"/>
      <c r="L32" s="4"/>
      <c r="M32" s="4"/>
      <c r="N32" s="4"/>
    </row>
    <row r="33" spans="1:14" s="3" customFormat="1" ht="30" customHeight="1" x14ac:dyDescent="0.2">
      <c r="A33" s="4">
        <f t="shared" si="1"/>
        <v>26</v>
      </c>
      <c r="B33" s="4"/>
      <c r="C33" s="4"/>
      <c r="D33" s="4"/>
      <c r="E33" s="4"/>
      <c r="F33" s="5"/>
      <c r="G33" s="4"/>
      <c r="H33" s="6"/>
      <c r="I33" s="4"/>
      <c r="J33" s="4"/>
      <c r="K33" s="4"/>
      <c r="L33" s="4"/>
      <c r="M33" s="4"/>
      <c r="N33" s="4"/>
    </row>
    <row r="34" spans="1:14" s="3" customFormat="1" ht="30" customHeight="1" x14ac:dyDescent="0.2">
      <c r="A34" s="4">
        <f t="shared" si="1"/>
        <v>27</v>
      </c>
      <c r="B34" s="4"/>
      <c r="C34" s="4"/>
      <c r="D34" s="4"/>
      <c r="E34" s="4"/>
      <c r="F34" s="5"/>
      <c r="G34" s="4"/>
      <c r="H34" s="6"/>
      <c r="I34" s="4"/>
      <c r="J34" s="4"/>
      <c r="K34" s="4"/>
      <c r="L34" s="4"/>
      <c r="M34" s="4"/>
      <c r="N34" s="4"/>
    </row>
    <row r="35" spans="1:14" s="3" customFormat="1" ht="30" customHeight="1" x14ac:dyDescent="0.2">
      <c r="A35" s="4">
        <f t="shared" si="1"/>
        <v>28</v>
      </c>
      <c r="B35" s="4"/>
      <c r="C35" s="4"/>
      <c r="D35" s="4"/>
      <c r="E35" s="4"/>
      <c r="F35" s="5"/>
      <c r="G35" s="4"/>
      <c r="H35" s="6"/>
      <c r="I35" s="4"/>
      <c r="J35" s="4"/>
      <c r="K35" s="4"/>
      <c r="L35" s="4"/>
      <c r="M35" s="4"/>
      <c r="N35" s="4"/>
    </row>
    <row r="36" spans="1:14" s="3" customFormat="1" ht="30" customHeight="1" x14ac:dyDescent="0.2">
      <c r="A36" s="4">
        <f t="shared" si="1"/>
        <v>29</v>
      </c>
      <c r="B36" s="4"/>
      <c r="C36" s="4"/>
      <c r="D36" s="4"/>
      <c r="E36" s="4"/>
      <c r="F36" s="5"/>
      <c r="G36" s="4"/>
      <c r="H36" s="6"/>
      <c r="I36" s="4"/>
      <c r="J36" s="4"/>
      <c r="K36" s="4"/>
      <c r="L36" s="4"/>
      <c r="M36" s="4"/>
      <c r="N36" s="4"/>
    </row>
    <row r="37" spans="1:14" s="3" customFormat="1" ht="30" customHeight="1" x14ac:dyDescent="0.2">
      <c r="A37" s="4">
        <f t="shared" si="1"/>
        <v>30</v>
      </c>
      <c r="B37" s="4"/>
      <c r="C37" s="4"/>
      <c r="D37" s="4"/>
      <c r="E37" s="4"/>
      <c r="F37" s="5"/>
      <c r="G37" s="4"/>
      <c r="H37" s="6"/>
      <c r="I37" s="4"/>
      <c r="J37" s="4"/>
      <c r="K37" s="4"/>
      <c r="L37" s="4"/>
      <c r="M37" s="4"/>
      <c r="N37" s="4"/>
    </row>
    <row r="38" spans="1:14" s="3" customFormat="1" ht="30" customHeight="1" x14ac:dyDescent="0.2">
      <c r="A38" s="4">
        <f t="shared" si="1"/>
        <v>31</v>
      </c>
      <c r="B38" s="4"/>
      <c r="C38" s="4"/>
      <c r="D38" s="4"/>
      <c r="E38" s="4"/>
      <c r="F38" s="5"/>
      <c r="G38" s="4"/>
      <c r="H38" s="6"/>
      <c r="I38" s="4"/>
      <c r="J38" s="4"/>
      <c r="K38" s="4"/>
      <c r="L38" s="4"/>
      <c r="M38" s="4"/>
      <c r="N38" s="4"/>
    </row>
    <row r="39" spans="1:14" s="3" customFormat="1" ht="30" customHeight="1" x14ac:dyDescent="0.2">
      <c r="A39" s="4">
        <f t="shared" si="1"/>
        <v>32</v>
      </c>
      <c r="B39" s="4"/>
      <c r="C39" s="4"/>
      <c r="D39" s="4"/>
      <c r="E39" s="4"/>
      <c r="F39" s="5"/>
      <c r="G39" s="4"/>
      <c r="H39" s="6"/>
      <c r="I39" s="4"/>
      <c r="J39" s="4"/>
      <c r="K39" s="4"/>
      <c r="L39" s="4"/>
      <c r="M39" s="4"/>
      <c r="N39" s="4"/>
    </row>
    <row r="40" spans="1:14" s="3" customFormat="1" ht="30" customHeight="1" x14ac:dyDescent="0.2">
      <c r="A40" s="4">
        <f t="shared" si="1"/>
        <v>33</v>
      </c>
      <c r="B40" s="4"/>
      <c r="C40" s="4"/>
      <c r="D40" s="4"/>
      <c r="E40" s="4"/>
      <c r="F40" s="5"/>
      <c r="G40" s="4"/>
      <c r="H40" s="6"/>
      <c r="I40" s="4"/>
      <c r="J40" s="4"/>
      <c r="K40" s="4"/>
      <c r="L40" s="4"/>
      <c r="M40" s="4"/>
      <c r="N40" s="4"/>
    </row>
    <row r="41" spans="1:14" s="3" customFormat="1" ht="30" customHeight="1" x14ac:dyDescent="0.2">
      <c r="A41" s="4">
        <f t="shared" si="1"/>
        <v>34</v>
      </c>
      <c r="B41" s="4"/>
      <c r="C41" s="4"/>
      <c r="D41" s="4"/>
      <c r="E41" s="4"/>
      <c r="F41" s="5"/>
      <c r="G41" s="4"/>
      <c r="H41" s="6"/>
      <c r="I41" s="4"/>
      <c r="J41" s="4"/>
      <c r="K41" s="4"/>
      <c r="L41" s="4"/>
      <c r="M41" s="4"/>
      <c r="N41" s="4"/>
    </row>
    <row r="42" spans="1:14" s="3" customFormat="1" ht="30" customHeight="1" x14ac:dyDescent="0.2">
      <c r="A42" s="4">
        <f t="shared" si="1"/>
        <v>35</v>
      </c>
      <c r="B42" s="4"/>
      <c r="C42" s="4"/>
      <c r="D42" s="4"/>
      <c r="E42" s="4"/>
      <c r="F42" s="5"/>
      <c r="G42" s="4"/>
      <c r="H42" s="6"/>
      <c r="I42" s="4"/>
      <c r="J42" s="4"/>
      <c r="K42" s="4"/>
      <c r="L42" s="4"/>
      <c r="M42" s="4"/>
      <c r="N42" s="4"/>
    </row>
    <row r="43" spans="1:14" s="3" customFormat="1" ht="30" customHeight="1" x14ac:dyDescent="0.2">
      <c r="A43" s="4">
        <f t="shared" si="1"/>
        <v>36</v>
      </c>
      <c r="B43" s="4"/>
      <c r="C43" s="4"/>
      <c r="D43" s="4"/>
      <c r="E43" s="4"/>
      <c r="F43" s="5"/>
      <c r="G43" s="4"/>
      <c r="H43" s="6"/>
      <c r="I43" s="4"/>
      <c r="J43" s="4"/>
      <c r="K43" s="4"/>
      <c r="L43" s="4"/>
      <c r="M43" s="4"/>
      <c r="N43" s="4"/>
    </row>
    <row r="44" spans="1:14" s="3" customFormat="1" ht="30" customHeight="1" x14ac:dyDescent="0.2">
      <c r="A44" s="4">
        <f t="shared" si="1"/>
        <v>37</v>
      </c>
      <c r="B44" s="4"/>
      <c r="C44" s="4"/>
      <c r="D44" s="4"/>
      <c r="E44" s="4"/>
      <c r="F44" s="5"/>
      <c r="G44" s="4"/>
      <c r="H44" s="6"/>
      <c r="I44" s="4"/>
      <c r="J44" s="4"/>
      <c r="K44" s="4"/>
      <c r="L44" s="4"/>
      <c r="M44" s="4"/>
      <c r="N44" s="4"/>
    </row>
    <row r="45" spans="1:14" s="3" customFormat="1" ht="30" customHeight="1" x14ac:dyDescent="0.2">
      <c r="A45" s="4">
        <f t="shared" si="1"/>
        <v>38</v>
      </c>
      <c r="B45" s="4"/>
      <c r="C45" s="4"/>
      <c r="D45" s="4"/>
      <c r="E45" s="4"/>
      <c r="F45" s="5"/>
      <c r="G45" s="4"/>
      <c r="H45" s="6"/>
      <c r="I45" s="4"/>
      <c r="J45" s="4"/>
      <c r="K45" s="4"/>
      <c r="L45" s="4"/>
      <c r="M45" s="4"/>
      <c r="N45" s="4"/>
    </row>
    <row r="46" spans="1:14" s="3" customFormat="1" ht="30" customHeight="1" x14ac:dyDescent="0.2">
      <c r="A46" s="4">
        <f t="shared" si="1"/>
        <v>39</v>
      </c>
      <c r="B46" s="4"/>
      <c r="C46" s="4"/>
      <c r="D46" s="4"/>
      <c r="E46" s="4"/>
      <c r="F46" s="5"/>
      <c r="G46" s="4"/>
      <c r="H46" s="6"/>
      <c r="I46" s="4"/>
      <c r="J46" s="4"/>
      <c r="K46" s="4"/>
      <c r="L46" s="4"/>
      <c r="M46" s="4"/>
      <c r="N46" s="4"/>
    </row>
    <row r="47" spans="1:14" s="3" customFormat="1" ht="30" customHeight="1" x14ac:dyDescent="0.2">
      <c r="A47" s="4">
        <f t="shared" si="1"/>
        <v>40</v>
      </c>
      <c r="B47" s="4"/>
      <c r="C47" s="4"/>
      <c r="D47" s="4"/>
      <c r="E47" s="4"/>
      <c r="F47" s="5"/>
      <c r="G47" s="4"/>
      <c r="H47" s="6"/>
      <c r="I47" s="4"/>
      <c r="J47" s="4"/>
      <c r="K47" s="4"/>
      <c r="L47" s="4"/>
      <c r="M47" s="4"/>
      <c r="N47" s="4"/>
    </row>
    <row r="48" spans="1:14" s="3" customFormat="1" ht="30" customHeight="1" x14ac:dyDescent="0.2">
      <c r="A48" s="4">
        <f t="shared" si="1"/>
        <v>41</v>
      </c>
      <c r="B48" s="4"/>
      <c r="C48" s="4"/>
      <c r="D48" s="4"/>
      <c r="E48" s="4"/>
      <c r="F48" s="5"/>
      <c r="G48" s="4"/>
      <c r="H48" s="6"/>
      <c r="I48" s="4"/>
      <c r="J48" s="4"/>
      <c r="K48" s="4"/>
      <c r="L48" s="4"/>
      <c r="M48" s="4"/>
      <c r="N48" s="4"/>
    </row>
    <row r="49" spans="1:14" s="3" customFormat="1" ht="30" customHeight="1" x14ac:dyDescent="0.2">
      <c r="A49" s="4">
        <f t="shared" si="1"/>
        <v>42</v>
      </c>
      <c r="B49" s="4"/>
      <c r="C49" s="4"/>
      <c r="D49" s="4"/>
      <c r="E49" s="4"/>
      <c r="F49" s="5"/>
      <c r="G49" s="4"/>
      <c r="H49" s="6"/>
      <c r="I49" s="4"/>
      <c r="J49" s="4"/>
      <c r="K49" s="4"/>
      <c r="L49" s="4"/>
      <c r="M49" s="4"/>
      <c r="N49" s="4"/>
    </row>
    <row r="50" spans="1:14" s="3" customFormat="1" ht="30" customHeight="1" x14ac:dyDescent="0.2">
      <c r="A50" s="4">
        <f t="shared" si="1"/>
        <v>43</v>
      </c>
      <c r="B50" s="4"/>
      <c r="C50" s="4"/>
      <c r="D50" s="4"/>
      <c r="E50" s="4"/>
      <c r="F50" s="5"/>
      <c r="G50" s="4"/>
      <c r="H50" s="6"/>
      <c r="I50" s="4"/>
      <c r="J50" s="4"/>
      <c r="K50" s="4"/>
      <c r="L50" s="4"/>
      <c r="M50" s="4"/>
      <c r="N50" s="4"/>
    </row>
    <row r="51" spans="1:14" s="3" customFormat="1" ht="30" customHeight="1" x14ac:dyDescent="0.2">
      <c r="A51" s="4">
        <f t="shared" si="1"/>
        <v>44</v>
      </c>
      <c r="B51" s="4"/>
      <c r="C51" s="4"/>
      <c r="D51" s="4"/>
      <c r="E51" s="4"/>
      <c r="F51" s="5"/>
      <c r="G51" s="4"/>
      <c r="H51" s="6"/>
      <c r="I51" s="4"/>
      <c r="J51" s="4"/>
      <c r="K51" s="4"/>
      <c r="L51" s="4"/>
      <c r="M51" s="4"/>
      <c r="N51" s="4"/>
    </row>
    <row r="52" spans="1:14" s="3" customFormat="1" ht="30" customHeight="1" x14ac:dyDescent="0.2">
      <c r="A52" s="4">
        <f t="shared" si="1"/>
        <v>45</v>
      </c>
      <c r="B52" s="4"/>
      <c r="C52" s="4"/>
      <c r="D52" s="4"/>
      <c r="E52" s="4"/>
      <c r="F52" s="5"/>
      <c r="G52" s="4"/>
      <c r="H52" s="6"/>
      <c r="I52" s="4"/>
      <c r="J52" s="4"/>
      <c r="K52" s="4"/>
      <c r="L52" s="4"/>
      <c r="M52" s="4"/>
      <c r="N52" s="4"/>
    </row>
    <row r="53" spans="1:14" s="3" customFormat="1" ht="30" customHeight="1" x14ac:dyDescent="0.2">
      <c r="A53" s="4">
        <f t="shared" si="1"/>
        <v>46</v>
      </c>
      <c r="B53" s="4"/>
      <c r="C53" s="4"/>
      <c r="D53" s="4"/>
      <c r="E53" s="4"/>
      <c r="F53" s="5"/>
      <c r="G53" s="4"/>
      <c r="H53" s="6"/>
      <c r="I53" s="4"/>
      <c r="J53" s="4"/>
      <c r="K53" s="4"/>
      <c r="L53" s="4"/>
      <c r="M53" s="4"/>
      <c r="N53" s="4"/>
    </row>
    <row r="54" spans="1:14" s="3" customFormat="1" ht="30" customHeight="1" x14ac:dyDescent="0.2">
      <c r="A54" s="4">
        <f t="shared" si="1"/>
        <v>47</v>
      </c>
      <c r="B54" s="4"/>
      <c r="C54" s="4"/>
      <c r="D54" s="4"/>
      <c r="E54" s="4"/>
      <c r="F54" s="5"/>
      <c r="G54" s="4"/>
      <c r="H54" s="6"/>
      <c r="I54" s="4"/>
      <c r="J54" s="4"/>
      <c r="K54" s="4"/>
      <c r="L54" s="4"/>
      <c r="M54" s="4"/>
      <c r="N54" s="4"/>
    </row>
    <row r="55" spans="1:14" s="3" customFormat="1" ht="30" customHeight="1" x14ac:dyDescent="0.2">
      <c r="A55" s="4">
        <f t="shared" si="1"/>
        <v>48</v>
      </c>
      <c r="B55" s="4"/>
      <c r="C55" s="4"/>
      <c r="D55" s="4"/>
      <c r="E55" s="4"/>
      <c r="F55" s="5"/>
      <c r="G55" s="4"/>
      <c r="H55" s="6"/>
      <c r="I55" s="4"/>
      <c r="J55" s="4"/>
      <c r="K55" s="4"/>
      <c r="L55" s="4"/>
      <c r="M55" s="4"/>
      <c r="N55" s="4"/>
    </row>
  </sheetData>
  <mergeCells count="9">
    <mergeCell ref="G6:G7"/>
    <mergeCell ref="H6:H7"/>
    <mergeCell ref="I6:I7"/>
    <mergeCell ref="J6:N6"/>
    <mergeCell ref="A6:A7"/>
    <mergeCell ref="B6:B7"/>
    <mergeCell ref="C6:C7"/>
    <mergeCell ref="F6:F7"/>
    <mergeCell ref="D6:E6"/>
  </mergeCells>
  <pageMargins left="0.7" right="0.7" top="0.75" bottom="0.75" header="0.3" footer="0.3"/>
  <pageSetup scale="30" orientation="portrait" horizontalDpi="203" verticalDpi="203" r:id="rId1"/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CFAE-622A-419F-9454-53756E1F7081}">
  <sheetPr codeName="Sheet13">
    <pageSetUpPr fitToPage="1"/>
  </sheetPr>
  <dimension ref="A1:Z1000"/>
  <sheetViews>
    <sheetView showGridLines="0" zoomScale="70" zoomScaleNormal="70" zoomScaleSheetLayoutView="85" workbookViewId="0">
      <selection activeCell="J22" sqref="J22:Y23"/>
    </sheetView>
  </sheetViews>
  <sheetFormatPr baseColWidth="10" defaultColWidth="14.5" defaultRowHeight="15" x14ac:dyDescent="0.2"/>
  <cols>
    <col min="1" max="1" width="12.6640625" customWidth="1"/>
    <col min="2" max="3" width="18.6640625" customWidth="1"/>
    <col min="4" max="4" width="18.83203125" customWidth="1"/>
    <col min="5" max="5" width="14.33203125" hidden="1" customWidth="1"/>
    <col min="6" max="6" width="18.6640625" customWidth="1"/>
    <col min="7" max="7" width="16.5" customWidth="1"/>
    <col min="8" max="8" width="15" customWidth="1"/>
    <col min="9" max="9" width="9.1640625" customWidth="1"/>
    <col min="10" max="10" width="12.5" customWidth="1"/>
    <col min="11" max="13" width="18.6640625" customWidth="1"/>
    <col min="14" max="14" width="14.33203125" hidden="1" customWidth="1"/>
    <col min="15" max="15" width="18.5" customWidth="1"/>
    <col min="16" max="16" width="16.5" customWidth="1"/>
    <col min="17" max="17" width="15" customWidth="1"/>
    <col min="18" max="18" width="10.5" customWidth="1"/>
    <col min="19" max="20" width="9.1640625" customWidth="1"/>
    <col min="21" max="21" width="16.5" customWidth="1"/>
    <col min="22" max="22" width="12.83203125" bestFit="1" customWidth="1"/>
    <col min="23" max="23" width="17" customWidth="1"/>
    <col min="24" max="24" width="15.6640625" customWidth="1"/>
    <col min="25" max="25" width="12.83203125" bestFit="1" customWidth="1"/>
    <col min="26" max="26" width="8.6640625" customWidth="1"/>
  </cols>
  <sheetData>
    <row r="1" spans="1:26" ht="19" x14ac:dyDescent="0.2">
      <c r="A1" s="437" t="s">
        <v>186</v>
      </c>
      <c r="B1" s="438"/>
      <c r="C1" s="438"/>
      <c r="D1" s="438"/>
      <c r="E1" s="438"/>
      <c r="F1" s="438"/>
      <c r="G1" s="438"/>
      <c r="H1" s="438"/>
      <c r="I1" s="115"/>
      <c r="J1" s="437" t="s">
        <v>186</v>
      </c>
      <c r="K1" s="438"/>
      <c r="L1" s="438"/>
      <c r="M1" s="438"/>
      <c r="N1" s="438"/>
      <c r="O1" s="438"/>
      <c r="P1" s="438"/>
      <c r="Q1" s="438"/>
      <c r="R1" s="115"/>
      <c r="S1" s="115"/>
      <c r="T1" s="115"/>
      <c r="U1" s="115"/>
      <c r="V1" s="115"/>
      <c r="W1" s="115"/>
      <c r="X1" s="115"/>
      <c r="Y1" s="115"/>
      <c r="Z1" s="115"/>
    </row>
    <row r="2" spans="1:26" ht="19" x14ac:dyDescent="0.25">
      <c r="A2" s="439" t="s">
        <v>247</v>
      </c>
      <c r="B2" s="438"/>
      <c r="C2" s="438"/>
      <c r="D2" s="438"/>
      <c r="E2" s="438"/>
      <c r="F2" s="438"/>
      <c r="G2" s="438"/>
      <c r="H2" s="438"/>
      <c r="I2" s="115"/>
      <c r="J2" s="439" t="s">
        <v>247</v>
      </c>
      <c r="K2" s="438"/>
      <c r="L2" s="438"/>
      <c r="M2" s="438"/>
      <c r="N2" s="438"/>
      <c r="O2" s="438"/>
      <c r="P2" s="438"/>
      <c r="Q2" s="438"/>
      <c r="R2" s="115"/>
      <c r="S2" s="115"/>
      <c r="T2" s="115"/>
      <c r="U2" s="115"/>
      <c r="V2" s="115"/>
      <c r="W2" s="115"/>
      <c r="X2" s="115"/>
      <c r="Y2" s="115"/>
      <c r="Z2" s="115"/>
    </row>
    <row r="3" spans="1:26" x14ac:dyDescent="0.2">
      <c r="A3" s="117"/>
      <c r="B3" s="115"/>
      <c r="C3" s="115"/>
      <c r="D3" s="115"/>
      <c r="E3" s="115"/>
      <c r="F3" s="118"/>
      <c r="G3" s="115"/>
      <c r="H3" s="115"/>
      <c r="I3" s="115"/>
      <c r="J3" s="117"/>
      <c r="K3" s="115"/>
      <c r="L3" s="115"/>
      <c r="M3" s="115"/>
      <c r="N3" s="115"/>
      <c r="O3" s="118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spans="1:26" x14ac:dyDescent="0.2">
      <c r="A4" s="117"/>
      <c r="B4" s="115"/>
      <c r="C4" s="115"/>
      <c r="D4" s="115"/>
      <c r="E4" s="115"/>
      <c r="F4" s="118"/>
      <c r="G4" s="115"/>
      <c r="H4" s="115"/>
      <c r="I4" s="115"/>
      <c r="J4" s="117"/>
      <c r="K4" s="115"/>
      <c r="L4" s="115"/>
      <c r="M4" s="115"/>
      <c r="N4" s="115"/>
      <c r="O4" s="118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spans="1:26" ht="15" customHeight="1" x14ac:dyDescent="0.25">
      <c r="A5" s="119" t="s">
        <v>64</v>
      </c>
      <c r="B5" s="120"/>
      <c r="C5" s="121" t="s">
        <v>505</v>
      </c>
      <c r="D5" s="122"/>
      <c r="E5" s="122"/>
      <c r="F5" s="116"/>
      <c r="G5" s="116"/>
      <c r="H5" s="116"/>
      <c r="I5" s="120"/>
      <c r="J5" s="119" t="s">
        <v>64</v>
      </c>
      <c r="K5" s="120"/>
      <c r="L5" s="121" t="s">
        <v>505</v>
      </c>
      <c r="M5" s="122"/>
      <c r="N5" s="122"/>
      <c r="O5" s="116"/>
      <c r="P5" s="116"/>
      <c r="Q5" s="116"/>
      <c r="R5" s="120"/>
      <c r="S5" s="120"/>
      <c r="T5" s="120"/>
      <c r="U5" s="120"/>
      <c r="V5" s="120"/>
      <c r="W5" s="120"/>
      <c r="X5" s="120"/>
      <c r="Y5" s="120"/>
      <c r="Z5" s="120"/>
    </row>
    <row r="6" spans="1:26" ht="15" customHeight="1" x14ac:dyDescent="0.25">
      <c r="A6" s="123" t="s">
        <v>63</v>
      </c>
      <c r="B6" s="120"/>
      <c r="C6" s="124" t="s">
        <v>824</v>
      </c>
      <c r="D6" s="123"/>
      <c r="E6" s="123"/>
      <c r="F6" s="125"/>
      <c r="G6" s="120"/>
      <c r="H6" s="120"/>
      <c r="I6" s="120"/>
      <c r="J6" s="123" t="s">
        <v>63</v>
      </c>
      <c r="K6" s="120"/>
      <c r="L6" s="124" t="s">
        <v>825</v>
      </c>
      <c r="M6" s="123"/>
      <c r="N6" s="123"/>
      <c r="O6" s="125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spans="1:26" ht="15" customHeight="1" x14ac:dyDescent="0.25">
      <c r="A7" s="119" t="s">
        <v>248</v>
      </c>
      <c r="B7" s="126"/>
      <c r="C7" s="121" t="s">
        <v>826</v>
      </c>
      <c r="D7" s="123"/>
      <c r="E7" s="123"/>
      <c r="F7" s="125"/>
      <c r="G7" s="120"/>
      <c r="H7" s="120"/>
      <c r="I7" s="120"/>
      <c r="J7" s="119" t="s">
        <v>248</v>
      </c>
      <c r="K7" s="126"/>
      <c r="L7" s="121" t="s">
        <v>827</v>
      </c>
      <c r="M7" s="123"/>
      <c r="N7" s="123"/>
      <c r="O7" s="125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spans="1:26" ht="16" x14ac:dyDescent="0.2">
      <c r="A8" s="127"/>
      <c r="B8" s="128"/>
      <c r="C8" s="129"/>
      <c r="D8" s="129"/>
      <c r="E8" s="129"/>
      <c r="F8" s="129"/>
      <c r="G8" s="129"/>
      <c r="H8" s="129"/>
      <c r="I8" s="129"/>
      <c r="J8" s="127"/>
      <c r="K8" s="128"/>
      <c r="L8" s="130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spans="1:26" x14ac:dyDescent="0.2">
      <c r="A9" s="117"/>
      <c r="B9" s="115"/>
      <c r="C9" s="115"/>
      <c r="D9" s="115"/>
      <c r="E9" s="115"/>
      <c r="F9" s="118"/>
      <c r="G9" s="115"/>
      <c r="H9" s="115"/>
      <c r="I9" s="115"/>
      <c r="J9" s="117"/>
      <c r="K9" s="115"/>
      <c r="L9" s="115"/>
      <c r="M9" s="115"/>
      <c r="N9" s="115"/>
      <c r="O9" s="118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spans="1:26" ht="57" customHeight="1" x14ac:dyDescent="0.2">
      <c r="A10" s="131" t="s">
        <v>249</v>
      </c>
      <c r="B10" s="131" t="s">
        <v>187</v>
      </c>
      <c r="C10" s="132" t="s">
        <v>250</v>
      </c>
      <c r="D10" s="131" t="s">
        <v>828</v>
      </c>
      <c r="E10" s="133" t="s">
        <v>829</v>
      </c>
      <c r="F10" s="131" t="s">
        <v>252</v>
      </c>
      <c r="G10" s="131" t="s">
        <v>253</v>
      </c>
      <c r="H10" s="131" t="s">
        <v>254</v>
      </c>
      <c r="I10" s="134"/>
      <c r="J10" s="131" t="s">
        <v>249</v>
      </c>
      <c r="K10" s="131" t="s">
        <v>187</v>
      </c>
      <c r="L10" s="132" t="s">
        <v>250</v>
      </c>
      <c r="M10" s="131" t="s">
        <v>828</v>
      </c>
      <c r="N10" s="133" t="s">
        <v>829</v>
      </c>
      <c r="O10" s="131" t="s">
        <v>252</v>
      </c>
      <c r="P10" s="131" t="s">
        <v>253</v>
      </c>
      <c r="Q10" s="131" t="s">
        <v>254</v>
      </c>
      <c r="R10" s="134"/>
      <c r="S10" s="134"/>
      <c r="T10" s="135" t="s">
        <v>830</v>
      </c>
      <c r="U10" s="135" t="s">
        <v>831</v>
      </c>
      <c r="V10" s="136" t="s">
        <v>250</v>
      </c>
      <c r="W10" s="137" t="s">
        <v>251</v>
      </c>
      <c r="X10" s="137" t="s">
        <v>252</v>
      </c>
      <c r="Y10" s="137" t="s">
        <v>253</v>
      </c>
      <c r="Z10" s="134"/>
    </row>
    <row r="11" spans="1:26" ht="33.75" customHeight="1" x14ac:dyDescent="0.2">
      <c r="A11" s="138" t="s">
        <v>255</v>
      </c>
      <c r="B11" s="139">
        <v>115180000</v>
      </c>
      <c r="C11" s="139">
        <f t="shared" ref="C11:C22" si="0">B11/200</f>
        <v>575900</v>
      </c>
      <c r="D11" s="140">
        <f>+B11</f>
        <v>115180000</v>
      </c>
      <c r="E11" s="140">
        <f>D11</f>
        <v>115180000</v>
      </c>
      <c r="F11" s="140">
        <f t="shared" ref="F11:F22" si="1">E11-500000000</f>
        <v>-384820000</v>
      </c>
      <c r="G11" s="141" t="str">
        <f t="shared" ref="G11:G13" si="2">IF(E11&lt;500000000,"FREE",IF(F11="FREE",F11/200,C11))</f>
        <v>FREE</v>
      </c>
      <c r="H11" s="142"/>
      <c r="I11" s="143"/>
      <c r="J11" s="138" t="s">
        <v>255</v>
      </c>
      <c r="K11" s="139">
        <v>126980000</v>
      </c>
      <c r="L11" s="139">
        <f t="shared" ref="L11:L22" si="3">K11/200</f>
        <v>634900</v>
      </c>
      <c r="M11" s="140">
        <f>+K11</f>
        <v>126980000</v>
      </c>
      <c r="N11" s="140">
        <f>E11+M11</f>
        <v>242160000</v>
      </c>
      <c r="O11" s="140">
        <f t="shared" ref="O11:O22" si="4">N11-500000000</f>
        <v>-257840000</v>
      </c>
      <c r="P11" s="141" t="str">
        <f>IF(M11&lt;500000000,"FREE",IF(P10="FREE",O11/200,L11))</f>
        <v>FREE</v>
      </c>
      <c r="Q11" s="142"/>
      <c r="R11" s="143"/>
      <c r="S11" s="143"/>
      <c r="T11" s="144">
        <v>1</v>
      </c>
      <c r="U11" s="145">
        <f t="shared" ref="U11:V22" si="5">B11+K11</f>
        <v>242160000</v>
      </c>
      <c r="V11" s="145">
        <f t="shared" si="5"/>
        <v>1210800</v>
      </c>
      <c r="W11" s="145">
        <f>U11</f>
        <v>242160000</v>
      </c>
      <c r="X11" s="145">
        <f t="shared" ref="X11:X20" si="6">+W11-500000000</f>
        <v>-257840000</v>
      </c>
      <c r="Y11" s="146" t="s">
        <v>832</v>
      </c>
      <c r="Z11" s="143"/>
    </row>
    <row r="12" spans="1:26" ht="33.75" customHeight="1" x14ac:dyDescent="0.2">
      <c r="A12" s="138" t="s">
        <v>256</v>
      </c>
      <c r="B12" s="139">
        <v>46620000</v>
      </c>
      <c r="C12" s="139">
        <f t="shared" si="0"/>
        <v>233100</v>
      </c>
      <c r="D12" s="140">
        <f t="shared" ref="D12:D22" si="7">+D11+B12</f>
        <v>161800000</v>
      </c>
      <c r="E12" s="140">
        <f t="shared" ref="E12:E13" si="8">N11+B12</f>
        <v>288780000</v>
      </c>
      <c r="F12" s="140">
        <f t="shared" si="1"/>
        <v>-211220000</v>
      </c>
      <c r="G12" s="141" t="str">
        <f t="shared" si="2"/>
        <v>FREE</v>
      </c>
      <c r="H12" s="142"/>
      <c r="I12" s="143"/>
      <c r="J12" s="138" t="s">
        <v>256</v>
      </c>
      <c r="K12" s="139">
        <v>57220000</v>
      </c>
      <c r="L12" s="139">
        <f t="shared" si="3"/>
        <v>286100</v>
      </c>
      <c r="M12" s="140">
        <f t="shared" ref="M12:M22" si="9">+M11+K12</f>
        <v>184200000</v>
      </c>
      <c r="N12" s="140">
        <f t="shared" ref="N12:N22" si="10">E12+K12</f>
        <v>346000000</v>
      </c>
      <c r="O12" s="140">
        <f t="shared" si="4"/>
        <v>-154000000</v>
      </c>
      <c r="P12" s="141" t="str">
        <f>IF(N12&lt;500000000,"FREE",IF(O12="FREE",O12/200,L12))</f>
        <v>FREE</v>
      </c>
      <c r="Q12" s="142"/>
      <c r="R12" s="143"/>
      <c r="S12" s="143"/>
      <c r="T12" s="144">
        <v>2</v>
      </c>
      <c r="U12" s="145">
        <f t="shared" si="5"/>
        <v>103840000</v>
      </c>
      <c r="V12" s="145">
        <f t="shared" si="5"/>
        <v>519200</v>
      </c>
      <c r="W12" s="145">
        <f t="shared" ref="W12:W22" si="11">U12+W11</f>
        <v>346000000</v>
      </c>
      <c r="X12" s="145">
        <f t="shared" si="6"/>
        <v>-154000000</v>
      </c>
      <c r="Y12" s="141" t="str">
        <f t="shared" ref="Y12:Y22" si="12">IF(W12&lt;500000000,"FREE",IF(Y11="FREE",X12/200,V12))</f>
        <v>FREE</v>
      </c>
      <c r="Z12" s="143"/>
    </row>
    <row r="13" spans="1:26" ht="33.75" customHeight="1" x14ac:dyDescent="0.2">
      <c r="A13" s="138" t="s">
        <v>257</v>
      </c>
      <c r="B13" s="139">
        <v>49120000</v>
      </c>
      <c r="C13" s="139">
        <f t="shared" si="0"/>
        <v>245600</v>
      </c>
      <c r="D13" s="140">
        <f t="shared" si="7"/>
        <v>210920000</v>
      </c>
      <c r="E13" s="140">
        <f t="shared" si="8"/>
        <v>395120000</v>
      </c>
      <c r="F13" s="140">
        <f t="shared" si="1"/>
        <v>-104880000</v>
      </c>
      <c r="G13" s="141" t="str">
        <f t="shared" si="2"/>
        <v>FREE</v>
      </c>
      <c r="H13" s="142"/>
      <c r="I13" s="143"/>
      <c r="J13" s="138" t="s">
        <v>257</v>
      </c>
      <c r="K13" s="139">
        <v>71720000</v>
      </c>
      <c r="L13" s="139">
        <f t="shared" si="3"/>
        <v>358600</v>
      </c>
      <c r="M13" s="140">
        <f t="shared" si="9"/>
        <v>255920000</v>
      </c>
      <c r="N13" s="140">
        <f t="shared" si="10"/>
        <v>466840000</v>
      </c>
      <c r="O13" s="140">
        <f t="shared" si="4"/>
        <v>-33160000</v>
      </c>
      <c r="P13" s="141" t="str">
        <f>IF(M13&lt;500000000,"FREE",IF(P12="FREE",O13/200,L13))</f>
        <v>FREE</v>
      </c>
      <c r="Q13" s="142"/>
      <c r="R13" s="143"/>
      <c r="S13" s="143"/>
      <c r="T13" s="144">
        <v>3</v>
      </c>
      <c r="U13" s="145">
        <f t="shared" si="5"/>
        <v>120840000</v>
      </c>
      <c r="V13" s="145">
        <f t="shared" si="5"/>
        <v>604200</v>
      </c>
      <c r="W13" s="145">
        <f t="shared" si="11"/>
        <v>466840000</v>
      </c>
      <c r="X13" s="145">
        <f t="shared" si="6"/>
        <v>-33160000</v>
      </c>
      <c r="Y13" s="141" t="str">
        <f t="shared" si="12"/>
        <v>FREE</v>
      </c>
      <c r="Z13" s="143"/>
    </row>
    <row r="14" spans="1:26" ht="33.75" customHeight="1" x14ac:dyDescent="0.2">
      <c r="A14" s="138" t="s">
        <v>258</v>
      </c>
      <c r="B14" s="139">
        <v>134080000</v>
      </c>
      <c r="C14" s="139">
        <f t="shared" si="0"/>
        <v>670400</v>
      </c>
      <c r="D14" s="140">
        <f t="shared" si="7"/>
        <v>345000000</v>
      </c>
      <c r="E14" s="140"/>
      <c r="F14" s="140">
        <f t="shared" si="1"/>
        <v>-500000000</v>
      </c>
      <c r="G14" s="141">
        <f>367000</f>
        <v>367000</v>
      </c>
      <c r="H14" s="142"/>
      <c r="I14" s="143"/>
      <c r="J14" s="138" t="s">
        <v>258</v>
      </c>
      <c r="K14" s="139">
        <v>152480000</v>
      </c>
      <c r="L14" s="139">
        <f t="shared" si="3"/>
        <v>762400</v>
      </c>
      <c r="M14" s="140">
        <f t="shared" si="9"/>
        <v>408400000</v>
      </c>
      <c r="N14" s="140">
        <f t="shared" si="10"/>
        <v>152480000</v>
      </c>
      <c r="O14" s="140">
        <f t="shared" si="4"/>
        <v>-347520000</v>
      </c>
      <c r="P14" s="141">
        <f>900000</f>
        <v>900000</v>
      </c>
      <c r="Q14" s="142"/>
      <c r="R14" s="143"/>
      <c r="S14" s="143"/>
      <c r="T14" s="144">
        <v>4</v>
      </c>
      <c r="U14" s="145">
        <f t="shared" si="5"/>
        <v>286560000</v>
      </c>
      <c r="V14" s="145">
        <f t="shared" si="5"/>
        <v>1432800</v>
      </c>
      <c r="W14" s="145">
        <f t="shared" si="11"/>
        <v>753400000</v>
      </c>
      <c r="X14" s="145">
        <f t="shared" si="6"/>
        <v>253400000</v>
      </c>
      <c r="Y14" s="141">
        <f t="shared" si="12"/>
        <v>1267000</v>
      </c>
      <c r="Z14" s="143"/>
    </row>
    <row r="15" spans="1:26" ht="33.75" customHeight="1" x14ac:dyDescent="0.2">
      <c r="A15" s="138" t="s">
        <v>259</v>
      </c>
      <c r="B15" s="139">
        <v>147560000</v>
      </c>
      <c r="C15" s="139">
        <f t="shared" si="0"/>
        <v>737800</v>
      </c>
      <c r="D15" s="140">
        <f t="shared" si="7"/>
        <v>492560000</v>
      </c>
      <c r="E15" s="140"/>
      <c r="F15" s="140">
        <f t="shared" si="1"/>
        <v>-500000000</v>
      </c>
      <c r="G15" s="141">
        <f t="shared" ref="G15:G22" si="13">C15</f>
        <v>737800</v>
      </c>
      <c r="H15" s="147"/>
      <c r="I15" s="143"/>
      <c r="J15" s="138" t="s">
        <v>259</v>
      </c>
      <c r="K15" s="139">
        <v>160360000</v>
      </c>
      <c r="L15" s="139">
        <f t="shared" si="3"/>
        <v>801800</v>
      </c>
      <c r="M15" s="140">
        <f t="shared" si="9"/>
        <v>568760000</v>
      </c>
      <c r="N15" s="140">
        <f t="shared" si="10"/>
        <v>160360000</v>
      </c>
      <c r="O15" s="140">
        <f t="shared" si="4"/>
        <v>-339640000</v>
      </c>
      <c r="P15" s="141">
        <f t="shared" ref="P15:P22" si="14">L15</f>
        <v>801800</v>
      </c>
      <c r="Q15" s="147"/>
      <c r="R15" s="143"/>
      <c r="S15" s="143"/>
      <c r="T15" s="144">
        <v>5</v>
      </c>
      <c r="U15" s="145">
        <f t="shared" si="5"/>
        <v>307920000</v>
      </c>
      <c r="V15" s="145">
        <f t="shared" si="5"/>
        <v>1539600</v>
      </c>
      <c r="W15" s="145">
        <f t="shared" si="11"/>
        <v>1061320000</v>
      </c>
      <c r="X15" s="145">
        <f t="shared" si="6"/>
        <v>561320000</v>
      </c>
      <c r="Y15" s="141">
        <f t="shared" si="12"/>
        <v>1539600</v>
      </c>
      <c r="Z15" s="143"/>
    </row>
    <row r="16" spans="1:26" ht="33.75" customHeight="1" x14ac:dyDescent="0.2">
      <c r="A16" s="138" t="s">
        <v>260</v>
      </c>
      <c r="B16" s="139">
        <v>142240000</v>
      </c>
      <c r="C16" s="139">
        <f t="shared" si="0"/>
        <v>711200</v>
      </c>
      <c r="D16" s="140">
        <f t="shared" si="7"/>
        <v>634800000</v>
      </c>
      <c r="E16" s="140"/>
      <c r="F16" s="140">
        <f t="shared" si="1"/>
        <v>-500000000</v>
      </c>
      <c r="G16" s="141">
        <f t="shared" si="13"/>
        <v>711200</v>
      </c>
      <c r="H16" s="142"/>
      <c r="I16" s="143"/>
      <c r="J16" s="138" t="s">
        <v>260</v>
      </c>
      <c r="K16" s="139">
        <v>157040000</v>
      </c>
      <c r="L16" s="139">
        <f t="shared" si="3"/>
        <v>785200</v>
      </c>
      <c r="M16" s="140">
        <f t="shared" si="9"/>
        <v>725800000</v>
      </c>
      <c r="N16" s="140">
        <f t="shared" si="10"/>
        <v>157040000</v>
      </c>
      <c r="O16" s="140">
        <f t="shared" si="4"/>
        <v>-342960000</v>
      </c>
      <c r="P16" s="141">
        <f t="shared" si="14"/>
        <v>785200</v>
      </c>
      <c r="Q16" s="142"/>
      <c r="R16" s="143"/>
      <c r="S16" s="143"/>
      <c r="T16" s="144">
        <v>6</v>
      </c>
      <c r="U16" s="145">
        <f t="shared" si="5"/>
        <v>299280000</v>
      </c>
      <c r="V16" s="145">
        <f t="shared" si="5"/>
        <v>1496400</v>
      </c>
      <c r="W16" s="145">
        <f t="shared" si="11"/>
        <v>1360600000</v>
      </c>
      <c r="X16" s="145">
        <f t="shared" si="6"/>
        <v>860600000</v>
      </c>
      <c r="Y16" s="141">
        <f t="shared" si="12"/>
        <v>1496400</v>
      </c>
      <c r="Z16" s="143"/>
    </row>
    <row r="17" spans="1:26" ht="33.75" customHeight="1" x14ac:dyDescent="0.2">
      <c r="A17" s="138" t="s">
        <v>261</v>
      </c>
      <c r="B17" s="139">
        <v>156700000</v>
      </c>
      <c r="C17" s="139">
        <f t="shared" si="0"/>
        <v>783500</v>
      </c>
      <c r="D17" s="140">
        <f t="shared" si="7"/>
        <v>791500000</v>
      </c>
      <c r="E17" s="140"/>
      <c r="F17" s="140">
        <f t="shared" si="1"/>
        <v>-500000000</v>
      </c>
      <c r="G17" s="141">
        <f t="shared" si="13"/>
        <v>783500</v>
      </c>
      <c r="H17" s="142"/>
      <c r="I17" s="143"/>
      <c r="J17" s="138" t="s">
        <v>261</v>
      </c>
      <c r="K17" s="139">
        <v>172900000</v>
      </c>
      <c r="L17" s="139">
        <f t="shared" si="3"/>
        <v>864500</v>
      </c>
      <c r="M17" s="140">
        <f t="shared" si="9"/>
        <v>898700000</v>
      </c>
      <c r="N17" s="140">
        <f t="shared" si="10"/>
        <v>172900000</v>
      </c>
      <c r="O17" s="140">
        <f t="shared" si="4"/>
        <v>-327100000</v>
      </c>
      <c r="P17" s="141">
        <f t="shared" si="14"/>
        <v>864500</v>
      </c>
      <c r="Q17" s="142"/>
      <c r="R17" s="143"/>
      <c r="S17" s="143"/>
      <c r="T17" s="144">
        <v>7</v>
      </c>
      <c r="U17" s="145">
        <f t="shared" si="5"/>
        <v>329600000</v>
      </c>
      <c r="V17" s="145">
        <f t="shared" si="5"/>
        <v>1648000</v>
      </c>
      <c r="W17" s="145">
        <f t="shared" si="11"/>
        <v>1690200000</v>
      </c>
      <c r="X17" s="145">
        <f t="shared" si="6"/>
        <v>1190200000</v>
      </c>
      <c r="Y17" s="141">
        <f t="shared" si="12"/>
        <v>1648000</v>
      </c>
      <c r="Z17" s="143"/>
    </row>
    <row r="18" spans="1:26" ht="33.75" customHeight="1" x14ac:dyDescent="0.2">
      <c r="A18" s="138" t="s">
        <v>262</v>
      </c>
      <c r="B18" s="139">
        <v>138860000</v>
      </c>
      <c r="C18" s="139">
        <f t="shared" si="0"/>
        <v>694300</v>
      </c>
      <c r="D18" s="140">
        <f t="shared" si="7"/>
        <v>930360000</v>
      </c>
      <c r="E18" s="140"/>
      <c r="F18" s="140">
        <f t="shared" si="1"/>
        <v>-500000000</v>
      </c>
      <c r="G18" s="141">
        <f t="shared" si="13"/>
        <v>694300</v>
      </c>
      <c r="H18" s="142"/>
      <c r="I18" s="143"/>
      <c r="J18" s="138" t="s">
        <v>262</v>
      </c>
      <c r="K18" s="139">
        <v>121260000</v>
      </c>
      <c r="L18" s="139">
        <f t="shared" si="3"/>
        <v>606300</v>
      </c>
      <c r="M18" s="140">
        <f t="shared" si="9"/>
        <v>1019960000</v>
      </c>
      <c r="N18" s="140">
        <f t="shared" si="10"/>
        <v>121260000</v>
      </c>
      <c r="O18" s="140">
        <f t="shared" si="4"/>
        <v>-378740000</v>
      </c>
      <c r="P18" s="141">
        <f t="shared" si="14"/>
        <v>606300</v>
      </c>
      <c r="Q18" s="142"/>
      <c r="R18" s="148"/>
      <c r="S18" s="143"/>
      <c r="T18" s="144">
        <v>8</v>
      </c>
      <c r="U18" s="145">
        <f t="shared" si="5"/>
        <v>260120000</v>
      </c>
      <c r="V18" s="145">
        <f t="shared" si="5"/>
        <v>1300600</v>
      </c>
      <c r="W18" s="145">
        <f t="shared" si="11"/>
        <v>1950320000</v>
      </c>
      <c r="X18" s="145">
        <f t="shared" si="6"/>
        <v>1450320000</v>
      </c>
      <c r="Y18" s="141">
        <f t="shared" si="12"/>
        <v>1300600</v>
      </c>
      <c r="Z18" s="143"/>
    </row>
    <row r="19" spans="1:26" ht="33.75" customHeight="1" x14ac:dyDescent="0.2">
      <c r="A19" s="138" t="s">
        <v>263</v>
      </c>
      <c r="B19" s="139">
        <v>172940000</v>
      </c>
      <c r="C19" s="139">
        <f t="shared" si="0"/>
        <v>864700</v>
      </c>
      <c r="D19" s="140">
        <f t="shared" si="7"/>
        <v>1103300000</v>
      </c>
      <c r="E19" s="140"/>
      <c r="F19" s="140">
        <f t="shared" si="1"/>
        <v>-500000000</v>
      </c>
      <c r="G19" s="141">
        <f t="shared" si="13"/>
        <v>864700</v>
      </c>
      <c r="H19" s="142"/>
      <c r="I19" s="143"/>
      <c r="J19" s="138" t="s">
        <v>263</v>
      </c>
      <c r="K19" s="139">
        <v>159540000</v>
      </c>
      <c r="L19" s="139">
        <f t="shared" si="3"/>
        <v>797700</v>
      </c>
      <c r="M19" s="140">
        <f t="shared" si="9"/>
        <v>1179500000</v>
      </c>
      <c r="N19" s="140">
        <f t="shared" si="10"/>
        <v>159540000</v>
      </c>
      <c r="O19" s="140">
        <f t="shared" si="4"/>
        <v>-340460000</v>
      </c>
      <c r="P19" s="141">
        <f t="shared" si="14"/>
        <v>797700</v>
      </c>
      <c r="Q19" s="142"/>
      <c r="R19" s="143"/>
      <c r="S19" s="143"/>
      <c r="T19" s="144">
        <v>9</v>
      </c>
      <c r="U19" s="145">
        <f t="shared" si="5"/>
        <v>332480000</v>
      </c>
      <c r="V19" s="145">
        <f t="shared" si="5"/>
        <v>1662400</v>
      </c>
      <c r="W19" s="145">
        <f t="shared" si="11"/>
        <v>2282800000</v>
      </c>
      <c r="X19" s="145">
        <f t="shared" si="6"/>
        <v>1782800000</v>
      </c>
      <c r="Y19" s="141">
        <f t="shared" si="12"/>
        <v>1662400</v>
      </c>
      <c r="Z19" s="143"/>
    </row>
    <row r="20" spans="1:26" ht="33.75" customHeight="1" x14ac:dyDescent="0.2">
      <c r="A20" s="138" t="s">
        <v>264</v>
      </c>
      <c r="B20" s="139">
        <v>164220000</v>
      </c>
      <c r="C20" s="139">
        <f t="shared" si="0"/>
        <v>821100</v>
      </c>
      <c r="D20" s="140">
        <f t="shared" si="7"/>
        <v>1267520000</v>
      </c>
      <c r="E20" s="140"/>
      <c r="F20" s="140">
        <f t="shared" si="1"/>
        <v>-500000000</v>
      </c>
      <c r="G20" s="141">
        <f t="shared" si="13"/>
        <v>821100</v>
      </c>
      <c r="H20" s="142"/>
      <c r="I20" s="143"/>
      <c r="J20" s="138" t="s">
        <v>264</v>
      </c>
      <c r="K20" s="139">
        <v>151620000</v>
      </c>
      <c r="L20" s="139">
        <f t="shared" si="3"/>
        <v>758100</v>
      </c>
      <c r="M20" s="140">
        <f t="shared" si="9"/>
        <v>1331120000</v>
      </c>
      <c r="N20" s="140">
        <f t="shared" si="10"/>
        <v>151620000</v>
      </c>
      <c r="O20" s="140">
        <f t="shared" si="4"/>
        <v>-348380000</v>
      </c>
      <c r="P20" s="141">
        <f t="shared" si="14"/>
        <v>758100</v>
      </c>
      <c r="Q20" s="142"/>
      <c r="R20" s="143"/>
      <c r="S20" s="143"/>
      <c r="T20" s="144">
        <v>10</v>
      </c>
      <c r="U20" s="145">
        <f t="shared" si="5"/>
        <v>315840000</v>
      </c>
      <c r="V20" s="145">
        <f t="shared" si="5"/>
        <v>1579200</v>
      </c>
      <c r="W20" s="145">
        <f t="shared" si="11"/>
        <v>2598640000</v>
      </c>
      <c r="X20" s="145">
        <f t="shared" si="6"/>
        <v>2098640000</v>
      </c>
      <c r="Y20" s="141">
        <f t="shared" si="12"/>
        <v>1579200</v>
      </c>
      <c r="Z20" s="143"/>
    </row>
    <row r="21" spans="1:26" ht="33.75" customHeight="1" x14ac:dyDescent="0.2">
      <c r="A21" s="138" t="s">
        <v>265</v>
      </c>
      <c r="B21" s="139">
        <v>180980000</v>
      </c>
      <c r="C21" s="139">
        <f t="shared" si="0"/>
        <v>904900</v>
      </c>
      <c r="D21" s="140">
        <f t="shared" si="7"/>
        <v>1448500000</v>
      </c>
      <c r="E21" s="140"/>
      <c r="F21" s="140">
        <f t="shared" si="1"/>
        <v>-500000000</v>
      </c>
      <c r="G21" s="141">
        <f t="shared" si="13"/>
        <v>904900</v>
      </c>
      <c r="H21" s="142"/>
      <c r="I21" s="143"/>
      <c r="J21" s="138" t="s">
        <v>265</v>
      </c>
      <c r="K21" s="139">
        <v>166980000</v>
      </c>
      <c r="L21" s="139">
        <f t="shared" si="3"/>
        <v>834900</v>
      </c>
      <c r="M21" s="140">
        <f t="shared" si="9"/>
        <v>1498100000</v>
      </c>
      <c r="N21" s="140">
        <f t="shared" si="10"/>
        <v>166980000</v>
      </c>
      <c r="O21" s="140">
        <f t="shared" si="4"/>
        <v>-333020000</v>
      </c>
      <c r="P21" s="141">
        <f t="shared" si="14"/>
        <v>834900</v>
      </c>
      <c r="Q21" s="142"/>
      <c r="R21" s="143"/>
      <c r="S21" s="143"/>
      <c r="T21" s="144">
        <v>11</v>
      </c>
      <c r="U21" s="145">
        <f t="shared" si="5"/>
        <v>347960000</v>
      </c>
      <c r="V21" s="145">
        <f t="shared" si="5"/>
        <v>1739800</v>
      </c>
      <c r="W21" s="145">
        <f t="shared" si="11"/>
        <v>2946600000</v>
      </c>
      <c r="X21" s="145"/>
      <c r="Y21" s="141">
        <f t="shared" si="12"/>
        <v>1739800</v>
      </c>
      <c r="Z21" s="143"/>
    </row>
    <row r="22" spans="1:26" ht="33.75" customHeight="1" x14ac:dyDescent="0.2">
      <c r="A22" s="138" t="s">
        <v>266</v>
      </c>
      <c r="B22" s="139">
        <v>171880000</v>
      </c>
      <c r="C22" s="139">
        <f t="shared" si="0"/>
        <v>859400</v>
      </c>
      <c r="D22" s="140">
        <f t="shared" si="7"/>
        <v>1620380000</v>
      </c>
      <c r="E22" s="140"/>
      <c r="F22" s="140">
        <f t="shared" si="1"/>
        <v>-500000000</v>
      </c>
      <c r="G22" s="141">
        <f t="shared" si="13"/>
        <v>859400</v>
      </c>
      <c r="H22" s="142"/>
      <c r="I22" s="143"/>
      <c r="J22" s="138" t="s">
        <v>266</v>
      </c>
      <c r="K22" s="139">
        <v>158680000</v>
      </c>
      <c r="L22" s="139">
        <f t="shared" si="3"/>
        <v>793400</v>
      </c>
      <c r="M22" s="140">
        <f t="shared" si="9"/>
        <v>1656780000</v>
      </c>
      <c r="N22" s="140">
        <f t="shared" si="10"/>
        <v>158680000</v>
      </c>
      <c r="O22" s="140">
        <f t="shared" si="4"/>
        <v>-341320000</v>
      </c>
      <c r="P22" s="141">
        <f t="shared" si="14"/>
        <v>793400</v>
      </c>
      <c r="Q22" s="142"/>
      <c r="R22" s="143"/>
      <c r="S22" s="143"/>
      <c r="T22" s="144">
        <v>12</v>
      </c>
      <c r="U22" s="145">
        <f t="shared" si="5"/>
        <v>330560000</v>
      </c>
      <c r="V22" s="145">
        <f t="shared" si="5"/>
        <v>1652800</v>
      </c>
      <c r="W22" s="145">
        <f t="shared" si="11"/>
        <v>3277160000</v>
      </c>
      <c r="X22" s="145"/>
      <c r="Y22" s="141">
        <f t="shared" si="12"/>
        <v>1652800</v>
      </c>
      <c r="Z22" s="143"/>
    </row>
    <row r="23" spans="1:26" ht="33.75" customHeight="1" x14ac:dyDescent="0.2">
      <c r="A23" s="149" t="s">
        <v>227</v>
      </c>
      <c r="B23" s="150">
        <f t="shared" ref="B23:C23" si="15">+SUM(B11:B22)</f>
        <v>1620380000</v>
      </c>
      <c r="C23" s="150">
        <f t="shared" si="15"/>
        <v>8101900</v>
      </c>
      <c r="D23" s="149" t="str">
        <f>IF(D22=B23,"-","ERROR")</f>
        <v>-</v>
      </c>
      <c r="E23" s="149"/>
      <c r="F23" s="149" t="s">
        <v>30</v>
      </c>
      <c r="G23" s="150">
        <f>SUM(G11:G22)</f>
        <v>6743900</v>
      </c>
      <c r="H23" s="149" t="s">
        <v>30</v>
      </c>
      <c r="I23" s="151"/>
      <c r="J23" s="149" t="s">
        <v>227</v>
      </c>
      <c r="K23" s="150">
        <f t="shared" ref="K23:L23" si="16">+SUM(K11:K22)</f>
        <v>1656780000</v>
      </c>
      <c r="L23" s="150">
        <f t="shared" si="16"/>
        <v>8283900</v>
      </c>
      <c r="M23" s="149" t="str">
        <f>IF(M22=K23,"-","ERROR")</f>
        <v>-</v>
      </c>
      <c r="N23" s="149"/>
      <c r="O23" s="149" t="s">
        <v>30</v>
      </c>
      <c r="P23" s="150">
        <f>SUM(P11:P22)</f>
        <v>7141900</v>
      </c>
      <c r="Q23" s="149" t="s">
        <v>30</v>
      </c>
      <c r="R23" s="151"/>
      <c r="S23" s="151"/>
      <c r="T23" s="152" t="s">
        <v>227</v>
      </c>
      <c r="U23" s="149">
        <f t="shared" ref="U23:V23" si="17">SUM(U11:U22)</f>
        <v>3277160000</v>
      </c>
      <c r="V23" s="149">
        <f t="shared" si="17"/>
        <v>16385800</v>
      </c>
      <c r="W23" s="149"/>
      <c r="X23" s="149"/>
      <c r="Y23" s="149">
        <f>SUM(Y11:Y22)</f>
        <v>13885800</v>
      </c>
      <c r="Z23" s="151"/>
    </row>
    <row r="24" spans="1:26" ht="15.75" customHeight="1" x14ac:dyDescent="0.2">
      <c r="A24" s="117"/>
      <c r="B24" s="115"/>
      <c r="C24" s="118"/>
      <c r="D24" s="115"/>
      <c r="E24" s="115"/>
      <c r="F24" s="115"/>
      <c r="G24" s="115"/>
      <c r="H24" s="115"/>
      <c r="I24" s="115"/>
      <c r="J24" s="117"/>
      <c r="K24" s="115"/>
      <c r="L24" s="118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spans="1:26" ht="15.75" customHeight="1" x14ac:dyDescent="0.2">
      <c r="A25" s="117"/>
      <c r="B25" s="118"/>
      <c r="C25" s="118"/>
      <c r="D25" s="115"/>
      <c r="E25" s="115"/>
      <c r="F25" s="115"/>
      <c r="G25" s="115"/>
      <c r="H25" s="115"/>
      <c r="I25" s="115"/>
      <c r="J25" s="117"/>
      <c r="K25" s="118"/>
      <c r="L25" s="118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spans="1:26" ht="15.75" customHeight="1" x14ac:dyDescent="0.2">
      <c r="A26" s="117"/>
      <c r="B26" s="115"/>
      <c r="C26" s="118"/>
      <c r="D26" s="115"/>
      <c r="E26" s="115"/>
      <c r="F26" s="115"/>
      <c r="G26" s="115"/>
      <c r="H26" s="115"/>
      <c r="I26" s="115"/>
      <c r="J26" s="117"/>
      <c r="K26" s="115"/>
      <c r="L26" s="118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spans="1:26" ht="15.75" customHeight="1" x14ac:dyDescent="0.2">
      <c r="A27" s="117"/>
      <c r="B27" s="115"/>
      <c r="C27" s="118"/>
      <c r="D27" s="115"/>
      <c r="E27" s="115"/>
      <c r="F27" s="115"/>
      <c r="G27" s="115"/>
      <c r="H27" s="115"/>
      <c r="I27" s="115"/>
      <c r="J27" s="117"/>
      <c r="K27" s="115"/>
      <c r="L27" s="118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spans="1:26" ht="15.75" customHeight="1" x14ac:dyDescent="0.2">
      <c r="A28" s="117"/>
      <c r="B28" s="115"/>
      <c r="C28" s="118"/>
      <c r="D28" s="115"/>
      <c r="E28" s="115"/>
      <c r="F28" s="115"/>
      <c r="G28" s="115"/>
      <c r="H28" s="115"/>
      <c r="I28" s="115"/>
      <c r="J28" s="117"/>
      <c r="K28" s="115"/>
      <c r="L28" s="118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spans="1:26" ht="15.75" customHeight="1" x14ac:dyDescent="0.2">
      <c r="A29" s="117"/>
      <c r="B29" s="115"/>
      <c r="C29" s="118"/>
      <c r="D29" s="115"/>
      <c r="E29" s="115"/>
      <c r="F29" s="115"/>
      <c r="G29" s="115"/>
      <c r="H29" s="115"/>
      <c r="I29" s="115"/>
      <c r="J29" s="117"/>
      <c r="K29" s="115"/>
      <c r="L29" s="118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spans="1:26" ht="15.75" customHeight="1" x14ac:dyDescent="0.2">
      <c r="A30" s="117"/>
      <c r="B30" s="115"/>
      <c r="C30" s="118"/>
      <c r="D30" s="115"/>
      <c r="E30" s="115"/>
      <c r="F30" s="115"/>
      <c r="G30" s="115"/>
      <c r="H30" s="115"/>
      <c r="I30" s="115"/>
      <c r="J30" s="117"/>
      <c r="K30" s="115"/>
      <c r="L30" s="118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spans="1:26" ht="15.75" customHeight="1" x14ac:dyDescent="0.2">
      <c r="A31" s="117"/>
      <c r="B31" s="115"/>
      <c r="C31" s="118"/>
      <c r="D31" s="115"/>
      <c r="E31" s="115"/>
      <c r="F31" s="115"/>
      <c r="G31" s="115"/>
      <c r="H31" s="115"/>
      <c r="I31" s="115"/>
      <c r="J31" s="117"/>
      <c r="K31" s="115"/>
      <c r="L31" s="118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spans="1:26" ht="15.75" customHeight="1" x14ac:dyDescent="0.2">
      <c r="A32" s="117"/>
      <c r="B32" s="115"/>
      <c r="C32" s="118"/>
      <c r="D32" s="115"/>
      <c r="E32" s="115"/>
      <c r="F32" s="115"/>
      <c r="G32" s="115"/>
      <c r="H32" s="115"/>
      <c r="I32" s="115"/>
      <c r="J32" s="117"/>
      <c r="K32" s="115"/>
      <c r="L32" s="118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spans="1:26" ht="15.75" customHeight="1" x14ac:dyDescent="0.2">
      <c r="A33" s="117"/>
      <c r="B33" s="115"/>
      <c r="C33" s="115"/>
      <c r="D33" s="115"/>
      <c r="E33" s="115"/>
      <c r="F33" s="118"/>
      <c r="G33" s="115"/>
      <c r="H33" s="115"/>
      <c r="I33" s="115"/>
      <c r="J33" s="117"/>
      <c r="K33" s="115"/>
      <c r="L33" s="115"/>
      <c r="M33" s="115"/>
      <c r="N33" s="115"/>
      <c r="O33" s="118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spans="1:26" ht="15.75" customHeight="1" x14ac:dyDescent="0.2">
      <c r="A34" s="117"/>
      <c r="B34" s="115"/>
      <c r="C34" s="115"/>
      <c r="D34" s="115"/>
      <c r="E34" s="115"/>
      <c r="F34" s="118"/>
      <c r="G34" s="115"/>
      <c r="H34" s="115"/>
      <c r="I34" s="115"/>
      <c r="J34" s="117"/>
      <c r="K34" s="115"/>
      <c r="L34" s="115"/>
      <c r="M34" s="115"/>
      <c r="N34" s="115"/>
      <c r="O34" s="118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spans="1:26" ht="15.75" customHeight="1" x14ac:dyDescent="0.2">
      <c r="A35" s="117"/>
      <c r="B35" s="115"/>
      <c r="C35" s="115"/>
      <c r="D35" s="115"/>
      <c r="E35" s="115"/>
      <c r="F35" s="118"/>
      <c r="G35" s="115"/>
      <c r="H35" s="115"/>
      <c r="I35" s="115"/>
      <c r="J35" s="117"/>
      <c r="K35" s="115"/>
      <c r="L35" s="115"/>
      <c r="M35" s="115"/>
      <c r="N35" s="115"/>
      <c r="O35" s="118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spans="1:26" ht="15.75" customHeight="1" x14ac:dyDescent="0.2">
      <c r="A36" s="117"/>
      <c r="B36" s="115"/>
      <c r="C36" s="115"/>
      <c r="D36" s="115"/>
      <c r="E36" s="115"/>
      <c r="F36" s="118"/>
      <c r="G36" s="115"/>
      <c r="H36" s="115"/>
      <c r="I36" s="115"/>
      <c r="J36" s="117"/>
      <c r="K36" s="115"/>
      <c r="L36" s="115"/>
      <c r="M36" s="115"/>
      <c r="N36" s="115"/>
      <c r="O36" s="118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spans="1:26" ht="15.75" customHeight="1" x14ac:dyDescent="0.2">
      <c r="A37" s="117"/>
      <c r="B37" s="115"/>
      <c r="C37" s="115"/>
      <c r="D37" s="115"/>
      <c r="E37" s="115"/>
      <c r="F37" s="118"/>
      <c r="G37" s="115"/>
      <c r="H37" s="115"/>
      <c r="I37" s="115"/>
      <c r="J37" s="117"/>
      <c r="K37" s="115"/>
      <c r="L37" s="115"/>
      <c r="M37" s="115"/>
      <c r="N37" s="115"/>
      <c r="O37" s="118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spans="1:26" ht="15.75" customHeight="1" x14ac:dyDescent="0.2">
      <c r="A38" s="117"/>
      <c r="B38" s="115"/>
      <c r="C38" s="115"/>
      <c r="D38" s="115"/>
      <c r="E38" s="115"/>
      <c r="F38" s="118"/>
      <c r="G38" s="115"/>
      <c r="H38" s="115"/>
      <c r="I38" s="115"/>
      <c r="J38" s="117"/>
      <c r="K38" s="115"/>
      <c r="L38" s="115"/>
      <c r="M38" s="115"/>
      <c r="N38" s="115"/>
      <c r="O38" s="118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spans="1:26" ht="15.75" customHeight="1" x14ac:dyDescent="0.2">
      <c r="A39" s="117"/>
      <c r="B39" s="115"/>
      <c r="C39" s="115"/>
      <c r="D39" s="115"/>
      <c r="E39" s="115"/>
      <c r="F39" s="118"/>
      <c r="G39" s="115"/>
      <c r="H39" s="115"/>
      <c r="I39" s="115"/>
      <c r="J39" s="117"/>
      <c r="K39" s="115"/>
      <c r="L39" s="115"/>
      <c r="M39" s="115"/>
      <c r="N39" s="115"/>
      <c r="O39" s="118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spans="1:26" ht="15.75" customHeight="1" x14ac:dyDescent="0.2">
      <c r="A40" s="117"/>
      <c r="B40" s="115"/>
      <c r="C40" s="115"/>
      <c r="D40" s="115"/>
      <c r="E40" s="115"/>
      <c r="F40" s="118"/>
      <c r="G40" s="115"/>
      <c r="H40" s="115"/>
      <c r="I40" s="115"/>
      <c r="J40" s="117"/>
      <c r="K40" s="115"/>
      <c r="L40" s="115"/>
      <c r="M40" s="115"/>
      <c r="N40" s="115"/>
      <c r="O40" s="118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spans="1:26" ht="15.75" customHeight="1" x14ac:dyDescent="0.2">
      <c r="A41" s="117"/>
      <c r="B41" s="115"/>
      <c r="C41" s="115"/>
      <c r="D41" s="115"/>
      <c r="E41" s="115"/>
      <c r="F41" s="118"/>
      <c r="G41" s="115"/>
      <c r="H41" s="115"/>
      <c r="I41" s="115"/>
      <c r="J41" s="117"/>
      <c r="K41" s="115"/>
      <c r="L41" s="115"/>
      <c r="M41" s="115"/>
      <c r="N41" s="115"/>
      <c r="O41" s="118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 spans="1:26" ht="15.75" customHeight="1" x14ac:dyDescent="0.2">
      <c r="A42" s="117"/>
      <c r="B42" s="115"/>
      <c r="C42" s="115"/>
      <c r="D42" s="115"/>
      <c r="E42" s="115"/>
      <c r="F42" s="118"/>
      <c r="G42" s="115"/>
      <c r="H42" s="115"/>
      <c r="I42" s="115"/>
      <c r="J42" s="117"/>
      <c r="K42" s="115"/>
      <c r="L42" s="115"/>
      <c r="M42" s="115"/>
      <c r="N42" s="115"/>
      <c r="O42" s="118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 spans="1:26" ht="15.75" customHeight="1" x14ac:dyDescent="0.2">
      <c r="A43" s="117"/>
      <c r="B43" s="115"/>
      <c r="C43" s="115"/>
      <c r="D43" s="115"/>
      <c r="E43" s="115"/>
      <c r="F43" s="118"/>
      <c r="G43" s="115"/>
      <c r="H43" s="115"/>
      <c r="I43" s="115"/>
      <c r="J43" s="117"/>
      <c r="K43" s="115"/>
      <c r="L43" s="115"/>
      <c r="M43" s="115"/>
      <c r="N43" s="115"/>
      <c r="O43" s="118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spans="1:26" ht="15.75" customHeight="1" x14ac:dyDescent="0.2">
      <c r="A44" s="117"/>
      <c r="B44" s="115"/>
      <c r="C44" s="115"/>
      <c r="D44" s="115"/>
      <c r="E44" s="115"/>
      <c r="F44" s="118"/>
      <c r="G44" s="115"/>
      <c r="H44" s="115"/>
      <c r="I44" s="115"/>
      <c r="J44" s="117"/>
      <c r="K44" s="115"/>
      <c r="L44" s="115"/>
      <c r="M44" s="115"/>
      <c r="N44" s="115"/>
      <c r="O44" s="118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spans="1:26" ht="15.75" customHeight="1" x14ac:dyDescent="0.2">
      <c r="A45" s="117"/>
      <c r="B45" s="115"/>
      <c r="C45" s="115"/>
      <c r="D45" s="115"/>
      <c r="E45" s="115"/>
      <c r="F45" s="118"/>
      <c r="G45" s="115"/>
      <c r="H45" s="115"/>
      <c r="I45" s="115"/>
      <c r="J45" s="117"/>
      <c r="K45" s="115"/>
      <c r="L45" s="115"/>
      <c r="M45" s="115"/>
      <c r="N45" s="115"/>
      <c r="O45" s="118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spans="1:26" ht="15.75" customHeight="1" x14ac:dyDescent="0.2">
      <c r="A46" s="117"/>
      <c r="B46" s="115"/>
      <c r="C46" s="115"/>
      <c r="D46" s="115"/>
      <c r="E46" s="115"/>
      <c r="F46" s="118"/>
      <c r="G46" s="115"/>
      <c r="H46" s="115"/>
      <c r="I46" s="115"/>
      <c r="J46" s="117"/>
      <c r="K46" s="115"/>
      <c r="L46" s="115"/>
      <c r="M46" s="115"/>
      <c r="N46" s="115"/>
      <c r="O46" s="118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spans="1:26" ht="15.75" customHeight="1" x14ac:dyDescent="0.2">
      <c r="A47" s="117"/>
      <c r="B47" s="115"/>
      <c r="C47" s="115"/>
      <c r="D47" s="115"/>
      <c r="E47" s="115"/>
      <c r="F47" s="118"/>
      <c r="G47" s="115"/>
      <c r="H47" s="115"/>
      <c r="I47" s="115"/>
      <c r="J47" s="117"/>
      <c r="K47" s="115"/>
      <c r="L47" s="115"/>
      <c r="M47" s="115"/>
      <c r="N47" s="115"/>
      <c r="O47" s="118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 spans="1:26" ht="15.75" customHeight="1" x14ac:dyDescent="0.2">
      <c r="A48" s="117"/>
      <c r="B48" s="115"/>
      <c r="C48" s="115"/>
      <c r="D48" s="115"/>
      <c r="E48" s="115"/>
      <c r="F48" s="118"/>
      <c r="G48" s="115"/>
      <c r="H48" s="115"/>
      <c r="I48" s="115"/>
      <c r="J48" s="117"/>
      <c r="K48" s="115"/>
      <c r="L48" s="115"/>
      <c r="M48" s="115"/>
      <c r="N48" s="115"/>
      <c r="O48" s="118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 spans="1:26" ht="15.75" customHeight="1" x14ac:dyDescent="0.2">
      <c r="A49" s="117"/>
      <c r="B49" s="115"/>
      <c r="C49" s="115"/>
      <c r="D49" s="115"/>
      <c r="E49" s="115"/>
      <c r="F49" s="118"/>
      <c r="G49" s="115"/>
      <c r="H49" s="115"/>
      <c r="I49" s="115"/>
      <c r="J49" s="117"/>
      <c r="K49" s="115"/>
      <c r="L49" s="115"/>
      <c r="M49" s="115"/>
      <c r="N49" s="115"/>
      <c r="O49" s="118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spans="1:26" ht="15.75" customHeight="1" x14ac:dyDescent="0.2">
      <c r="A50" s="117"/>
      <c r="B50" s="115"/>
      <c r="C50" s="115"/>
      <c r="D50" s="115"/>
      <c r="E50" s="115"/>
      <c r="F50" s="118"/>
      <c r="G50" s="115"/>
      <c r="H50" s="115"/>
      <c r="I50" s="115"/>
      <c r="J50" s="117"/>
      <c r="K50" s="115"/>
      <c r="L50" s="115"/>
      <c r="M50" s="115"/>
      <c r="N50" s="115"/>
      <c r="O50" s="118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spans="1:26" ht="15.75" customHeight="1" x14ac:dyDescent="0.2">
      <c r="A51" s="117"/>
      <c r="B51" s="115"/>
      <c r="C51" s="115"/>
      <c r="D51" s="115"/>
      <c r="E51" s="115"/>
      <c r="F51" s="118"/>
      <c r="G51" s="115"/>
      <c r="H51" s="115"/>
      <c r="I51" s="115"/>
      <c r="J51" s="117"/>
      <c r="K51" s="115"/>
      <c r="L51" s="115"/>
      <c r="M51" s="115"/>
      <c r="N51" s="115"/>
      <c r="O51" s="118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 spans="1:26" ht="15.75" customHeight="1" x14ac:dyDescent="0.2">
      <c r="A52" s="117"/>
      <c r="B52" s="115"/>
      <c r="C52" s="115"/>
      <c r="D52" s="115"/>
      <c r="E52" s="115"/>
      <c r="F52" s="118"/>
      <c r="G52" s="115"/>
      <c r="H52" s="115"/>
      <c r="I52" s="115"/>
      <c r="J52" s="117"/>
      <c r="K52" s="115"/>
      <c r="L52" s="115"/>
      <c r="M52" s="115"/>
      <c r="N52" s="115"/>
      <c r="O52" s="118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spans="1:26" ht="15.75" customHeight="1" x14ac:dyDescent="0.2">
      <c r="A53" s="117"/>
      <c r="B53" s="115"/>
      <c r="C53" s="115"/>
      <c r="D53" s="115"/>
      <c r="E53" s="115"/>
      <c r="F53" s="118"/>
      <c r="G53" s="115"/>
      <c r="H53" s="115"/>
      <c r="I53" s="115"/>
      <c r="J53" s="117"/>
      <c r="K53" s="115"/>
      <c r="L53" s="115"/>
      <c r="M53" s="115"/>
      <c r="N53" s="115"/>
      <c r="O53" s="118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 spans="1:26" ht="15.75" customHeight="1" x14ac:dyDescent="0.2">
      <c r="A54" s="117"/>
      <c r="B54" s="115"/>
      <c r="C54" s="115"/>
      <c r="D54" s="115"/>
      <c r="E54" s="115"/>
      <c r="F54" s="118"/>
      <c r="G54" s="115"/>
      <c r="H54" s="115"/>
      <c r="I54" s="115"/>
      <c r="J54" s="117"/>
      <c r="K54" s="115"/>
      <c r="L54" s="115"/>
      <c r="M54" s="115"/>
      <c r="N54" s="115"/>
      <c r="O54" s="118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 spans="1:26" ht="15.75" customHeight="1" x14ac:dyDescent="0.2">
      <c r="A55" s="117"/>
      <c r="B55" s="115"/>
      <c r="C55" s="115"/>
      <c r="D55" s="115"/>
      <c r="E55" s="115"/>
      <c r="F55" s="118"/>
      <c r="G55" s="115"/>
      <c r="H55" s="115"/>
      <c r="I55" s="115"/>
      <c r="J55" s="117"/>
      <c r="K55" s="115"/>
      <c r="L55" s="115"/>
      <c r="M55" s="115"/>
      <c r="N55" s="115"/>
      <c r="O55" s="118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spans="1:26" ht="15.75" customHeight="1" x14ac:dyDescent="0.2">
      <c r="A56" s="117"/>
      <c r="B56" s="115"/>
      <c r="C56" s="115"/>
      <c r="D56" s="115"/>
      <c r="E56" s="115"/>
      <c r="F56" s="118"/>
      <c r="G56" s="115"/>
      <c r="H56" s="115"/>
      <c r="I56" s="115"/>
      <c r="J56" s="117"/>
      <c r="K56" s="115"/>
      <c r="L56" s="115"/>
      <c r="M56" s="115"/>
      <c r="N56" s="115"/>
      <c r="O56" s="118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spans="1:26" ht="15.75" customHeight="1" x14ac:dyDescent="0.2">
      <c r="A57" s="117"/>
      <c r="B57" s="115"/>
      <c r="C57" s="115"/>
      <c r="D57" s="115"/>
      <c r="E57" s="115"/>
      <c r="F57" s="118"/>
      <c r="G57" s="115"/>
      <c r="H57" s="115"/>
      <c r="I57" s="115"/>
      <c r="J57" s="117"/>
      <c r="K57" s="115"/>
      <c r="L57" s="115"/>
      <c r="M57" s="115"/>
      <c r="N57" s="115"/>
      <c r="O57" s="118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spans="1:26" ht="15.75" customHeight="1" x14ac:dyDescent="0.2">
      <c r="A58" s="117"/>
      <c r="B58" s="115"/>
      <c r="C58" s="115"/>
      <c r="D58" s="115"/>
      <c r="E58" s="115"/>
      <c r="F58" s="118"/>
      <c r="G58" s="115"/>
      <c r="H58" s="115"/>
      <c r="I58" s="115"/>
      <c r="J58" s="117"/>
      <c r="K58" s="115"/>
      <c r="L58" s="115"/>
      <c r="M58" s="115"/>
      <c r="N58" s="115"/>
      <c r="O58" s="118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spans="1:26" ht="15.75" customHeight="1" x14ac:dyDescent="0.2">
      <c r="A59" s="117"/>
      <c r="B59" s="115"/>
      <c r="C59" s="115"/>
      <c r="D59" s="115"/>
      <c r="E59" s="115"/>
      <c r="F59" s="118"/>
      <c r="G59" s="115"/>
      <c r="H59" s="115"/>
      <c r="I59" s="115"/>
      <c r="J59" s="117"/>
      <c r="K59" s="115"/>
      <c r="L59" s="115"/>
      <c r="M59" s="115"/>
      <c r="N59" s="115"/>
      <c r="O59" s="118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spans="1:26" ht="15.75" customHeight="1" x14ac:dyDescent="0.2">
      <c r="A60" s="117"/>
      <c r="B60" s="115"/>
      <c r="C60" s="115"/>
      <c r="D60" s="115"/>
      <c r="E60" s="115"/>
      <c r="F60" s="118"/>
      <c r="G60" s="115"/>
      <c r="H60" s="115"/>
      <c r="I60" s="115"/>
      <c r="J60" s="117"/>
      <c r="K60" s="115"/>
      <c r="L60" s="115"/>
      <c r="M60" s="115"/>
      <c r="N60" s="115"/>
      <c r="O60" s="118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spans="1:26" ht="15.75" customHeight="1" x14ac:dyDescent="0.2">
      <c r="A61" s="117"/>
      <c r="B61" s="115"/>
      <c r="C61" s="115"/>
      <c r="D61" s="115"/>
      <c r="E61" s="115"/>
      <c r="F61" s="118"/>
      <c r="G61" s="115"/>
      <c r="H61" s="115"/>
      <c r="I61" s="115"/>
      <c r="J61" s="117"/>
      <c r="K61" s="115"/>
      <c r="L61" s="115"/>
      <c r="M61" s="115"/>
      <c r="N61" s="115"/>
      <c r="O61" s="118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spans="1:26" ht="15.75" customHeight="1" x14ac:dyDescent="0.2">
      <c r="A62" s="117"/>
      <c r="B62" s="115"/>
      <c r="C62" s="115"/>
      <c r="D62" s="115"/>
      <c r="E62" s="115"/>
      <c r="F62" s="118"/>
      <c r="G62" s="115"/>
      <c r="H62" s="115"/>
      <c r="I62" s="115"/>
      <c r="J62" s="117"/>
      <c r="K62" s="115"/>
      <c r="L62" s="115"/>
      <c r="M62" s="115"/>
      <c r="N62" s="115"/>
      <c r="O62" s="118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spans="1:26" ht="15.75" customHeight="1" x14ac:dyDescent="0.2">
      <c r="A63" s="117"/>
      <c r="B63" s="115"/>
      <c r="C63" s="115"/>
      <c r="D63" s="115"/>
      <c r="E63" s="115"/>
      <c r="F63" s="118"/>
      <c r="G63" s="115"/>
      <c r="H63" s="115"/>
      <c r="I63" s="115"/>
      <c r="J63" s="117"/>
      <c r="K63" s="115"/>
      <c r="L63" s="115"/>
      <c r="M63" s="115"/>
      <c r="N63" s="115"/>
      <c r="O63" s="118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spans="1:26" ht="15.75" customHeight="1" x14ac:dyDescent="0.2">
      <c r="A64" s="117"/>
      <c r="B64" s="115"/>
      <c r="C64" s="115"/>
      <c r="D64" s="115"/>
      <c r="E64" s="115"/>
      <c r="F64" s="118"/>
      <c r="G64" s="115"/>
      <c r="H64" s="115"/>
      <c r="I64" s="115"/>
      <c r="J64" s="117"/>
      <c r="K64" s="115"/>
      <c r="L64" s="115"/>
      <c r="M64" s="115"/>
      <c r="N64" s="115"/>
      <c r="O64" s="118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spans="1:26" ht="15.75" customHeight="1" x14ac:dyDescent="0.2">
      <c r="A65" s="117"/>
      <c r="B65" s="115"/>
      <c r="C65" s="115"/>
      <c r="D65" s="115"/>
      <c r="E65" s="115"/>
      <c r="F65" s="118"/>
      <c r="G65" s="115"/>
      <c r="H65" s="115"/>
      <c r="I65" s="115"/>
      <c r="J65" s="117"/>
      <c r="K65" s="115"/>
      <c r="L65" s="115"/>
      <c r="M65" s="115"/>
      <c r="N65" s="115"/>
      <c r="O65" s="118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spans="1:26" ht="15.75" customHeight="1" x14ac:dyDescent="0.2">
      <c r="A66" s="117"/>
      <c r="B66" s="115"/>
      <c r="C66" s="115"/>
      <c r="D66" s="115"/>
      <c r="E66" s="115"/>
      <c r="F66" s="118"/>
      <c r="G66" s="115"/>
      <c r="H66" s="115"/>
      <c r="I66" s="115"/>
      <c r="J66" s="117"/>
      <c r="K66" s="115"/>
      <c r="L66" s="115"/>
      <c r="M66" s="115"/>
      <c r="N66" s="115"/>
      <c r="O66" s="118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spans="1:26" ht="15.75" customHeight="1" x14ac:dyDescent="0.2">
      <c r="A67" s="117"/>
      <c r="B67" s="115"/>
      <c r="C67" s="115"/>
      <c r="D67" s="115"/>
      <c r="E67" s="115"/>
      <c r="F67" s="118"/>
      <c r="G67" s="115"/>
      <c r="H67" s="115"/>
      <c r="I67" s="115"/>
      <c r="J67" s="117"/>
      <c r="K67" s="115"/>
      <c r="L67" s="115"/>
      <c r="M67" s="115"/>
      <c r="N67" s="115"/>
      <c r="O67" s="118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spans="1:26" ht="15.75" customHeight="1" x14ac:dyDescent="0.2">
      <c r="A68" s="117"/>
      <c r="B68" s="115"/>
      <c r="C68" s="115"/>
      <c r="D68" s="115"/>
      <c r="E68" s="115"/>
      <c r="F68" s="118"/>
      <c r="G68" s="115"/>
      <c r="H68" s="115"/>
      <c r="I68" s="115"/>
      <c r="J68" s="117"/>
      <c r="K68" s="115"/>
      <c r="L68" s="115"/>
      <c r="M68" s="115"/>
      <c r="N68" s="115"/>
      <c r="O68" s="118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spans="1:26" ht="15.75" customHeight="1" x14ac:dyDescent="0.2">
      <c r="A69" s="117"/>
      <c r="B69" s="115"/>
      <c r="C69" s="115"/>
      <c r="D69" s="115"/>
      <c r="E69" s="115"/>
      <c r="F69" s="118"/>
      <c r="G69" s="115"/>
      <c r="H69" s="115"/>
      <c r="I69" s="115"/>
      <c r="J69" s="117"/>
      <c r="K69" s="115"/>
      <c r="L69" s="115"/>
      <c r="M69" s="115"/>
      <c r="N69" s="115"/>
      <c r="O69" s="118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spans="1:26" ht="15.75" customHeight="1" x14ac:dyDescent="0.2">
      <c r="A70" s="117"/>
      <c r="B70" s="115"/>
      <c r="C70" s="115"/>
      <c r="D70" s="115"/>
      <c r="E70" s="115"/>
      <c r="F70" s="118"/>
      <c r="G70" s="115"/>
      <c r="H70" s="115"/>
      <c r="I70" s="115"/>
      <c r="J70" s="117"/>
      <c r="K70" s="115"/>
      <c r="L70" s="115"/>
      <c r="M70" s="115"/>
      <c r="N70" s="115"/>
      <c r="O70" s="118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spans="1:26" ht="15.75" customHeight="1" x14ac:dyDescent="0.2">
      <c r="A71" s="117"/>
      <c r="B71" s="115"/>
      <c r="C71" s="115"/>
      <c r="D71" s="115"/>
      <c r="E71" s="115"/>
      <c r="F71" s="118"/>
      <c r="G71" s="115"/>
      <c r="H71" s="115"/>
      <c r="I71" s="115"/>
      <c r="J71" s="117"/>
      <c r="K71" s="115"/>
      <c r="L71" s="115"/>
      <c r="M71" s="115"/>
      <c r="N71" s="115"/>
      <c r="O71" s="118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spans="1:26" ht="15.75" customHeight="1" x14ac:dyDescent="0.2">
      <c r="A72" s="117"/>
      <c r="B72" s="115"/>
      <c r="C72" s="115"/>
      <c r="D72" s="115"/>
      <c r="E72" s="115"/>
      <c r="F72" s="118"/>
      <c r="G72" s="115"/>
      <c r="H72" s="115"/>
      <c r="I72" s="115"/>
      <c r="J72" s="117"/>
      <c r="K72" s="115"/>
      <c r="L72" s="115"/>
      <c r="M72" s="115"/>
      <c r="N72" s="115"/>
      <c r="O72" s="118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spans="1:26" ht="15.75" customHeight="1" x14ac:dyDescent="0.2">
      <c r="A73" s="117"/>
      <c r="B73" s="115"/>
      <c r="C73" s="115"/>
      <c r="D73" s="115"/>
      <c r="E73" s="115"/>
      <c r="F73" s="118"/>
      <c r="G73" s="115"/>
      <c r="H73" s="115"/>
      <c r="I73" s="115"/>
      <c r="J73" s="117"/>
      <c r="K73" s="115"/>
      <c r="L73" s="115"/>
      <c r="M73" s="115"/>
      <c r="N73" s="115"/>
      <c r="O73" s="118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spans="1:26" ht="15.75" customHeight="1" x14ac:dyDescent="0.2">
      <c r="A74" s="117"/>
      <c r="B74" s="115"/>
      <c r="C74" s="115"/>
      <c r="D74" s="115"/>
      <c r="E74" s="115"/>
      <c r="F74" s="118"/>
      <c r="G74" s="115"/>
      <c r="H74" s="115"/>
      <c r="I74" s="115"/>
      <c r="J74" s="117"/>
      <c r="K74" s="115"/>
      <c r="L74" s="115"/>
      <c r="M74" s="115"/>
      <c r="N74" s="115"/>
      <c r="O74" s="118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spans="1:26" ht="15.75" customHeight="1" x14ac:dyDescent="0.2">
      <c r="A75" s="117"/>
      <c r="B75" s="115"/>
      <c r="C75" s="115"/>
      <c r="D75" s="115"/>
      <c r="E75" s="115"/>
      <c r="F75" s="118"/>
      <c r="G75" s="115"/>
      <c r="H75" s="115"/>
      <c r="I75" s="115"/>
      <c r="J75" s="117"/>
      <c r="K75" s="115"/>
      <c r="L75" s="115"/>
      <c r="M75" s="115"/>
      <c r="N75" s="115"/>
      <c r="O75" s="118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spans="1:26" ht="15.75" customHeight="1" x14ac:dyDescent="0.2">
      <c r="A76" s="117"/>
      <c r="B76" s="115"/>
      <c r="C76" s="115"/>
      <c r="D76" s="115"/>
      <c r="E76" s="115"/>
      <c r="F76" s="118"/>
      <c r="G76" s="115"/>
      <c r="H76" s="115"/>
      <c r="I76" s="115"/>
      <c r="J76" s="117"/>
      <c r="K76" s="115"/>
      <c r="L76" s="115"/>
      <c r="M76" s="115"/>
      <c r="N76" s="115"/>
      <c r="O76" s="118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spans="1:26" ht="15.75" customHeight="1" x14ac:dyDescent="0.2">
      <c r="A77" s="117"/>
      <c r="B77" s="115"/>
      <c r="C77" s="115"/>
      <c r="D77" s="115"/>
      <c r="E77" s="115"/>
      <c r="F77" s="118"/>
      <c r="G77" s="115"/>
      <c r="H77" s="115"/>
      <c r="I77" s="115"/>
      <c r="J77" s="117"/>
      <c r="K77" s="115"/>
      <c r="L77" s="115"/>
      <c r="M77" s="115"/>
      <c r="N77" s="115"/>
      <c r="O77" s="118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spans="1:26" ht="15.75" customHeight="1" x14ac:dyDescent="0.2">
      <c r="A78" s="117"/>
      <c r="B78" s="115"/>
      <c r="C78" s="115"/>
      <c r="D78" s="115"/>
      <c r="E78" s="115"/>
      <c r="F78" s="118"/>
      <c r="G78" s="115"/>
      <c r="H78" s="115"/>
      <c r="I78" s="115"/>
      <c r="J78" s="117"/>
      <c r="K78" s="115"/>
      <c r="L78" s="115"/>
      <c r="M78" s="115"/>
      <c r="N78" s="115"/>
      <c r="O78" s="118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spans="1:26" ht="15.75" customHeight="1" x14ac:dyDescent="0.2">
      <c r="A79" s="117"/>
      <c r="B79" s="115"/>
      <c r="C79" s="115"/>
      <c r="D79" s="115"/>
      <c r="E79" s="115"/>
      <c r="F79" s="118"/>
      <c r="G79" s="115"/>
      <c r="H79" s="115"/>
      <c r="I79" s="115"/>
      <c r="J79" s="117"/>
      <c r="K79" s="115"/>
      <c r="L79" s="115"/>
      <c r="M79" s="115"/>
      <c r="N79" s="115"/>
      <c r="O79" s="118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spans="1:26" ht="15.75" customHeight="1" x14ac:dyDescent="0.2">
      <c r="A80" s="117"/>
      <c r="B80" s="115"/>
      <c r="C80" s="115"/>
      <c r="D80" s="115"/>
      <c r="E80" s="115"/>
      <c r="F80" s="118"/>
      <c r="G80" s="115"/>
      <c r="H80" s="115"/>
      <c r="I80" s="115"/>
      <c r="J80" s="117"/>
      <c r="K80" s="115"/>
      <c r="L80" s="115"/>
      <c r="M80" s="115"/>
      <c r="N80" s="115"/>
      <c r="O80" s="118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spans="1:26" ht="15.75" customHeight="1" x14ac:dyDescent="0.2">
      <c r="A81" s="117"/>
      <c r="B81" s="115"/>
      <c r="C81" s="115"/>
      <c r="D81" s="115"/>
      <c r="E81" s="115"/>
      <c r="F81" s="118"/>
      <c r="G81" s="115"/>
      <c r="H81" s="115"/>
      <c r="I81" s="115"/>
      <c r="J81" s="117"/>
      <c r="K81" s="115"/>
      <c r="L81" s="115"/>
      <c r="M81" s="115"/>
      <c r="N81" s="115"/>
      <c r="O81" s="118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spans="1:26" ht="15.75" customHeight="1" x14ac:dyDescent="0.2">
      <c r="A82" s="117"/>
      <c r="B82" s="115"/>
      <c r="C82" s="115"/>
      <c r="D82" s="115"/>
      <c r="E82" s="115"/>
      <c r="F82" s="118"/>
      <c r="G82" s="115"/>
      <c r="H82" s="115"/>
      <c r="I82" s="115"/>
      <c r="J82" s="117"/>
      <c r="K82" s="115"/>
      <c r="L82" s="115"/>
      <c r="M82" s="115"/>
      <c r="N82" s="115"/>
      <c r="O82" s="118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spans="1:26" ht="15.75" customHeight="1" x14ac:dyDescent="0.2">
      <c r="A83" s="117"/>
      <c r="B83" s="115"/>
      <c r="C83" s="115"/>
      <c r="D83" s="115"/>
      <c r="E83" s="115"/>
      <c r="F83" s="118"/>
      <c r="G83" s="115"/>
      <c r="H83" s="115"/>
      <c r="I83" s="115"/>
      <c r="J83" s="117"/>
      <c r="K83" s="115"/>
      <c r="L83" s="115"/>
      <c r="M83" s="115"/>
      <c r="N83" s="115"/>
      <c r="O83" s="118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spans="1:26" ht="15.75" customHeight="1" x14ac:dyDescent="0.2">
      <c r="A84" s="117"/>
      <c r="B84" s="115"/>
      <c r="C84" s="115"/>
      <c r="D84" s="115"/>
      <c r="E84" s="115"/>
      <c r="F84" s="118"/>
      <c r="G84" s="115"/>
      <c r="H84" s="115"/>
      <c r="I84" s="115"/>
      <c r="J84" s="117"/>
      <c r="K84" s="115"/>
      <c r="L84" s="115"/>
      <c r="M84" s="115"/>
      <c r="N84" s="115"/>
      <c r="O84" s="118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spans="1:26" ht="15.75" customHeight="1" x14ac:dyDescent="0.2">
      <c r="A85" s="117"/>
      <c r="B85" s="115"/>
      <c r="C85" s="115"/>
      <c r="D85" s="115"/>
      <c r="E85" s="115"/>
      <c r="F85" s="118"/>
      <c r="G85" s="115"/>
      <c r="H85" s="115"/>
      <c r="I85" s="115"/>
      <c r="J85" s="117"/>
      <c r="K85" s="115"/>
      <c r="L85" s="115"/>
      <c r="M85" s="115"/>
      <c r="N85" s="115"/>
      <c r="O85" s="118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spans="1:26" ht="15.75" customHeight="1" x14ac:dyDescent="0.2">
      <c r="A86" s="117"/>
      <c r="B86" s="115"/>
      <c r="C86" s="115"/>
      <c r="D86" s="115"/>
      <c r="E86" s="115"/>
      <c r="F86" s="118"/>
      <c r="G86" s="115"/>
      <c r="H86" s="115"/>
      <c r="I86" s="115"/>
      <c r="J86" s="117"/>
      <c r="K86" s="115"/>
      <c r="L86" s="115"/>
      <c r="M86" s="115"/>
      <c r="N86" s="115"/>
      <c r="O86" s="118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spans="1:26" ht="15.75" customHeight="1" x14ac:dyDescent="0.2">
      <c r="A87" s="117"/>
      <c r="B87" s="115"/>
      <c r="C87" s="115"/>
      <c r="D87" s="115"/>
      <c r="E87" s="115"/>
      <c r="F87" s="118"/>
      <c r="G87" s="115"/>
      <c r="H87" s="115"/>
      <c r="I87" s="115"/>
      <c r="J87" s="117"/>
      <c r="K87" s="115"/>
      <c r="L87" s="115"/>
      <c r="M87" s="115"/>
      <c r="N87" s="115"/>
      <c r="O87" s="118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spans="1:26" ht="15.75" customHeight="1" x14ac:dyDescent="0.2">
      <c r="A88" s="117"/>
      <c r="B88" s="115"/>
      <c r="C88" s="115"/>
      <c r="D88" s="115"/>
      <c r="E88" s="115"/>
      <c r="F88" s="118"/>
      <c r="G88" s="115"/>
      <c r="H88" s="115"/>
      <c r="I88" s="115"/>
      <c r="J88" s="117"/>
      <c r="K88" s="115"/>
      <c r="L88" s="115"/>
      <c r="M88" s="115"/>
      <c r="N88" s="115"/>
      <c r="O88" s="118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spans="1:26" ht="15.75" customHeight="1" x14ac:dyDescent="0.2">
      <c r="A89" s="117"/>
      <c r="B89" s="115"/>
      <c r="C89" s="115"/>
      <c r="D89" s="115"/>
      <c r="E89" s="115"/>
      <c r="F89" s="118"/>
      <c r="G89" s="115"/>
      <c r="H89" s="115"/>
      <c r="I89" s="115"/>
      <c r="J89" s="117"/>
      <c r="K89" s="115"/>
      <c r="L89" s="115"/>
      <c r="M89" s="115"/>
      <c r="N89" s="115"/>
      <c r="O89" s="118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spans="1:26" ht="15.75" customHeight="1" x14ac:dyDescent="0.2">
      <c r="A90" s="117"/>
      <c r="B90" s="115"/>
      <c r="C90" s="115"/>
      <c r="D90" s="115"/>
      <c r="E90" s="115"/>
      <c r="F90" s="118"/>
      <c r="G90" s="115"/>
      <c r="H90" s="115"/>
      <c r="I90" s="115"/>
      <c r="J90" s="117"/>
      <c r="K90" s="115"/>
      <c r="L90" s="115"/>
      <c r="M90" s="115"/>
      <c r="N90" s="115"/>
      <c r="O90" s="118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spans="1:26" ht="15.75" customHeight="1" x14ac:dyDescent="0.2">
      <c r="A91" s="117"/>
      <c r="B91" s="115"/>
      <c r="C91" s="115"/>
      <c r="D91" s="115"/>
      <c r="E91" s="115"/>
      <c r="F91" s="118"/>
      <c r="G91" s="115"/>
      <c r="H91" s="115"/>
      <c r="I91" s="115"/>
      <c r="J91" s="117"/>
      <c r="K91" s="115"/>
      <c r="L91" s="115"/>
      <c r="M91" s="115"/>
      <c r="N91" s="115"/>
      <c r="O91" s="118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spans="1:26" ht="15.75" customHeight="1" x14ac:dyDescent="0.2">
      <c r="A92" s="117"/>
      <c r="B92" s="115"/>
      <c r="C92" s="115"/>
      <c r="D92" s="115"/>
      <c r="E92" s="115"/>
      <c r="F92" s="118"/>
      <c r="G92" s="115"/>
      <c r="H92" s="115"/>
      <c r="I92" s="115"/>
      <c r="J92" s="117"/>
      <c r="K92" s="115"/>
      <c r="L92" s="115"/>
      <c r="M92" s="115"/>
      <c r="N92" s="115"/>
      <c r="O92" s="118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spans="1:26" ht="15.75" customHeight="1" x14ac:dyDescent="0.2">
      <c r="A93" s="117"/>
      <c r="B93" s="115"/>
      <c r="C93" s="115"/>
      <c r="D93" s="115"/>
      <c r="E93" s="115"/>
      <c r="F93" s="118"/>
      <c r="G93" s="115"/>
      <c r="H93" s="115"/>
      <c r="I93" s="115"/>
      <c r="J93" s="117"/>
      <c r="K93" s="115"/>
      <c r="L93" s="115"/>
      <c r="M93" s="115"/>
      <c r="N93" s="115"/>
      <c r="O93" s="118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spans="1:26" ht="15.75" customHeight="1" x14ac:dyDescent="0.2">
      <c r="A94" s="117"/>
      <c r="B94" s="115"/>
      <c r="C94" s="115"/>
      <c r="D94" s="115"/>
      <c r="E94" s="115"/>
      <c r="F94" s="118"/>
      <c r="G94" s="115"/>
      <c r="H94" s="115"/>
      <c r="I94" s="115"/>
      <c r="J94" s="117"/>
      <c r="K94" s="115"/>
      <c r="L94" s="115"/>
      <c r="M94" s="115"/>
      <c r="N94" s="115"/>
      <c r="O94" s="118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spans="1:26" ht="15.75" customHeight="1" x14ac:dyDescent="0.2">
      <c r="A95" s="117"/>
      <c r="B95" s="115"/>
      <c r="C95" s="115"/>
      <c r="D95" s="115"/>
      <c r="E95" s="115"/>
      <c r="F95" s="118"/>
      <c r="G95" s="115"/>
      <c r="H95" s="115"/>
      <c r="I95" s="115"/>
      <c r="J95" s="117"/>
      <c r="K95" s="115"/>
      <c r="L95" s="115"/>
      <c r="M95" s="115"/>
      <c r="N95" s="115"/>
      <c r="O95" s="118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spans="1:26" ht="15.75" customHeight="1" x14ac:dyDescent="0.2">
      <c r="A96" s="117"/>
      <c r="B96" s="115"/>
      <c r="C96" s="115"/>
      <c r="D96" s="115"/>
      <c r="E96" s="115"/>
      <c r="F96" s="118"/>
      <c r="G96" s="115"/>
      <c r="H96" s="115"/>
      <c r="I96" s="115"/>
      <c r="J96" s="117"/>
      <c r="K96" s="115"/>
      <c r="L96" s="115"/>
      <c r="M96" s="115"/>
      <c r="N96" s="115"/>
      <c r="O96" s="118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spans="1:26" ht="15.75" customHeight="1" x14ac:dyDescent="0.2">
      <c r="A97" s="117"/>
      <c r="B97" s="115"/>
      <c r="C97" s="115"/>
      <c r="D97" s="115"/>
      <c r="E97" s="115"/>
      <c r="F97" s="118"/>
      <c r="G97" s="115"/>
      <c r="H97" s="115"/>
      <c r="I97" s="115"/>
      <c r="J97" s="117"/>
      <c r="K97" s="115"/>
      <c r="L97" s="115"/>
      <c r="M97" s="115"/>
      <c r="N97" s="115"/>
      <c r="O97" s="118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spans="1:26" ht="15.75" customHeight="1" x14ac:dyDescent="0.2">
      <c r="A98" s="117"/>
      <c r="B98" s="115"/>
      <c r="C98" s="115"/>
      <c r="D98" s="115"/>
      <c r="E98" s="115"/>
      <c r="F98" s="118"/>
      <c r="G98" s="115"/>
      <c r="H98" s="115"/>
      <c r="I98" s="115"/>
      <c r="J98" s="117"/>
      <c r="K98" s="115"/>
      <c r="L98" s="115"/>
      <c r="M98" s="115"/>
      <c r="N98" s="115"/>
      <c r="O98" s="118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spans="1:26" ht="15.75" customHeight="1" x14ac:dyDescent="0.2">
      <c r="A99" s="117"/>
      <c r="B99" s="115"/>
      <c r="C99" s="115"/>
      <c r="D99" s="115"/>
      <c r="E99" s="115"/>
      <c r="F99" s="118"/>
      <c r="G99" s="115"/>
      <c r="H99" s="115"/>
      <c r="I99" s="115"/>
      <c r="J99" s="117"/>
      <c r="K99" s="115"/>
      <c r="L99" s="115"/>
      <c r="M99" s="115"/>
      <c r="N99" s="115"/>
      <c r="O99" s="118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spans="1:26" ht="15.75" customHeight="1" x14ac:dyDescent="0.2">
      <c r="A100" s="117"/>
      <c r="B100" s="115"/>
      <c r="C100" s="115"/>
      <c r="D100" s="115"/>
      <c r="E100" s="115"/>
      <c r="F100" s="118"/>
      <c r="G100" s="115"/>
      <c r="H100" s="115"/>
      <c r="I100" s="115"/>
      <c r="J100" s="117"/>
      <c r="K100" s="115"/>
      <c r="L100" s="115"/>
      <c r="M100" s="115"/>
      <c r="N100" s="115"/>
      <c r="O100" s="118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spans="1:26" ht="15.75" customHeight="1" x14ac:dyDescent="0.2">
      <c r="A101" s="117"/>
      <c r="B101" s="115"/>
      <c r="C101" s="115"/>
      <c r="D101" s="115"/>
      <c r="E101" s="115"/>
      <c r="F101" s="118"/>
      <c r="G101" s="115"/>
      <c r="H101" s="115"/>
      <c r="I101" s="115"/>
      <c r="J101" s="117"/>
      <c r="K101" s="115"/>
      <c r="L101" s="115"/>
      <c r="M101" s="115"/>
      <c r="N101" s="115"/>
      <c r="O101" s="118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spans="1:26" ht="15.75" customHeight="1" x14ac:dyDescent="0.2">
      <c r="A102" s="117"/>
      <c r="B102" s="115"/>
      <c r="C102" s="115"/>
      <c r="D102" s="115"/>
      <c r="E102" s="115"/>
      <c r="F102" s="118"/>
      <c r="G102" s="115"/>
      <c r="H102" s="115"/>
      <c r="I102" s="115"/>
      <c r="J102" s="117"/>
      <c r="K102" s="115"/>
      <c r="L102" s="115"/>
      <c r="M102" s="115"/>
      <c r="N102" s="115"/>
      <c r="O102" s="118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spans="1:26" ht="15.75" customHeight="1" x14ac:dyDescent="0.2">
      <c r="A103" s="117"/>
      <c r="B103" s="115"/>
      <c r="C103" s="115"/>
      <c r="D103" s="115"/>
      <c r="E103" s="115"/>
      <c r="F103" s="118"/>
      <c r="G103" s="115"/>
      <c r="H103" s="115"/>
      <c r="I103" s="115"/>
      <c r="J103" s="117"/>
      <c r="K103" s="115"/>
      <c r="L103" s="115"/>
      <c r="M103" s="115"/>
      <c r="N103" s="115"/>
      <c r="O103" s="118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 spans="1:26" ht="15.75" customHeight="1" x14ac:dyDescent="0.2">
      <c r="A104" s="117"/>
      <c r="B104" s="115"/>
      <c r="C104" s="115"/>
      <c r="D104" s="115"/>
      <c r="E104" s="115"/>
      <c r="F104" s="118"/>
      <c r="G104" s="115"/>
      <c r="H104" s="115"/>
      <c r="I104" s="115"/>
      <c r="J104" s="117"/>
      <c r="K104" s="115"/>
      <c r="L104" s="115"/>
      <c r="M104" s="115"/>
      <c r="N104" s="115"/>
      <c r="O104" s="118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 spans="1:26" ht="15.75" customHeight="1" x14ac:dyDescent="0.2">
      <c r="A105" s="117"/>
      <c r="B105" s="115"/>
      <c r="C105" s="115"/>
      <c r="D105" s="115"/>
      <c r="E105" s="115"/>
      <c r="F105" s="118"/>
      <c r="G105" s="115"/>
      <c r="H105" s="115"/>
      <c r="I105" s="115"/>
      <c r="J105" s="117"/>
      <c r="K105" s="115"/>
      <c r="L105" s="115"/>
      <c r="M105" s="115"/>
      <c r="N105" s="115"/>
      <c r="O105" s="118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 spans="1:26" ht="15.75" customHeight="1" x14ac:dyDescent="0.2">
      <c r="A106" s="117"/>
      <c r="B106" s="115"/>
      <c r="C106" s="115"/>
      <c r="D106" s="115"/>
      <c r="E106" s="115"/>
      <c r="F106" s="118"/>
      <c r="G106" s="115"/>
      <c r="H106" s="115"/>
      <c r="I106" s="115"/>
      <c r="J106" s="117"/>
      <c r="K106" s="115"/>
      <c r="L106" s="115"/>
      <c r="M106" s="115"/>
      <c r="N106" s="115"/>
      <c r="O106" s="118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spans="1:26" ht="15.75" customHeight="1" x14ac:dyDescent="0.2">
      <c r="A107" s="117"/>
      <c r="B107" s="115"/>
      <c r="C107" s="115"/>
      <c r="D107" s="115"/>
      <c r="E107" s="115"/>
      <c r="F107" s="118"/>
      <c r="G107" s="115"/>
      <c r="H107" s="115"/>
      <c r="I107" s="115"/>
      <c r="J107" s="117"/>
      <c r="K107" s="115"/>
      <c r="L107" s="115"/>
      <c r="M107" s="115"/>
      <c r="N107" s="115"/>
      <c r="O107" s="118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 spans="1:26" ht="15.75" customHeight="1" x14ac:dyDescent="0.2">
      <c r="A108" s="117"/>
      <c r="B108" s="115"/>
      <c r="C108" s="115"/>
      <c r="D108" s="115"/>
      <c r="E108" s="115"/>
      <c r="F108" s="118"/>
      <c r="G108" s="115"/>
      <c r="H108" s="115"/>
      <c r="I108" s="115"/>
      <c r="J108" s="117"/>
      <c r="K108" s="115"/>
      <c r="L108" s="115"/>
      <c r="M108" s="115"/>
      <c r="N108" s="115"/>
      <c r="O108" s="118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 spans="1:26" ht="15.75" customHeight="1" x14ac:dyDescent="0.2">
      <c r="A109" s="117"/>
      <c r="B109" s="115"/>
      <c r="C109" s="115"/>
      <c r="D109" s="115"/>
      <c r="E109" s="115"/>
      <c r="F109" s="118"/>
      <c r="G109" s="115"/>
      <c r="H109" s="115"/>
      <c r="I109" s="115"/>
      <c r="J109" s="117"/>
      <c r="K109" s="115"/>
      <c r="L109" s="115"/>
      <c r="M109" s="115"/>
      <c r="N109" s="115"/>
      <c r="O109" s="118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 spans="1:26" ht="15.75" customHeight="1" x14ac:dyDescent="0.2">
      <c r="A110" s="117"/>
      <c r="B110" s="115"/>
      <c r="C110" s="115"/>
      <c r="D110" s="115"/>
      <c r="E110" s="115"/>
      <c r="F110" s="118"/>
      <c r="G110" s="115"/>
      <c r="H110" s="115"/>
      <c r="I110" s="115"/>
      <c r="J110" s="117"/>
      <c r="K110" s="115"/>
      <c r="L110" s="115"/>
      <c r="M110" s="115"/>
      <c r="N110" s="115"/>
      <c r="O110" s="118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 spans="1:26" ht="15.75" customHeight="1" x14ac:dyDescent="0.2">
      <c r="A111" s="117"/>
      <c r="B111" s="115"/>
      <c r="C111" s="115"/>
      <c r="D111" s="115"/>
      <c r="E111" s="115"/>
      <c r="F111" s="118"/>
      <c r="G111" s="115"/>
      <c r="H111" s="115"/>
      <c r="I111" s="115"/>
      <c r="J111" s="117"/>
      <c r="K111" s="115"/>
      <c r="L111" s="115"/>
      <c r="M111" s="115"/>
      <c r="N111" s="115"/>
      <c r="O111" s="118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spans="1:26" ht="15.75" customHeight="1" x14ac:dyDescent="0.2">
      <c r="A112" s="117"/>
      <c r="B112" s="115"/>
      <c r="C112" s="115"/>
      <c r="D112" s="115"/>
      <c r="E112" s="115"/>
      <c r="F112" s="118"/>
      <c r="G112" s="115"/>
      <c r="H112" s="115"/>
      <c r="I112" s="115"/>
      <c r="J112" s="117"/>
      <c r="K112" s="115"/>
      <c r="L112" s="115"/>
      <c r="M112" s="115"/>
      <c r="N112" s="115"/>
      <c r="O112" s="118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 spans="1:26" ht="15.75" customHeight="1" x14ac:dyDescent="0.2">
      <c r="A113" s="117"/>
      <c r="B113" s="115"/>
      <c r="C113" s="115"/>
      <c r="D113" s="115"/>
      <c r="E113" s="115"/>
      <c r="F113" s="118"/>
      <c r="G113" s="115"/>
      <c r="H113" s="115"/>
      <c r="I113" s="115"/>
      <c r="J113" s="117"/>
      <c r="K113" s="115"/>
      <c r="L113" s="115"/>
      <c r="M113" s="115"/>
      <c r="N113" s="115"/>
      <c r="O113" s="118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 spans="1:26" ht="15.75" customHeight="1" x14ac:dyDescent="0.2">
      <c r="A114" s="117"/>
      <c r="B114" s="115"/>
      <c r="C114" s="115"/>
      <c r="D114" s="115"/>
      <c r="E114" s="115"/>
      <c r="F114" s="118"/>
      <c r="G114" s="115"/>
      <c r="H114" s="115"/>
      <c r="I114" s="115"/>
      <c r="J114" s="117"/>
      <c r="K114" s="115"/>
      <c r="L114" s="115"/>
      <c r="M114" s="115"/>
      <c r="N114" s="115"/>
      <c r="O114" s="118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 spans="1:26" ht="15.75" customHeight="1" x14ac:dyDescent="0.2">
      <c r="A115" s="117"/>
      <c r="B115" s="115"/>
      <c r="C115" s="115"/>
      <c r="D115" s="115"/>
      <c r="E115" s="115"/>
      <c r="F115" s="118"/>
      <c r="G115" s="115"/>
      <c r="H115" s="115"/>
      <c r="I115" s="115"/>
      <c r="J115" s="117"/>
      <c r="K115" s="115"/>
      <c r="L115" s="115"/>
      <c r="M115" s="115"/>
      <c r="N115" s="115"/>
      <c r="O115" s="118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 spans="1:26" ht="15.75" customHeight="1" x14ac:dyDescent="0.2">
      <c r="A116" s="117"/>
      <c r="B116" s="115"/>
      <c r="C116" s="115"/>
      <c r="D116" s="115"/>
      <c r="E116" s="115"/>
      <c r="F116" s="118"/>
      <c r="G116" s="115"/>
      <c r="H116" s="115"/>
      <c r="I116" s="115"/>
      <c r="J116" s="117"/>
      <c r="K116" s="115"/>
      <c r="L116" s="115"/>
      <c r="M116" s="115"/>
      <c r="N116" s="115"/>
      <c r="O116" s="118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 spans="1:26" ht="15.75" customHeight="1" x14ac:dyDescent="0.2">
      <c r="A117" s="117"/>
      <c r="B117" s="115"/>
      <c r="C117" s="115"/>
      <c r="D117" s="115"/>
      <c r="E117" s="115"/>
      <c r="F117" s="118"/>
      <c r="G117" s="115"/>
      <c r="H117" s="115"/>
      <c r="I117" s="115"/>
      <c r="J117" s="117"/>
      <c r="K117" s="115"/>
      <c r="L117" s="115"/>
      <c r="M117" s="115"/>
      <c r="N117" s="115"/>
      <c r="O117" s="118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 spans="1:26" ht="15.75" customHeight="1" x14ac:dyDescent="0.2">
      <c r="A118" s="117"/>
      <c r="B118" s="115"/>
      <c r="C118" s="115"/>
      <c r="D118" s="115"/>
      <c r="E118" s="115"/>
      <c r="F118" s="118"/>
      <c r="G118" s="115"/>
      <c r="H118" s="115"/>
      <c r="I118" s="115"/>
      <c r="J118" s="117"/>
      <c r="K118" s="115"/>
      <c r="L118" s="115"/>
      <c r="M118" s="115"/>
      <c r="N118" s="115"/>
      <c r="O118" s="118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 spans="1:26" ht="15.75" customHeight="1" x14ac:dyDescent="0.2">
      <c r="A119" s="117"/>
      <c r="B119" s="115"/>
      <c r="C119" s="115"/>
      <c r="D119" s="115"/>
      <c r="E119" s="115"/>
      <c r="F119" s="118"/>
      <c r="G119" s="115"/>
      <c r="H119" s="115"/>
      <c r="I119" s="115"/>
      <c r="J119" s="117"/>
      <c r="K119" s="115"/>
      <c r="L119" s="115"/>
      <c r="M119" s="115"/>
      <c r="N119" s="115"/>
      <c r="O119" s="118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 spans="1:26" ht="15.75" customHeight="1" x14ac:dyDescent="0.2">
      <c r="A120" s="117"/>
      <c r="B120" s="115"/>
      <c r="C120" s="115"/>
      <c r="D120" s="115"/>
      <c r="E120" s="115"/>
      <c r="F120" s="118"/>
      <c r="G120" s="115"/>
      <c r="H120" s="115"/>
      <c r="I120" s="115"/>
      <c r="J120" s="117"/>
      <c r="K120" s="115"/>
      <c r="L120" s="115"/>
      <c r="M120" s="115"/>
      <c r="N120" s="115"/>
      <c r="O120" s="118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 spans="1:26" ht="15.75" customHeight="1" x14ac:dyDescent="0.2">
      <c r="A121" s="117"/>
      <c r="B121" s="115"/>
      <c r="C121" s="115"/>
      <c r="D121" s="115"/>
      <c r="E121" s="115"/>
      <c r="F121" s="118"/>
      <c r="G121" s="115"/>
      <c r="H121" s="115"/>
      <c r="I121" s="115"/>
      <c r="J121" s="117"/>
      <c r="K121" s="115"/>
      <c r="L121" s="115"/>
      <c r="M121" s="115"/>
      <c r="N121" s="115"/>
      <c r="O121" s="118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spans="1:26" ht="15.75" customHeight="1" x14ac:dyDescent="0.2">
      <c r="A122" s="117"/>
      <c r="B122" s="115"/>
      <c r="C122" s="115"/>
      <c r="D122" s="115"/>
      <c r="E122" s="115"/>
      <c r="F122" s="118"/>
      <c r="G122" s="115"/>
      <c r="H122" s="115"/>
      <c r="I122" s="115"/>
      <c r="J122" s="117"/>
      <c r="K122" s="115"/>
      <c r="L122" s="115"/>
      <c r="M122" s="115"/>
      <c r="N122" s="115"/>
      <c r="O122" s="118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spans="1:26" ht="15.75" customHeight="1" x14ac:dyDescent="0.2">
      <c r="A123" s="117"/>
      <c r="B123" s="115"/>
      <c r="C123" s="115"/>
      <c r="D123" s="115"/>
      <c r="E123" s="115"/>
      <c r="F123" s="118"/>
      <c r="G123" s="115"/>
      <c r="H123" s="115"/>
      <c r="I123" s="115"/>
      <c r="J123" s="117"/>
      <c r="K123" s="115"/>
      <c r="L123" s="115"/>
      <c r="M123" s="115"/>
      <c r="N123" s="115"/>
      <c r="O123" s="118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spans="1:26" ht="15.75" customHeight="1" x14ac:dyDescent="0.2">
      <c r="A124" s="117"/>
      <c r="B124" s="115"/>
      <c r="C124" s="115"/>
      <c r="D124" s="115"/>
      <c r="E124" s="115"/>
      <c r="F124" s="118"/>
      <c r="G124" s="115"/>
      <c r="H124" s="115"/>
      <c r="I124" s="115"/>
      <c r="J124" s="117"/>
      <c r="K124" s="115"/>
      <c r="L124" s="115"/>
      <c r="M124" s="115"/>
      <c r="N124" s="115"/>
      <c r="O124" s="118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spans="1:26" ht="15.75" customHeight="1" x14ac:dyDescent="0.2">
      <c r="A125" s="117"/>
      <c r="B125" s="115"/>
      <c r="C125" s="115"/>
      <c r="D125" s="115"/>
      <c r="E125" s="115"/>
      <c r="F125" s="118"/>
      <c r="G125" s="115"/>
      <c r="H125" s="115"/>
      <c r="I125" s="115"/>
      <c r="J125" s="117"/>
      <c r="K125" s="115"/>
      <c r="L125" s="115"/>
      <c r="M125" s="115"/>
      <c r="N125" s="115"/>
      <c r="O125" s="118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 spans="1:26" ht="15.75" customHeight="1" x14ac:dyDescent="0.2">
      <c r="A126" s="117"/>
      <c r="B126" s="115"/>
      <c r="C126" s="115"/>
      <c r="D126" s="115"/>
      <c r="E126" s="115"/>
      <c r="F126" s="118"/>
      <c r="G126" s="115"/>
      <c r="H126" s="115"/>
      <c r="I126" s="115"/>
      <c r="J126" s="117"/>
      <c r="K126" s="115"/>
      <c r="L126" s="115"/>
      <c r="M126" s="115"/>
      <c r="N126" s="115"/>
      <c r="O126" s="118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spans="1:26" ht="15.75" customHeight="1" x14ac:dyDescent="0.2">
      <c r="A127" s="117"/>
      <c r="B127" s="115"/>
      <c r="C127" s="115"/>
      <c r="D127" s="115"/>
      <c r="E127" s="115"/>
      <c r="F127" s="118"/>
      <c r="G127" s="115"/>
      <c r="H127" s="115"/>
      <c r="I127" s="115"/>
      <c r="J127" s="117"/>
      <c r="K127" s="115"/>
      <c r="L127" s="115"/>
      <c r="M127" s="115"/>
      <c r="N127" s="115"/>
      <c r="O127" s="118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 spans="1:26" ht="15.75" customHeight="1" x14ac:dyDescent="0.2">
      <c r="A128" s="117"/>
      <c r="B128" s="115"/>
      <c r="C128" s="115"/>
      <c r="D128" s="115"/>
      <c r="E128" s="115"/>
      <c r="F128" s="118"/>
      <c r="G128" s="115"/>
      <c r="H128" s="115"/>
      <c r="I128" s="115"/>
      <c r="J128" s="117"/>
      <c r="K128" s="115"/>
      <c r="L128" s="115"/>
      <c r="M128" s="115"/>
      <c r="N128" s="115"/>
      <c r="O128" s="118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 spans="1:26" ht="15.75" customHeight="1" x14ac:dyDescent="0.2">
      <c r="A129" s="117"/>
      <c r="B129" s="115"/>
      <c r="C129" s="115"/>
      <c r="D129" s="115"/>
      <c r="E129" s="115"/>
      <c r="F129" s="118"/>
      <c r="G129" s="115"/>
      <c r="H129" s="115"/>
      <c r="I129" s="115"/>
      <c r="J129" s="117"/>
      <c r="K129" s="115"/>
      <c r="L129" s="115"/>
      <c r="M129" s="115"/>
      <c r="N129" s="115"/>
      <c r="O129" s="118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spans="1:26" ht="15.75" customHeight="1" x14ac:dyDescent="0.2">
      <c r="A130" s="117"/>
      <c r="B130" s="115"/>
      <c r="C130" s="115"/>
      <c r="D130" s="115"/>
      <c r="E130" s="115"/>
      <c r="F130" s="118"/>
      <c r="G130" s="115"/>
      <c r="H130" s="115"/>
      <c r="I130" s="115"/>
      <c r="J130" s="117"/>
      <c r="K130" s="115"/>
      <c r="L130" s="115"/>
      <c r="M130" s="115"/>
      <c r="N130" s="115"/>
      <c r="O130" s="118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spans="1:26" ht="15.75" customHeight="1" x14ac:dyDescent="0.2">
      <c r="A131" s="117"/>
      <c r="B131" s="115"/>
      <c r="C131" s="115"/>
      <c r="D131" s="115"/>
      <c r="E131" s="115"/>
      <c r="F131" s="118"/>
      <c r="G131" s="115"/>
      <c r="H131" s="115"/>
      <c r="I131" s="115"/>
      <c r="J131" s="117"/>
      <c r="K131" s="115"/>
      <c r="L131" s="115"/>
      <c r="M131" s="115"/>
      <c r="N131" s="115"/>
      <c r="O131" s="118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 spans="1:26" ht="15.75" customHeight="1" x14ac:dyDescent="0.2">
      <c r="A132" s="117"/>
      <c r="B132" s="115"/>
      <c r="C132" s="115"/>
      <c r="D132" s="115"/>
      <c r="E132" s="115"/>
      <c r="F132" s="118"/>
      <c r="G132" s="115"/>
      <c r="H132" s="115"/>
      <c r="I132" s="115"/>
      <c r="J132" s="117"/>
      <c r="K132" s="115"/>
      <c r="L132" s="115"/>
      <c r="M132" s="115"/>
      <c r="N132" s="115"/>
      <c r="O132" s="118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 spans="1:26" ht="15.75" customHeight="1" x14ac:dyDescent="0.2">
      <c r="A133" s="117"/>
      <c r="B133" s="115"/>
      <c r="C133" s="115"/>
      <c r="D133" s="115"/>
      <c r="E133" s="115"/>
      <c r="F133" s="118"/>
      <c r="G133" s="115"/>
      <c r="H133" s="115"/>
      <c r="I133" s="115"/>
      <c r="J133" s="117"/>
      <c r="K133" s="115"/>
      <c r="L133" s="115"/>
      <c r="M133" s="115"/>
      <c r="N133" s="115"/>
      <c r="O133" s="118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 spans="1:26" ht="15.75" customHeight="1" x14ac:dyDescent="0.2">
      <c r="A134" s="117"/>
      <c r="B134" s="115"/>
      <c r="C134" s="115"/>
      <c r="D134" s="115"/>
      <c r="E134" s="115"/>
      <c r="F134" s="118"/>
      <c r="G134" s="115"/>
      <c r="H134" s="115"/>
      <c r="I134" s="115"/>
      <c r="J134" s="117"/>
      <c r="K134" s="115"/>
      <c r="L134" s="115"/>
      <c r="M134" s="115"/>
      <c r="N134" s="115"/>
      <c r="O134" s="118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spans="1:26" ht="15.75" customHeight="1" x14ac:dyDescent="0.2">
      <c r="A135" s="117"/>
      <c r="B135" s="115"/>
      <c r="C135" s="115"/>
      <c r="D135" s="115"/>
      <c r="E135" s="115"/>
      <c r="F135" s="118"/>
      <c r="G135" s="115"/>
      <c r="H135" s="115"/>
      <c r="I135" s="115"/>
      <c r="J135" s="117"/>
      <c r="K135" s="115"/>
      <c r="L135" s="115"/>
      <c r="M135" s="115"/>
      <c r="N135" s="115"/>
      <c r="O135" s="118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spans="1:26" ht="15.75" customHeight="1" x14ac:dyDescent="0.2">
      <c r="A136" s="117"/>
      <c r="B136" s="115"/>
      <c r="C136" s="115"/>
      <c r="D136" s="115"/>
      <c r="E136" s="115"/>
      <c r="F136" s="118"/>
      <c r="G136" s="115"/>
      <c r="H136" s="115"/>
      <c r="I136" s="115"/>
      <c r="J136" s="117"/>
      <c r="K136" s="115"/>
      <c r="L136" s="115"/>
      <c r="M136" s="115"/>
      <c r="N136" s="115"/>
      <c r="O136" s="118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 spans="1:26" ht="15.75" customHeight="1" x14ac:dyDescent="0.2">
      <c r="A137" s="117"/>
      <c r="B137" s="115"/>
      <c r="C137" s="115"/>
      <c r="D137" s="115"/>
      <c r="E137" s="115"/>
      <c r="F137" s="118"/>
      <c r="G137" s="115"/>
      <c r="H137" s="115"/>
      <c r="I137" s="115"/>
      <c r="J137" s="117"/>
      <c r="K137" s="115"/>
      <c r="L137" s="115"/>
      <c r="M137" s="115"/>
      <c r="N137" s="115"/>
      <c r="O137" s="118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spans="1:26" ht="15.75" customHeight="1" x14ac:dyDescent="0.2">
      <c r="A138" s="117"/>
      <c r="B138" s="115"/>
      <c r="C138" s="115"/>
      <c r="D138" s="115"/>
      <c r="E138" s="115"/>
      <c r="F138" s="118"/>
      <c r="G138" s="115"/>
      <c r="H138" s="115"/>
      <c r="I138" s="115"/>
      <c r="J138" s="117"/>
      <c r="K138" s="115"/>
      <c r="L138" s="115"/>
      <c r="M138" s="115"/>
      <c r="N138" s="115"/>
      <c r="O138" s="118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 spans="1:26" ht="15.75" customHeight="1" x14ac:dyDescent="0.2">
      <c r="A139" s="117"/>
      <c r="B139" s="115"/>
      <c r="C139" s="115"/>
      <c r="D139" s="115"/>
      <c r="E139" s="115"/>
      <c r="F139" s="118"/>
      <c r="G139" s="115"/>
      <c r="H139" s="115"/>
      <c r="I139" s="115"/>
      <c r="J139" s="117"/>
      <c r="K139" s="115"/>
      <c r="L139" s="115"/>
      <c r="M139" s="115"/>
      <c r="N139" s="115"/>
      <c r="O139" s="118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 spans="1:26" ht="15.75" customHeight="1" x14ac:dyDescent="0.2">
      <c r="A140" s="117"/>
      <c r="B140" s="115"/>
      <c r="C140" s="115"/>
      <c r="D140" s="115"/>
      <c r="E140" s="115"/>
      <c r="F140" s="118"/>
      <c r="G140" s="115"/>
      <c r="H140" s="115"/>
      <c r="I140" s="115"/>
      <c r="J140" s="117"/>
      <c r="K140" s="115"/>
      <c r="L140" s="115"/>
      <c r="M140" s="115"/>
      <c r="N140" s="115"/>
      <c r="O140" s="118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spans="1:26" ht="15.75" customHeight="1" x14ac:dyDescent="0.2">
      <c r="A141" s="117"/>
      <c r="B141" s="115"/>
      <c r="C141" s="115"/>
      <c r="D141" s="115"/>
      <c r="E141" s="115"/>
      <c r="F141" s="118"/>
      <c r="G141" s="115"/>
      <c r="H141" s="115"/>
      <c r="I141" s="115"/>
      <c r="J141" s="117"/>
      <c r="K141" s="115"/>
      <c r="L141" s="115"/>
      <c r="M141" s="115"/>
      <c r="N141" s="115"/>
      <c r="O141" s="118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 spans="1:26" ht="15.75" customHeight="1" x14ac:dyDescent="0.2">
      <c r="A142" s="117"/>
      <c r="B142" s="115"/>
      <c r="C142" s="115"/>
      <c r="D142" s="115"/>
      <c r="E142" s="115"/>
      <c r="F142" s="118"/>
      <c r="G142" s="115"/>
      <c r="H142" s="115"/>
      <c r="I142" s="115"/>
      <c r="J142" s="117"/>
      <c r="K142" s="115"/>
      <c r="L142" s="115"/>
      <c r="M142" s="115"/>
      <c r="N142" s="115"/>
      <c r="O142" s="118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 spans="1:26" ht="15.75" customHeight="1" x14ac:dyDescent="0.2">
      <c r="A143" s="117"/>
      <c r="B143" s="115"/>
      <c r="C143" s="115"/>
      <c r="D143" s="115"/>
      <c r="E143" s="115"/>
      <c r="F143" s="118"/>
      <c r="G143" s="115"/>
      <c r="H143" s="115"/>
      <c r="I143" s="115"/>
      <c r="J143" s="117"/>
      <c r="K143" s="115"/>
      <c r="L143" s="115"/>
      <c r="M143" s="115"/>
      <c r="N143" s="115"/>
      <c r="O143" s="118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spans="1:26" ht="15.75" customHeight="1" x14ac:dyDescent="0.2">
      <c r="A144" s="117"/>
      <c r="B144" s="115"/>
      <c r="C144" s="115"/>
      <c r="D144" s="115"/>
      <c r="E144" s="115"/>
      <c r="F144" s="118"/>
      <c r="G144" s="115"/>
      <c r="H144" s="115"/>
      <c r="I144" s="115"/>
      <c r="J144" s="117"/>
      <c r="K144" s="115"/>
      <c r="L144" s="115"/>
      <c r="M144" s="115"/>
      <c r="N144" s="115"/>
      <c r="O144" s="118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 spans="1:26" ht="15.75" customHeight="1" x14ac:dyDescent="0.2">
      <c r="A145" s="117"/>
      <c r="B145" s="115"/>
      <c r="C145" s="115"/>
      <c r="D145" s="115"/>
      <c r="E145" s="115"/>
      <c r="F145" s="118"/>
      <c r="G145" s="115"/>
      <c r="H145" s="115"/>
      <c r="I145" s="115"/>
      <c r="J145" s="117"/>
      <c r="K145" s="115"/>
      <c r="L145" s="115"/>
      <c r="M145" s="115"/>
      <c r="N145" s="115"/>
      <c r="O145" s="118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 spans="1:26" ht="15.75" customHeight="1" x14ac:dyDescent="0.2">
      <c r="A146" s="117"/>
      <c r="B146" s="115"/>
      <c r="C146" s="115"/>
      <c r="D146" s="115"/>
      <c r="E146" s="115"/>
      <c r="F146" s="118"/>
      <c r="G146" s="115"/>
      <c r="H146" s="115"/>
      <c r="I146" s="115"/>
      <c r="J146" s="117"/>
      <c r="K146" s="115"/>
      <c r="L146" s="115"/>
      <c r="M146" s="115"/>
      <c r="N146" s="115"/>
      <c r="O146" s="118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 spans="1:26" ht="15.75" customHeight="1" x14ac:dyDescent="0.2">
      <c r="A147" s="117"/>
      <c r="B147" s="115"/>
      <c r="C147" s="115"/>
      <c r="D147" s="115"/>
      <c r="E147" s="115"/>
      <c r="F147" s="118"/>
      <c r="G147" s="115"/>
      <c r="H147" s="115"/>
      <c r="I147" s="115"/>
      <c r="J147" s="117"/>
      <c r="K147" s="115"/>
      <c r="L147" s="115"/>
      <c r="M147" s="115"/>
      <c r="N147" s="115"/>
      <c r="O147" s="118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 spans="1:26" ht="15.75" customHeight="1" x14ac:dyDescent="0.2">
      <c r="A148" s="117"/>
      <c r="B148" s="115"/>
      <c r="C148" s="115"/>
      <c r="D148" s="115"/>
      <c r="E148" s="115"/>
      <c r="F148" s="118"/>
      <c r="G148" s="115"/>
      <c r="H148" s="115"/>
      <c r="I148" s="115"/>
      <c r="J148" s="117"/>
      <c r="K148" s="115"/>
      <c r="L148" s="115"/>
      <c r="M148" s="115"/>
      <c r="N148" s="115"/>
      <c r="O148" s="118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 spans="1:26" ht="15.75" customHeight="1" x14ac:dyDescent="0.2">
      <c r="A149" s="117"/>
      <c r="B149" s="115"/>
      <c r="C149" s="115"/>
      <c r="D149" s="115"/>
      <c r="E149" s="115"/>
      <c r="F149" s="118"/>
      <c r="G149" s="115"/>
      <c r="H149" s="115"/>
      <c r="I149" s="115"/>
      <c r="J149" s="117"/>
      <c r="K149" s="115"/>
      <c r="L149" s="115"/>
      <c r="M149" s="115"/>
      <c r="N149" s="115"/>
      <c r="O149" s="118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 spans="1:26" ht="15.75" customHeight="1" x14ac:dyDescent="0.2">
      <c r="A150" s="117"/>
      <c r="B150" s="115"/>
      <c r="C150" s="115"/>
      <c r="D150" s="115"/>
      <c r="E150" s="115"/>
      <c r="F150" s="118"/>
      <c r="G150" s="115"/>
      <c r="H150" s="115"/>
      <c r="I150" s="115"/>
      <c r="J150" s="117"/>
      <c r="K150" s="115"/>
      <c r="L150" s="115"/>
      <c r="M150" s="115"/>
      <c r="N150" s="115"/>
      <c r="O150" s="118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 spans="1:26" ht="15.75" customHeight="1" x14ac:dyDescent="0.2">
      <c r="A151" s="117"/>
      <c r="B151" s="115"/>
      <c r="C151" s="115"/>
      <c r="D151" s="115"/>
      <c r="E151" s="115"/>
      <c r="F151" s="118"/>
      <c r="G151" s="115"/>
      <c r="H151" s="115"/>
      <c r="I151" s="115"/>
      <c r="J151" s="117"/>
      <c r="K151" s="115"/>
      <c r="L151" s="115"/>
      <c r="M151" s="115"/>
      <c r="N151" s="115"/>
      <c r="O151" s="118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 spans="1:26" ht="15.75" customHeight="1" x14ac:dyDescent="0.2">
      <c r="A152" s="117"/>
      <c r="B152" s="115"/>
      <c r="C152" s="115"/>
      <c r="D152" s="115"/>
      <c r="E152" s="115"/>
      <c r="F152" s="118"/>
      <c r="G152" s="115"/>
      <c r="H152" s="115"/>
      <c r="I152" s="115"/>
      <c r="J152" s="117"/>
      <c r="K152" s="115"/>
      <c r="L152" s="115"/>
      <c r="M152" s="115"/>
      <c r="N152" s="115"/>
      <c r="O152" s="118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 spans="1:26" ht="15.75" customHeight="1" x14ac:dyDescent="0.2">
      <c r="A153" s="117"/>
      <c r="B153" s="115"/>
      <c r="C153" s="115"/>
      <c r="D153" s="115"/>
      <c r="E153" s="115"/>
      <c r="F153" s="118"/>
      <c r="G153" s="115"/>
      <c r="H153" s="115"/>
      <c r="I153" s="115"/>
      <c r="J153" s="117"/>
      <c r="K153" s="115"/>
      <c r="L153" s="115"/>
      <c r="M153" s="115"/>
      <c r="N153" s="115"/>
      <c r="O153" s="118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 spans="1:26" ht="15.75" customHeight="1" x14ac:dyDescent="0.2">
      <c r="A154" s="117"/>
      <c r="B154" s="115"/>
      <c r="C154" s="115"/>
      <c r="D154" s="115"/>
      <c r="E154" s="115"/>
      <c r="F154" s="118"/>
      <c r="G154" s="115"/>
      <c r="H154" s="115"/>
      <c r="I154" s="115"/>
      <c r="J154" s="117"/>
      <c r="K154" s="115"/>
      <c r="L154" s="115"/>
      <c r="M154" s="115"/>
      <c r="N154" s="115"/>
      <c r="O154" s="118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 spans="1:26" ht="15.75" customHeight="1" x14ac:dyDescent="0.2">
      <c r="A155" s="117"/>
      <c r="B155" s="115"/>
      <c r="C155" s="115"/>
      <c r="D155" s="115"/>
      <c r="E155" s="115"/>
      <c r="F155" s="118"/>
      <c r="G155" s="115"/>
      <c r="H155" s="115"/>
      <c r="I155" s="115"/>
      <c r="J155" s="117"/>
      <c r="K155" s="115"/>
      <c r="L155" s="115"/>
      <c r="M155" s="115"/>
      <c r="N155" s="115"/>
      <c r="O155" s="118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 spans="1:26" ht="15.75" customHeight="1" x14ac:dyDescent="0.2">
      <c r="A156" s="117"/>
      <c r="B156" s="115"/>
      <c r="C156" s="115"/>
      <c r="D156" s="115"/>
      <c r="E156" s="115"/>
      <c r="F156" s="118"/>
      <c r="G156" s="115"/>
      <c r="H156" s="115"/>
      <c r="I156" s="115"/>
      <c r="J156" s="117"/>
      <c r="K156" s="115"/>
      <c r="L156" s="115"/>
      <c r="M156" s="115"/>
      <c r="N156" s="115"/>
      <c r="O156" s="118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 spans="1:26" ht="15.75" customHeight="1" x14ac:dyDescent="0.2">
      <c r="A157" s="117"/>
      <c r="B157" s="115"/>
      <c r="C157" s="115"/>
      <c r="D157" s="115"/>
      <c r="E157" s="115"/>
      <c r="F157" s="118"/>
      <c r="G157" s="115"/>
      <c r="H157" s="115"/>
      <c r="I157" s="115"/>
      <c r="J157" s="117"/>
      <c r="K157" s="115"/>
      <c r="L157" s="115"/>
      <c r="M157" s="115"/>
      <c r="N157" s="115"/>
      <c r="O157" s="118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 spans="1:26" ht="15.75" customHeight="1" x14ac:dyDescent="0.2">
      <c r="A158" s="117"/>
      <c r="B158" s="115"/>
      <c r="C158" s="115"/>
      <c r="D158" s="115"/>
      <c r="E158" s="115"/>
      <c r="F158" s="118"/>
      <c r="G158" s="115"/>
      <c r="H158" s="115"/>
      <c r="I158" s="115"/>
      <c r="J158" s="117"/>
      <c r="K158" s="115"/>
      <c r="L158" s="115"/>
      <c r="M158" s="115"/>
      <c r="N158" s="115"/>
      <c r="O158" s="118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 spans="1:26" ht="15.75" customHeight="1" x14ac:dyDescent="0.2">
      <c r="A159" s="117"/>
      <c r="B159" s="115"/>
      <c r="C159" s="115"/>
      <c r="D159" s="115"/>
      <c r="E159" s="115"/>
      <c r="F159" s="118"/>
      <c r="G159" s="115"/>
      <c r="H159" s="115"/>
      <c r="I159" s="115"/>
      <c r="J159" s="117"/>
      <c r="K159" s="115"/>
      <c r="L159" s="115"/>
      <c r="M159" s="115"/>
      <c r="N159" s="115"/>
      <c r="O159" s="118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 spans="1:26" ht="15.75" customHeight="1" x14ac:dyDescent="0.2">
      <c r="A160" s="117"/>
      <c r="B160" s="115"/>
      <c r="C160" s="115"/>
      <c r="D160" s="115"/>
      <c r="E160" s="115"/>
      <c r="F160" s="118"/>
      <c r="G160" s="115"/>
      <c r="H160" s="115"/>
      <c r="I160" s="115"/>
      <c r="J160" s="117"/>
      <c r="K160" s="115"/>
      <c r="L160" s="115"/>
      <c r="M160" s="115"/>
      <c r="N160" s="115"/>
      <c r="O160" s="118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 spans="1:26" ht="15.75" customHeight="1" x14ac:dyDescent="0.2">
      <c r="A161" s="117"/>
      <c r="B161" s="115"/>
      <c r="C161" s="115"/>
      <c r="D161" s="115"/>
      <c r="E161" s="115"/>
      <c r="F161" s="118"/>
      <c r="G161" s="115"/>
      <c r="H161" s="115"/>
      <c r="I161" s="115"/>
      <c r="J161" s="117"/>
      <c r="K161" s="115"/>
      <c r="L161" s="115"/>
      <c r="M161" s="115"/>
      <c r="N161" s="115"/>
      <c r="O161" s="118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 spans="1:26" ht="15.75" customHeight="1" x14ac:dyDescent="0.2">
      <c r="A162" s="117"/>
      <c r="B162" s="115"/>
      <c r="C162" s="115"/>
      <c r="D162" s="115"/>
      <c r="E162" s="115"/>
      <c r="F162" s="118"/>
      <c r="G162" s="115"/>
      <c r="H162" s="115"/>
      <c r="I162" s="115"/>
      <c r="J162" s="117"/>
      <c r="K162" s="115"/>
      <c r="L162" s="115"/>
      <c r="M162" s="115"/>
      <c r="N162" s="115"/>
      <c r="O162" s="118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spans="1:26" ht="15.75" customHeight="1" x14ac:dyDescent="0.2">
      <c r="A163" s="117"/>
      <c r="B163" s="115"/>
      <c r="C163" s="115"/>
      <c r="D163" s="115"/>
      <c r="E163" s="115"/>
      <c r="F163" s="118"/>
      <c r="G163" s="115"/>
      <c r="H163" s="115"/>
      <c r="I163" s="115"/>
      <c r="J163" s="117"/>
      <c r="K163" s="115"/>
      <c r="L163" s="115"/>
      <c r="M163" s="115"/>
      <c r="N163" s="115"/>
      <c r="O163" s="118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spans="1:26" ht="15.75" customHeight="1" x14ac:dyDescent="0.2">
      <c r="A164" s="117"/>
      <c r="B164" s="115"/>
      <c r="C164" s="115"/>
      <c r="D164" s="115"/>
      <c r="E164" s="115"/>
      <c r="F164" s="118"/>
      <c r="G164" s="115"/>
      <c r="H164" s="115"/>
      <c r="I164" s="115"/>
      <c r="J164" s="117"/>
      <c r="K164" s="115"/>
      <c r="L164" s="115"/>
      <c r="M164" s="115"/>
      <c r="N164" s="115"/>
      <c r="O164" s="118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 spans="1:26" ht="15.75" customHeight="1" x14ac:dyDescent="0.2">
      <c r="A165" s="117"/>
      <c r="B165" s="115"/>
      <c r="C165" s="115"/>
      <c r="D165" s="115"/>
      <c r="E165" s="115"/>
      <c r="F165" s="118"/>
      <c r="G165" s="115"/>
      <c r="H165" s="115"/>
      <c r="I165" s="115"/>
      <c r="J165" s="117"/>
      <c r="K165" s="115"/>
      <c r="L165" s="115"/>
      <c r="M165" s="115"/>
      <c r="N165" s="115"/>
      <c r="O165" s="118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 spans="1:26" ht="15.75" customHeight="1" x14ac:dyDescent="0.2">
      <c r="A166" s="117"/>
      <c r="B166" s="115"/>
      <c r="C166" s="115"/>
      <c r="D166" s="115"/>
      <c r="E166" s="115"/>
      <c r="F166" s="118"/>
      <c r="G166" s="115"/>
      <c r="H166" s="115"/>
      <c r="I166" s="115"/>
      <c r="J166" s="117"/>
      <c r="K166" s="115"/>
      <c r="L166" s="115"/>
      <c r="M166" s="115"/>
      <c r="N166" s="115"/>
      <c r="O166" s="118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 spans="1:26" ht="15.75" customHeight="1" x14ac:dyDescent="0.2">
      <c r="A167" s="117"/>
      <c r="B167" s="115"/>
      <c r="C167" s="115"/>
      <c r="D167" s="115"/>
      <c r="E167" s="115"/>
      <c r="F167" s="118"/>
      <c r="G167" s="115"/>
      <c r="H167" s="115"/>
      <c r="I167" s="115"/>
      <c r="J167" s="117"/>
      <c r="K167" s="115"/>
      <c r="L167" s="115"/>
      <c r="M167" s="115"/>
      <c r="N167" s="115"/>
      <c r="O167" s="118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 spans="1:26" ht="15.75" customHeight="1" x14ac:dyDescent="0.2">
      <c r="A168" s="117"/>
      <c r="B168" s="115"/>
      <c r="C168" s="115"/>
      <c r="D168" s="115"/>
      <c r="E168" s="115"/>
      <c r="F168" s="118"/>
      <c r="G168" s="115"/>
      <c r="H168" s="115"/>
      <c r="I168" s="115"/>
      <c r="J168" s="117"/>
      <c r="K168" s="115"/>
      <c r="L168" s="115"/>
      <c r="M168" s="115"/>
      <c r="N168" s="115"/>
      <c r="O168" s="118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 spans="1:26" ht="15.75" customHeight="1" x14ac:dyDescent="0.2">
      <c r="A169" s="117"/>
      <c r="B169" s="115"/>
      <c r="C169" s="115"/>
      <c r="D169" s="115"/>
      <c r="E169" s="115"/>
      <c r="F169" s="118"/>
      <c r="G169" s="115"/>
      <c r="H169" s="115"/>
      <c r="I169" s="115"/>
      <c r="J169" s="117"/>
      <c r="K169" s="115"/>
      <c r="L169" s="115"/>
      <c r="M169" s="115"/>
      <c r="N169" s="115"/>
      <c r="O169" s="118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 spans="1:26" ht="15.75" customHeight="1" x14ac:dyDescent="0.2">
      <c r="A170" s="117"/>
      <c r="B170" s="115"/>
      <c r="C170" s="115"/>
      <c r="D170" s="115"/>
      <c r="E170" s="115"/>
      <c r="F170" s="118"/>
      <c r="G170" s="115"/>
      <c r="H170" s="115"/>
      <c r="I170" s="115"/>
      <c r="J170" s="117"/>
      <c r="K170" s="115"/>
      <c r="L170" s="115"/>
      <c r="M170" s="115"/>
      <c r="N170" s="115"/>
      <c r="O170" s="118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 spans="1:26" ht="15.75" customHeight="1" x14ac:dyDescent="0.2">
      <c r="A171" s="117"/>
      <c r="B171" s="115"/>
      <c r="C171" s="115"/>
      <c r="D171" s="115"/>
      <c r="E171" s="115"/>
      <c r="F171" s="118"/>
      <c r="G171" s="115"/>
      <c r="H171" s="115"/>
      <c r="I171" s="115"/>
      <c r="J171" s="117"/>
      <c r="K171" s="115"/>
      <c r="L171" s="115"/>
      <c r="M171" s="115"/>
      <c r="N171" s="115"/>
      <c r="O171" s="118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 spans="1:26" ht="15.75" customHeight="1" x14ac:dyDescent="0.2">
      <c r="A172" s="117"/>
      <c r="B172" s="115"/>
      <c r="C172" s="115"/>
      <c r="D172" s="115"/>
      <c r="E172" s="115"/>
      <c r="F172" s="118"/>
      <c r="G172" s="115"/>
      <c r="H172" s="115"/>
      <c r="I172" s="115"/>
      <c r="J172" s="117"/>
      <c r="K172" s="115"/>
      <c r="L172" s="115"/>
      <c r="M172" s="115"/>
      <c r="N172" s="115"/>
      <c r="O172" s="118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 spans="1:26" ht="15.75" customHeight="1" x14ac:dyDescent="0.2">
      <c r="A173" s="117"/>
      <c r="B173" s="115"/>
      <c r="C173" s="115"/>
      <c r="D173" s="115"/>
      <c r="E173" s="115"/>
      <c r="F173" s="118"/>
      <c r="G173" s="115"/>
      <c r="H173" s="115"/>
      <c r="I173" s="115"/>
      <c r="J173" s="117"/>
      <c r="K173" s="115"/>
      <c r="L173" s="115"/>
      <c r="M173" s="115"/>
      <c r="N173" s="115"/>
      <c r="O173" s="118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 spans="1:26" ht="15.75" customHeight="1" x14ac:dyDescent="0.2">
      <c r="A174" s="117"/>
      <c r="B174" s="115"/>
      <c r="C174" s="115"/>
      <c r="D174" s="115"/>
      <c r="E174" s="115"/>
      <c r="F174" s="118"/>
      <c r="G174" s="115"/>
      <c r="H174" s="115"/>
      <c r="I174" s="115"/>
      <c r="J174" s="117"/>
      <c r="K174" s="115"/>
      <c r="L174" s="115"/>
      <c r="M174" s="115"/>
      <c r="N174" s="115"/>
      <c r="O174" s="118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 spans="1:26" ht="15.75" customHeight="1" x14ac:dyDescent="0.2">
      <c r="A175" s="117"/>
      <c r="B175" s="115"/>
      <c r="C175" s="115"/>
      <c r="D175" s="115"/>
      <c r="E175" s="115"/>
      <c r="F175" s="118"/>
      <c r="G175" s="115"/>
      <c r="H175" s="115"/>
      <c r="I175" s="115"/>
      <c r="J175" s="117"/>
      <c r="K175" s="115"/>
      <c r="L175" s="115"/>
      <c r="M175" s="115"/>
      <c r="N175" s="115"/>
      <c r="O175" s="118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 spans="1:26" ht="15.75" customHeight="1" x14ac:dyDescent="0.2">
      <c r="A176" s="117"/>
      <c r="B176" s="115"/>
      <c r="C176" s="115"/>
      <c r="D176" s="115"/>
      <c r="E176" s="115"/>
      <c r="F176" s="118"/>
      <c r="G176" s="115"/>
      <c r="H176" s="115"/>
      <c r="I176" s="115"/>
      <c r="J176" s="117"/>
      <c r="K176" s="115"/>
      <c r="L176" s="115"/>
      <c r="M176" s="115"/>
      <c r="N176" s="115"/>
      <c r="O176" s="118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 spans="1:26" ht="15.75" customHeight="1" x14ac:dyDescent="0.2">
      <c r="A177" s="117"/>
      <c r="B177" s="115"/>
      <c r="C177" s="115"/>
      <c r="D177" s="115"/>
      <c r="E177" s="115"/>
      <c r="F177" s="118"/>
      <c r="G177" s="115"/>
      <c r="H177" s="115"/>
      <c r="I177" s="115"/>
      <c r="J177" s="117"/>
      <c r="K177" s="115"/>
      <c r="L177" s="115"/>
      <c r="M177" s="115"/>
      <c r="N177" s="115"/>
      <c r="O177" s="118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 spans="1:26" ht="15.75" customHeight="1" x14ac:dyDescent="0.2">
      <c r="A178" s="117"/>
      <c r="B178" s="115"/>
      <c r="C178" s="115"/>
      <c r="D178" s="115"/>
      <c r="E178" s="115"/>
      <c r="F178" s="118"/>
      <c r="G178" s="115"/>
      <c r="H178" s="115"/>
      <c r="I178" s="115"/>
      <c r="J178" s="117"/>
      <c r="K178" s="115"/>
      <c r="L178" s="115"/>
      <c r="M178" s="115"/>
      <c r="N178" s="115"/>
      <c r="O178" s="118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 spans="1:26" ht="15.75" customHeight="1" x14ac:dyDescent="0.2">
      <c r="A179" s="117"/>
      <c r="B179" s="115"/>
      <c r="C179" s="115"/>
      <c r="D179" s="115"/>
      <c r="E179" s="115"/>
      <c r="F179" s="118"/>
      <c r="G179" s="115"/>
      <c r="H179" s="115"/>
      <c r="I179" s="115"/>
      <c r="J179" s="117"/>
      <c r="K179" s="115"/>
      <c r="L179" s="115"/>
      <c r="M179" s="115"/>
      <c r="N179" s="115"/>
      <c r="O179" s="118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 spans="1:26" ht="15.75" customHeight="1" x14ac:dyDescent="0.2">
      <c r="A180" s="117"/>
      <c r="B180" s="115"/>
      <c r="C180" s="115"/>
      <c r="D180" s="115"/>
      <c r="E180" s="115"/>
      <c r="F180" s="118"/>
      <c r="G180" s="115"/>
      <c r="H180" s="115"/>
      <c r="I180" s="115"/>
      <c r="J180" s="117"/>
      <c r="K180" s="115"/>
      <c r="L180" s="115"/>
      <c r="M180" s="115"/>
      <c r="N180" s="115"/>
      <c r="O180" s="118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 spans="1:26" ht="15.75" customHeight="1" x14ac:dyDescent="0.2">
      <c r="A181" s="117"/>
      <c r="B181" s="115"/>
      <c r="C181" s="115"/>
      <c r="D181" s="115"/>
      <c r="E181" s="115"/>
      <c r="F181" s="118"/>
      <c r="G181" s="115"/>
      <c r="H181" s="115"/>
      <c r="I181" s="115"/>
      <c r="J181" s="117"/>
      <c r="K181" s="115"/>
      <c r="L181" s="115"/>
      <c r="M181" s="115"/>
      <c r="N181" s="115"/>
      <c r="O181" s="118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spans="1:26" ht="15.75" customHeight="1" x14ac:dyDescent="0.2">
      <c r="A182" s="117"/>
      <c r="B182" s="115"/>
      <c r="C182" s="115"/>
      <c r="D182" s="115"/>
      <c r="E182" s="115"/>
      <c r="F182" s="118"/>
      <c r="G182" s="115"/>
      <c r="H182" s="115"/>
      <c r="I182" s="115"/>
      <c r="J182" s="117"/>
      <c r="K182" s="115"/>
      <c r="L182" s="115"/>
      <c r="M182" s="115"/>
      <c r="N182" s="115"/>
      <c r="O182" s="118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spans="1:26" ht="15.75" customHeight="1" x14ac:dyDescent="0.2">
      <c r="A183" s="117"/>
      <c r="B183" s="115"/>
      <c r="C183" s="115"/>
      <c r="D183" s="115"/>
      <c r="E183" s="115"/>
      <c r="F183" s="118"/>
      <c r="G183" s="115"/>
      <c r="H183" s="115"/>
      <c r="I183" s="115"/>
      <c r="J183" s="117"/>
      <c r="K183" s="115"/>
      <c r="L183" s="115"/>
      <c r="M183" s="115"/>
      <c r="N183" s="115"/>
      <c r="O183" s="118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 spans="1:26" ht="15.75" customHeight="1" x14ac:dyDescent="0.2">
      <c r="A184" s="117"/>
      <c r="B184" s="115"/>
      <c r="C184" s="115"/>
      <c r="D184" s="115"/>
      <c r="E184" s="115"/>
      <c r="F184" s="118"/>
      <c r="G184" s="115"/>
      <c r="H184" s="115"/>
      <c r="I184" s="115"/>
      <c r="J184" s="117"/>
      <c r="K184" s="115"/>
      <c r="L184" s="115"/>
      <c r="M184" s="115"/>
      <c r="N184" s="115"/>
      <c r="O184" s="118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 spans="1:26" ht="15.75" customHeight="1" x14ac:dyDescent="0.2">
      <c r="A185" s="117"/>
      <c r="B185" s="115"/>
      <c r="C185" s="115"/>
      <c r="D185" s="115"/>
      <c r="E185" s="115"/>
      <c r="F185" s="118"/>
      <c r="G185" s="115"/>
      <c r="H185" s="115"/>
      <c r="I185" s="115"/>
      <c r="J185" s="117"/>
      <c r="K185" s="115"/>
      <c r="L185" s="115"/>
      <c r="M185" s="115"/>
      <c r="N185" s="115"/>
      <c r="O185" s="118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 spans="1:26" ht="15.75" customHeight="1" x14ac:dyDescent="0.2">
      <c r="A186" s="117"/>
      <c r="B186" s="115"/>
      <c r="C186" s="115"/>
      <c r="D186" s="115"/>
      <c r="E186" s="115"/>
      <c r="F186" s="118"/>
      <c r="G186" s="115"/>
      <c r="H186" s="115"/>
      <c r="I186" s="115"/>
      <c r="J186" s="117"/>
      <c r="K186" s="115"/>
      <c r="L186" s="115"/>
      <c r="M186" s="115"/>
      <c r="N186" s="115"/>
      <c r="O186" s="118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 spans="1:26" ht="15.75" customHeight="1" x14ac:dyDescent="0.2">
      <c r="A187" s="117"/>
      <c r="B187" s="115"/>
      <c r="C187" s="115"/>
      <c r="D187" s="115"/>
      <c r="E187" s="115"/>
      <c r="F187" s="118"/>
      <c r="G187" s="115"/>
      <c r="H187" s="115"/>
      <c r="I187" s="115"/>
      <c r="J187" s="117"/>
      <c r="K187" s="115"/>
      <c r="L187" s="115"/>
      <c r="M187" s="115"/>
      <c r="N187" s="115"/>
      <c r="O187" s="118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 spans="1:26" ht="15.75" customHeight="1" x14ac:dyDescent="0.2">
      <c r="A188" s="117"/>
      <c r="B188" s="115"/>
      <c r="C188" s="115"/>
      <c r="D188" s="115"/>
      <c r="E188" s="115"/>
      <c r="F188" s="118"/>
      <c r="G188" s="115"/>
      <c r="H188" s="115"/>
      <c r="I188" s="115"/>
      <c r="J188" s="117"/>
      <c r="K188" s="115"/>
      <c r="L188" s="115"/>
      <c r="M188" s="115"/>
      <c r="N188" s="115"/>
      <c r="O188" s="118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 spans="1:26" ht="15.75" customHeight="1" x14ac:dyDescent="0.2">
      <c r="A189" s="117"/>
      <c r="B189" s="115"/>
      <c r="C189" s="115"/>
      <c r="D189" s="115"/>
      <c r="E189" s="115"/>
      <c r="F189" s="118"/>
      <c r="G189" s="115"/>
      <c r="H189" s="115"/>
      <c r="I189" s="115"/>
      <c r="J189" s="117"/>
      <c r="K189" s="115"/>
      <c r="L189" s="115"/>
      <c r="M189" s="115"/>
      <c r="N189" s="115"/>
      <c r="O189" s="118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 spans="1:26" ht="15.75" customHeight="1" x14ac:dyDescent="0.2">
      <c r="A190" s="117"/>
      <c r="B190" s="115"/>
      <c r="C190" s="115"/>
      <c r="D190" s="115"/>
      <c r="E190" s="115"/>
      <c r="F190" s="118"/>
      <c r="G190" s="115"/>
      <c r="H190" s="115"/>
      <c r="I190" s="115"/>
      <c r="J190" s="117"/>
      <c r="K190" s="115"/>
      <c r="L190" s="115"/>
      <c r="M190" s="115"/>
      <c r="N190" s="115"/>
      <c r="O190" s="118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 spans="1:26" ht="15.75" customHeight="1" x14ac:dyDescent="0.2">
      <c r="A191" s="117"/>
      <c r="B191" s="115"/>
      <c r="C191" s="115"/>
      <c r="D191" s="115"/>
      <c r="E191" s="115"/>
      <c r="F191" s="118"/>
      <c r="G191" s="115"/>
      <c r="H191" s="115"/>
      <c r="I191" s="115"/>
      <c r="J191" s="117"/>
      <c r="K191" s="115"/>
      <c r="L191" s="115"/>
      <c r="M191" s="115"/>
      <c r="N191" s="115"/>
      <c r="O191" s="118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 spans="1:26" ht="15.75" customHeight="1" x14ac:dyDescent="0.2">
      <c r="A192" s="117"/>
      <c r="B192" s="115"/>
      <c r="C192" s="115"/>
      <c r="D192" s="115"/>
      <c r="E192" s="115"/>
      <c r="F192" s="118"/>
      <c r="G192" s="115"/>
      <c r="H192" s="115"/>
      <c r="I192" s="115"/>
      <c r="J192" s="117"/>
      <c r="K192" s="115"/>
      <c r="L192" s="115"/>
      <c r="M192" s="115"/>
      <c r="N192" s="115"/>
      <c r="O192" s="118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 spans="1:26" ht="15.75" customHeight="1" x14ac:dyDescent="0.2">
      <c r="A193" s="117"/>
      <c r="B193" s="115"/>
      <c r="C193" s="115"/>
      <c r="D193" s="115"/>
      <c r="E193" s="115"/>
      <c r="F193" s="118"/>
      <c r="G193" s="115"/>
      <c r="H193" s="115"/>
      <c r="I193" s="115"/>
      <c r="J193" s="117"/>
      <c r="K193" s="115"/>
      <c r="L193" s="115"/>
      <c r="M193" s="115"/>
      <c r="N193" s="115"/>
      <c r="O193" s="118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 spans="1:26" ht="15.75" customHeight="1" x14ac:dyDescent="0.2">
      <c r="A194" s="117"/>
      <c r="B194" s="115"/>
      <c r="C194" s="115"/>
      <c r="D194" s="115"/>
      <c r="E194" s="115"/>
      <c r="F194" s="118"/>
      <c r="G194" s="115"/>
      <c r="H194" s="115"/>
      <c r="I194" s="115"/>
      <c r="J194" s="117"/>
      <c r="K194" s="115"/>
      <c r="L194" s="115"/>
      <c r="M194" s="115"/>
      <c r="N194" s="115"/>
      <c r="O194" s="118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 spans="1:26" ht="15.75" customHeight="1" x14ac:dyDescent="0.2">
      <c r="A195" s="117"/>
      <c r="B195" s="115"/>
      <c r="C195" s="115"/>
      <c r="D195" s="115"/>
      <c r="E195" s="115"/>
      <c r="F195" s="118"/>
      <c r="G195" s="115"/>
      <c r="H195" s="115"/>
      <c r="I195" s="115"/>
      <c r="J195" s="117"/>
      <c r="K195" s="115"/>
      <c r="L195" s="115"/>
      <c r="M195" s="115"/>
      <c r="N195" s="115"/>
      <c r="O195" s="118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 spans="1:26" ht="15.75" customHeight="1" x14ac:dyDescent="0.2">
      <c r="A196" s="117"/>
      <c r="B196" s="115"/>
      <c r="C196" s="115"/>
      <c r="D196" s="115"/>
      <c r="E196" s="115"/>
      <c r="F196" s="118"/>
      <c r="G196" s="115"/>
      <c r="H196" s="115"/>
      <c r="I196" s="115"/>
      <c r="J196" s="117"/>
      <c r="K196" s="115"/>
      <c r="L196" s="115"/>
      <c r="M196" s="115"/>
      <c r="N196" s="115"/>
      <c r="O196" s="118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spans="1:26" ht="15.75" customHeight="1" x14ac:dyDescent="0.2">
      <c r="A197" s="117"/>
      <c r="B197" s="115"/>
      <c r="C197" s="115"/>
      <c r="D197" s="115"/>
      <c r="E197" s="115"/>
      <c r="F197" s="118"/>
      <c r="G197" s="115"/>
      <c r="H197" s="115"/>
      <c r="I197" s="115"/>
      <c r="J197" s="117"/>
      <c r="K197" s="115"/>
      <c r="L197" s="115"/>
      <c r="M197" s="115"/>
      <c r="N197" s="115"/>
      <c r="O197" s="118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spans="1:26" ht="15.75" customHeight="1" x14ac:dyDescent="0.2">
      <c r="A198" s="117"/>
      <c r="B198" s="115"/>
      <c r="C198" s="115"/>
      <c r="D198" s="115"/>
      <c r="E198" s="115"/>
      <c r="F198" s="118"/>
      <c r="G198" s="115"/>
      <c r="H198" s="115"/>
      <c r="I198" s="115"/>
      <c r="J198" s="117"/>
      <c r="K198" s="115"/>
      <c r="L198" s="115"/>
      <c r="M198" s="115"/>
      <c r="N198" s="115"/>
      <c r="O198" s="118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spans="1:26" ht="15.75" customHeight="1" x14ac:dyDescent="0.2">
      <c r="A199" s="117"/>
      <c r="B199" s="115"/>
      <c r="C199" s="115"/>
      <c r="D199" s="115"/>
      <c r="E199" s="115"/>
      <c r="F199" s="118"/>
      <c r="G199" s="115"/>
      <c r="H199" s="115"/>
      <c r="I199" s="115"/>
      <c r="J199" s="117"/>
      <c r="K199" s="115"/>
      <c r="L199" s="115"/>
      <c r="M199" s="115"/>
      <c r="N199" s="115"/>
      <c r="O199" s="118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spans="1:26" ht="15.75" customHeight="1" x14ac:dyDescent="0.2">
      <c r="A200" s="117"/>
      <c r="B200" s="115"/>
      <c r="C200" s="115"/>
      <c r="D200" s="115"/>
      <c r="E200" s="115"/>
      <c r="F200" s="118"/>
      <c r="G200" s="115"/>
      <c r="H200" s="115"/>
      <c r="I200" s="115"/>
      <c r="J200" s="117"/>
      <c r="K200" s="115"/>
      <c r="L200" s="115"/>
      <c r="M200" s="115"/>
      <c r="N200" s="115"/>
      <c r="O200" s="118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spans="1:26" ht="15.75" customHeight="1" x14ac:dyDescent="0.2">
      <c r="A201" s="117"/>
      <c r="B201" s="115"/>
      <c r="C201" s="115"/>
      <c r="D201" s="115"/>
      <c r="E201" s="115"/>
      <c r="F201" s="118"/>
      <c r="G201" s="115"/>
      <c r="H201" s="115"/>
      <c r="I201" s="115"/>
      <c r="J201" s="117"/>
      <c r="K201" s="115"/>
      <c r="L201" s="115"/>
      <c r="M201" s="115"/>
      <c r="N201" s="115"/>
      <c r="O201" s="118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spans="1:26" ht="15.75" customHeight="1" x14ac:dyDescent="0.2">
      <c r="A202" s="117"/>
      <c r="B202" s="115"/>
      <c r="C202" s="115"/>
      <c r="D202" s="115"/>
      <c r="E202" s="115"/>
      <c r="F202" s="118"/>
      <c r="G202" s="115"/>
      <c r="H202" s="115"/>
      <c r="I202" s="115"/>
      <c r="J202" s="117"/>
      <c r="K202" s="115"/>
      <c r="L202" s="115"/>
      <c r="M202" s="115"/>
      <c r="N202" s="115"/>
      <c r="O202" s="118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spans="1:26" ht="15.75" customHeight="1" x14ac:dyDescent="0.2">
      <c r="A203" s="117"/>
      <c r="B203" s="115"/>
      <c r="C203" s="115"/>
      <c r="D203" s="115"/>
      <c r="E203" s="115"/>
      <c r="F203" s="118"/>
      <c r="G203" s="115"/>
      <c r="H203" s="115"/>
      <c r="I203" s="115"/>
      <c r="J203" s="117"/>
      <c r="K203" s="115"/>
      <c r="L203" s="115"/>
      <c r="M203" s="115"/>
      <c r="N203" s="115"/>
      <c r="O203" s="118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spans="1:26" ht="15.75" customHeight="1" x14ac:dyDescent="0.2">
      <c r="A204" s="117"/>
      <c r="B204" s="115"/>
      <c r="C204" s="115"/>
      <c r="D204" s="115"/>
      <c r="E204" s="115"/>
      <c r="F204" s="118"/>
      <c r="G204" s="115"/>
      <c r="H204" s="115"/>
      <c r="I204" s="115"/>
      <c r="J204" s="117"/>
      <c r="K204" s="115"/>
      <c r="L204" s="115"/>
      <c r="M204" s="115"/>
      <c r="N204" s="115"/>
      <c r="O204" s="118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spans="1:26" ht="15.75" customHeight="1" x14ac:dyDescent="0.2">
      <c r="A205" s="117"/>
      <c r="B205" s="115"/>
      <c r="C205" s="115"/>
      <c r="D205" s="115"/>
      <c r="E205" s="115"/>
      <c r="F205" s="118"/>
      <c r="G205" s="115"/>
      <c r="H205" s="115"/>
      <c r="I205" s="115"/>
      <c r="J205" s="117"/>
      <c r="K205" s="115"/>
      <c r="L205" s="115"/>
      <c r="M205" s="115"/>
      <c r="N205" s="115"/>
      <c r="O205" s="118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spans="1:26" ht="15.75" customHeight="1" x14ac:dyDescent="0.2">
      <c r="A206" s="117"/>
      <c r="B206" s="115"/>
      <c r="C206" s="115"/>
      <c r="D206" s="115"/>
      <c r="E206" s="115"/>
      <c r="F206" s="118"/>
      <c r="G206" s="115"/>
      <c r="H206" s="115"/>
      <c r="I206" s="115"/>
      <c r="J206" s="117"/>
      <c r="K206" s="115"/>
      <c r="L206" s="115"/>
      <c r="M206" s="115"/>
      <c r="N206" s="115"/>
      <c r="O206" s="118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spans="1:26" ht="15.75" customHeight="1" x14ac:dyDescent="0.2">
      <c r="A207" s="117"/>
      <c r="B207" s="115"/>
      <c r="C207" s="115"/>
      <c r="D207" s="115"/>
      <c r="E207" s="115"/>
      <c r="F207" s="118"/>
      <c r="G207" s="115"/>
      <c r="H207" s="115"/>
      <c r="I207" s="115"/>
      <c r="J207" s="117"/>
      <c r="K207" s="115"/>
      <c r="L207" s="115"/>
      <c r="M207" s="115"/>
      <c r="N207" s="115"/>
      <c r="O207" s="118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spans="1:26" ht="15.75" customHeight="1" x14ac:dyDescent="0.2">
      <c r="A208" s="117"/>
      <c r="B208" s="115"/>
      <c r="C208" s="115"/>
      <c r="D208" s="115"/>
      <c r="E208" s="115"/>
      <c r="F208" s="118"/>
      <c r="G208" s="115"/>
      <c r="H208" s="115"/>
      <c r="I208" s="115"/>
      <c r="J208" s="117"/>
      <c r="K208" s="115"/>
      <c r="L208" s="115"/>
      <c r="M208" s="115"/>
      <c r="N208" s="115"/>
      <c r="O208" s="118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spans="1:26" ht="15.75" customHeight="1" x14ac:dyDescent="0.2">
      <c r="A209" s="117"/>
      <c r="B209" s="115"/>
      <c r="C209" s="115"/>
      <c r="D209" s="115"/>
      <c r="E209" s="115"/>
      <c r="F209" s="118"/>
      <c r="G209" s="115"/>
      <c r="H209" s="115"/>
      <c r="I209" s="115"/>
      <c r="J209" s="117"/>
      <c r="K209" s="115"/>
      <c r="L209" s="115"/>
      <c r="M209" s="115"/>
      <c r="N209" s="115"/>
      <c r="O209" s="118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spans="1:26" ht="15.75" customHeight="1" x14ac:dyDescent="0.2">
      <c r="A210" s="117"/>
      <c r="B210" s="115"/>
      <c r="C210" s="115"/>
      <c r="D210" s="115"/>
      <c r="E210" s="115"/>
      <c r="F210" s="118"/>
      <c r="G210" s="115"/>
      <c r="H210" s="115"/>
      <c r="I210" s="115"/>
      <c r="J210" s="117"/>
      <c r="K210" s="115"/>
      <c r="L210" s="115"/>
      <c r="M210" s="115"/>
      <c r="N210" s="115"/>
      <c r="O210" s="118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spans="1:26" ht="15.75" customHeight="1" x14ac:dyDescent="0.2">
      <c r="A211" s="117"/>
      <c r="B211" s="115"/>
      <c r="C211" s="115"/>
      <c r="D211" s="115"/>
      <c r="E211" s="115"/>
      <c r="F211" s="118"/>
      <c r="G211" s="115"/>
      <c r="H211" s="115"/>
      <c r="I211" s="115"/>
      <c r="J211" s="117"/>
      <c r="K211" s="115"/>
      <c r="L211" s="115"/>
      <c r="M211" s="115"/>
      <c r="N211" s="115"/>
      <c r="O211" s="118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spans="1:26" ht="15.75" customHeight="1" x14ac:dyDescent="0.2">
      <c r="A212" s="117"/>
      <c r="B212" s="115"/>
      <c r="C212" s="115"/>
      <c r="D212" s="115"/>
      <c r="E212" s="115"/>
      <c r="F212" s="118"/>
      <c r="G212" s="115"/>
      <c r="H212" s="115"/>
      <c r="I212" s="115"/>
      <c r="J212" s="117"/>
      <c r="K212" s="115"/>
      <c r="L212" s="115"/>
      <c r="M212" s="115"/>
      <c r="N212" s="115"/>
      <c r="O212" s="118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spans="1:26" ht="15.75" customHeight="1" x14ac:dyDescent="0.2">
      <c r="A213" s="117"/>
      <c r="B213" s="115"/>
      <c r="C213" s="115"/>
      <c r="D213" s="115"/>
      <c r="E213" s="115"/>
      <c r="F213" s="118"/>
      <c r="G213" s="115"/>
      <c r="H213" s="115"/>
      <c r="I213" s="115"/>
      <c r="J213" s="117"/>
      <c r="K213" s="115"/>
      <c r="L213" s="115"/>
      <c r="M213" s="115"/>
      <c r="N213" s="115"/>
      <c r="O213" s="118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spans="1:26" ht="15.75" customHeight="1" x14ac:dyDescent="0.2">
      <c r="A214" s="117"/>
      <c r="B214" s="115"/>
      <c r="C214" s="115"/>
      <c r="D214" s="115"/>
      <c r="E214" s="115"/>
      <c r="F214" s="118"/>
      <c r="G214" s="115"/>
      <c r="H214" s="115"/>
      <c r="I214" s="115"/>
      <c r="J214" s="117"/>
      <c r="K214" s="115"/>
      <c r="L214" s="115"/>
      <c r="M214" s="115"/>
      <c r="N214" s="115"/>
      <c r="O214" s="118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spans="1:26" ht="15.75" customHeight="1" x14ac:dyDescent="0.2">
      <c r="A215" s="117"/>
      <c r="B215" s="115"/>
      <c r="C215" s="115"/>
      <c r="D215" s="115"/>
      <c r="E215" s="115"/>
      <c r="F215" s="118"/>
      <c r="G215" s="115"/>
      <c r="H215" s="115"/>
      <c r="I215" s="115"/>
      <c r="J215" s="117"/>
      <c r="K215" s="115"/>
      <c r="L215" s="115"/>
      <c r="M215" s="115"/>
      <c r="N215" s="115"/>
      <c r="O215" s="118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spans="1:26" ht="15.75" customHeight="1" x14ac:dyDescent="0.2">
      <c r="A216" s="117"/>
      <c r="B216" s="115"/>
      <c r="C216" s="115"/>
      <c r="D216" s="115"/>
      <c r="E216" s="115"/>
      <c r="F216" s="118"/>
      <c r="G216" s="115"/>
      <c r="H216" s="115"/>
      <c r="I216" s="115"/>
      <c r="J216" s="117"/>
      <c r="K216" s="115"/>
      <c r="L216" s="115"/>
      <c r="M216" s="115"/>
      <c r="N216" s="115"/>
      <c r="O216" s="118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spans="1:26" ht="15.75" customHeight="1" x14ac:dyDescent="0.2">
      <c r="A217" s="117"/>
      <c r="B217" s="115"/>
      <c r="C217" s="115"/>
      <c r="D217" s="115"/>
      <c r="E217" s="115"/>
      <c r="F217" s="118"/>
      <c r="G217" s="115"/>
      <c r="H217" s="115"/>
      <c r="I217" s="115"/>
      <c r="J217" s="117"/>
      <c r="K217" s="115"/>
      <c r="L217" s="115"/>
      <c r="M217" s="115"/>
      <c r="N217" s="115"/>
      <c r="O217" s="118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spans="1:26" ht="15.75" customHeight="1" x14ac:dyDescent="0.2">
      <c r="A218" s="117"/>
      <c r="B218" s="115"/>
      <c r="C218" s="115"/>
      <c r="D218" s="115"/>
      <c r="E218" s="115"/>
      <c r="F218" s="118"/>
      <c r="G218" s="115"/>
      <c r="H218" s="115"/>
      <c r="I218" s="115"/>
      <c r="J218" s="117"/>
      <c r="K218" s="115"/>
      <c r="L218" s="115"/>
      <c r="M218" s="115"/>
      <c r="N218" s="115"/>
      <c r="O218" s="118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spans="1:26" ht="15.75" customHeight="1" x14ac:dyDescent="0.2">
      <c r="A219" s="117"/>
      <c r="B219" s="115"/>
      <c r="C219" s="115"/>
      <c r="D219" s="115"/>
      <c r="E219" s="115"/>
      <c r="F219" s="118"/>
      <c r="G219" s="115"/>
      <c r="H219" s="115"/>
      <c r="I219" s="115"/>
      <c r="J219" s="117"/>
      <c r="K219" s="115"/>
      <c r="L219" s="115"/>
      <c r="M219" s="115"/>
      <c r="N219" s="115"/>
      <c r="O219" s="118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 spans="1:26" ht="15.75" customHeight="1" x14ac:dyDescent="0.2">
      <c r="A220" s="117"/>
      <c r="B220" s="115"/>
      <c r="C220" s="115"/>
      <c r="D220" s="115"/>
      <c r="E220" s="115"/>
      <c r="F220" s="118"/>
      <c r="G220" s="115"/>
      <c r="H220" s="115"/>
      <c r="I220" s="115"/>
      <c r="J220" s="117"/>
      <c r="K220" s="115"/>
      <c r="L220" s="115"/>
      <c r="M220" s="115"/>
      <c r="N220" s="115"/>
      <c r="O220" s="118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 spans="1:26" ht="15.75" customHeight="1" x14ac:dyDescent="0.2">
      <c r="A221" s="117"/>
      <c r="B221" s="115"/>
      <c r="C221" s="115"/>
      <c r="D221" s="115"/>
      <c r="E221" s="115"/>
      <c r="F221" s="118"/>
      <c r="G221" s="115"/>
      <c r="H221" s="115"/>
      <c r="I221" s="115"/>
      <c r="J221" s="117"/>
      <c r="K221" s="115"/>
      <c r="L221" s="115"/>
      <c r="M221" s="115"/>
      <c r="N221" s="115"/>
      <c r="O221" s="118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spans="1:26" ht="15.75" customHeight="1" x14ac:dyDescent="0.2">
      <c r="A222" s="117"/>
      <c r="B222" s="115"/>
      <c r="C222" s="115"/>
      <c r="D222" s="115"/>
      <c r="E222" s="115"/>
      <c r="F222" s="118"/>
      <c r="G222" s="115"/>
      <c r="H222" s="115"/>
      <c r="I222" s="115"/>
      <c r="J222" s="117"/>
      <c r="K222" s="115"/>
      <c r="L222" s="115"/>
      <c r="M222" s="115"/>
      <c r="N222" s="115"/>
      <c r="O222" s="118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spans="1:26" ht="15.75" customHeight="1" x14ac:dyDescent="0.2">
      <c r="A223" s="117"/>
      <c r="B223" s="115"/>
      <c r="C223" s="115"/>
      <c r="D223" s="115"/>
      <c r="E223" s="115"/>
      <c r="F223" s="118"/>
      <c r="G223" s="115"/>
      <c r="H223" s="115"/>
      <c r="I223" s="115"/>
      <c r="J223" s="117"/>
      <c r="K223" s="115"/>
      <c r="L223" s="115"/>
      <c r="M223" s="115"/>
      <c r="N223" s="115"/>
      <c r="O223" s="118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spans="1:26" ht="15.75" customHeight="1" x14ac:dyDescent="0.2">
      <c r="A224" s="117"/>
      <c r="B224" s="115"/>
      <c r="C224" s="115"/>
      <c r="D224" s="115"/>
      <c r="E224" s="115"/>
      <c r="F224" s="118"/>
      <c r="G224" s="115"/>
      <c r="H224" s="115"/>
      <c r="I224" s="115"/>
      <c r="J224" s="117"/>
      <c r="K224" s="115"/>
      <c r="L224" s="115"/>
      <c r="M224" s="115"/>
      <c r="N224" s="115"/>
      <c r="O224" s="118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spans="1:26" ht="15.75" customHeight="1" x14ac:dyDescent="0.2">
      <c r="A225" s="117"/>
      <c r="B225" s="115"/>
      <c r="C225" s="115"/>
      <c r="D225" s="115"/>
      <c r="E225" s="115"/>
      <c r="F225" s="118"/>
      <c r="G225" s="115"/>
      <c r="H225" s="115"/>
      <c r="I225" s="115"/>
      <c r="J225" s="117"/>
      <c r="K225" s="115"/>
      <c r="L225" s="115"/>
      <c r="M225" s="115"/>
      <c r="N225" s="115"/>
      <c r="O225" s="118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spans="1:26" ht="15.75" customHeight="1" x14ac:dyDescent="0.2">
      <c r="A226" s="117"/>
      <c r="B226" s="115"/>
      <c r="C226" s="115"/>
      <c r="D226" s="115"/>
      <c r="E226" s="115"/>
      <c r="F226" s="118"/>
      <c r="G226" s="115"/>
      <c r="H226" s="115"/>
      <c r="I226" s="115"/>
      <c r="J226" s="117"/>
      <c r="K226" s="115"/>
      <c r="L226" s="115"/>
      <c r="M226" s="115"/>
      <c r="N226" s="115"/>
      <c r="O226" s="118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spans="1:26" ht="15.75" customHeight="1" x14ac:dyDescent="0.2">
      <c r="A227" s="117"/>
      <c r="B227" s="115"/>
      <c r="C227" s="115"/>
      <c r="D227" s="115"/>
      <c r="E227" s="115"/>
      <c r="F227" s="118"/>
      <c r="G227" s="115"/>
      <c r="H227" s="115"/>
      <c r="I227" s="115"/>
      <c r="J227" s="117"/>
      <c r="K227" s="115"/>
      <c r="L227" s="115"/>
      <c r="M227" s="115"/>
      <c r="N227" s="115"/>
      <c r="O227" s="118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spans="1:26" ht="15.75" customHeight="1" x14ac:dyDescent="0.2">
      <c r="A228" s="117"/>
      <c r="B228" s="115"/>
      <c r="C228" s="115"/>
      <c r="D228" s="115"/>
      <c r="E228" s="115"/>
      <c r="F228" s="118"/>
      <c r="G228" s="115"/>
      <c r="H228" s="115"/>
      <c r="I228" s="115"/>
      <c r="J228" s="117"/>
      <c r="K228" s="115"/>
      <c r="L228" s="115"/>
      <c r="M228" s="115"/>
      <c r="N228" s="115"/>
      <c r="O228" s="118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spans="1:26" ht="15.75" customHeight="1" x14ac:dyDescent="0.2">
      <c r="A229" s="117"/>
      <c r="B229" s="115"/>
      <c r="C229" s="115"/>
      <c r="D229" s="115"/>
      <c r="E229" s="115"/>
      <c r="F229" s="118"/>
      <c r="G229" s="115"/>
      <c r="H229" s="115"/>
      <c r="I229" s="115"/>
      <c r="J229" s="117"/>
      <c r="K229" s="115"/>
      <c r="L229" s="115"/>
      <c r="M229" s="115"/>
      <c r="N229" s="115"/>
      <c r="O229" s="118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spans="1:26" ht="15.75" customHeight="1" x14ac:dyDescent="0.2">
      <c r="A230" s="117"/>
      <c r="B230" s="115"/>
      <c r="C230" s="115"/>
      <c r="D230" s="115"/>
      <c r="E230" s="115"/>
      <c r="F230" s="118"/>
      <c r="G230" s="115"/>
      <c r="H230" s="115"/>
      <c r="I230" s="115"/>
      <c r="J230" s="117"/>
      <c r="K230" s="115"/>
      <c r="L230" s="115"/>
      <c r="M230" s="115"/>
      <c r="N230" s="115"/>
      <c r="O230" s="118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spans="1:26" ht="15.75" customHeight="1" x14ac:dyDescent="0.2">
      <c r="A231" s="117"/>
      <c r="B231" s="115"/>
      <c r="C231" s="115"/>
      <c r="D231" s="115"/>
      <c r="E231" s="115"/>
      <c r="F231" s="118"/>
      <c r="G231" s="115"/>
      <c r="H231" s="115"/>
      <c r="I231" s="115"/>
      <c r="J231" s="117"/>
      <c r="K231" s="115"/>
      <c r="L231" s="115"/>
      <c r="M231" s="115"/>
      <c r="N231" s="115"/>
      <c r="O231" s="118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spans="1:26" ht="15.75" customHeight="1" x14ac:dyDescent="0.2">
      <c r="A232" s="117"/>
      <c r="B232" s="115"/>
      <c r="C232" s="115"/>
      <c r="D232" s="115"/>
      <c r="E232" s="115"/>
      <c r="F232" s="118"/>
      <c r="G232" s="115"/>
      <c r="H232" s="115"/>
      <c r="I232" s="115"/>
      <c r="J232" s="117"/>
      <c r="K232" s="115"/>
      <c r="L232" s="115"/>
      <c r="M232" s="115"/>
      <c r="N232" s="115"/>
      <c r="O232" s="118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spans="1:26" ht="15.75" customHeight="1" x14ac:dyDescent="0.2">
      <c r="A233" s="117"/>
      <c r="B233" s="115"/>
      <c r="C233" s="115"/>
      <c r="D233" s="115"/>
      <c r="E233" s="115"/>
      <c r="F233" s="118"/>
      <c r="G233" s="115"/>
      <c r="H233" s="115"/>
      <c r="I233" s="115"/>
      <c r="J233" s="117"/>
      <c r="K233" s="115"/>
      <c r="L233" s="115"/>
      <c r="M233" s="115"/>
      <c r="N233" s="115"/>
      <c r="O233" s="118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spans="1:26" ht="15.75" customHeight="1" x14ac:dyDescent="0.2">
      <c r="A234" s="117"/>
      <c r="B234" s="115"/>
      <c r="C234" s="115"/>
      <c r="D234" s="115"/>
      <c r="E234" s="115"/>
      <c r="F234" s="118"/>
      <c r="G234" s="115"/>
      <c r="H234" s="115"/>
      <c r="I234" s="115"/>
      <c r="J234" s="117"/>
      <c r="K234" s="115"/>
      <c r="L234" s="115"/>
      <c r="M234" s="115"/>
      <c r="N234" s="115"/>
      <c r="O234" s="118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spans="1:26" ht="15.75" customHeight="1" x14ac:dyDescent="0.2">
      <c r="A235" s="117"/>
      <c r="B235" s="115"/>
      <c r="C235" s="115"/>
      <c r="D235" s="115"/>
      <c r="E235" s="115"/>
      <c r="F235" s="118"/>
      <c r="G235" s="115"/>
      <c r="H235" s="115"/>
      <c r="I235" s="115"/>
      <c r="J235" s="117"/>
      <c r="K235" s="115"/>
      <c r="L235" s="115"/>
      <c r="M235" s="115"/>
      <c r="N235" s="115"/>
      <c r="O235" s="118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 spans="1:26" ht="15.75" customHeight="1" x14ac:dyDescent="0.2">
      <c r="A236" s="117"/>
      <c r="B236" s="115"/>
      <c r="C236" s="115"/>
      <c r="D236" s="115"/>
      <c r="E236" s="115"/>
      <c r="F236" s="118"/>
      <c r="G236" s="115"/>
      <c r="H236" s="115"/>
      <c r="I236" s="115"/>
      <c r="J236" s="117"/>
      <c r="K236" s="115"/>
      <c r="L236" s="115"/>
      <c r="M236" s="115"/>
      <c r="N236" s="115"/>
      <c r="O236" s="118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 spans="1:26" ht="15.75" customHeight="1" x14ac:dyDescent="0.2">
      <c r="A237" s="117"/>
      <c r="B237" s="115"/>
      <c r="C237" s="115"/>
      <c r="D237" s="115"/>
      <c r="E237" s="115"/>
      <c r="F237" s="118"/>
      <c r="G237" s="115"/>
      <c r="H237" s="115"/>
      <c r="I237" s="115"/>
      <c r="J237" s="117"/>
      <c r="K237" s="115"/>
      <c r="L237" s="115"/>
      <c r="M237" s="115"/>
      <c r="N237" s="115"/>
      <c r="O237" s="118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 spans="1:26" ht="15.75" customHeight="1" x14ac:dyDescent="0.2">
      <c r="A238" s="117"/>
      <c r="B238" s="115"/>
      <c r="C238" s="115"/>
      <c r="D238" s="115"/>
      <c r="E238" s="115"/>
      <c r="F238" s="118"/>
      <c r="G238" s="115"/>
      <c r="H238" s="115"/>
      <c r="I238" s="115"/>
      <c r="J238" s="117"/>
      <c r="K238" s="115"/>
      <c r="L238" s="115"/>
      <c r="M238" s="115"/>
      <c r="N238" s="115"/>
      <c r="O238" s="118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 spans="1:26" ht="15.75" customHeight="1" x14ac:dyDescent="0.2">
      <c r="A239" s="117"/>
      <c r="B239" s="115"/>
      <c r="C239" s="115"/>
      <c r="D239" s="115"/>
      <c r="E239" s="115"/>
      <c r="F239" s="118"/>
      <c r="G239" s="115"/>
      <c r="H239" s="115"/>
      <c r="I239" s="115"/>
      <c r="J239" s="117"/>
      <c r="K239" s="115"/>
      <c r="L239" s="115"/>
      <c r="M239" s="115"/>
      <c r="N239" s="115"/>
      <c r="O239" s="118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 spans="1:26" ht="15.75" customHeight="1" x14ac:dyDescent="0.2">
      <c r="A240" s="117"/>
      <c r="B240" s="115"/>
      <c r="C240" s="115"/>
      <c r="D240" s="115"/>
      <c r="E240" s="115"/>
      <c r="F240" s="118"/>
      <c r="G240" s="115"/>
      <c r="H240" s="115"/>
      <c r="I240" s="115"/>
      <c r="J240" s="117"/>
      <c r="K240" s="115"/>
      <c r="L240" s="115"/>
      <c r="M240" s="115"/>
      <c r="N240" s="115"/>
      <c r="O240" s="118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 spans="1:26" ht="15.75" customHeight="1" x14ac:dyDescent="0.2">
      <c r="A241" s="117"/>
      <c r="B241" s="115"/>
      <c r="C241" s="115"/>
      <c r="D241" s="115"/>
      <c r="E241" s="115"/>
      <c r="F241" s="118"/>
      <c r="G241" s="115"/>
      <c r="H241" s="115"/>
      <c r="I241" s="115"/>
      <c r="J241" s="117"/>
      <c r="K241" s="115"/>
      <c r="L241" s="115"/>
      <c r="M241" s="115"/>
      <c r="N241" s="115"/>
      <c r="O241" s="118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 spans="1:26" ht="15.75" customHeight="1" x14ac:dyDescent="0.2">
      <c r="A242" s="117"/>
      <c r="B242" s="115"/>
      <c r="C242" s="115"/>
      <c r="D242" s="115"/>
      <c r="E242" s="115"/>
      <c r="F242" s="118"/>
      <c r="G242" s="115"/>
      <c r="H242" s="115"/>
      <c r="I242" s="115"/>
      <c r="J242" s="117"/>
      <c r="K242" s="115"/>
      <c r="L242" s="115"/>
      <c r="M242" s="115"/>
      <c r="N242" s="115"/>
      <c r="O242" s="118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 spans="1:26" ht="15.75" customHeight="1" x14ac:dyDescent="0.2">
      <c r="A243" s="117"/>
      <c r="B243" s="115"/>
      <c r="C243" s="115"/>
      <c r="D243" s="115"/>
      <c r="E243" s="115"/>
      <c r="F243" s="118"/>
      <c r="G243" s="115"/>
      <c r="H243" s="115"/>
      <c r="I243" s="115"/>
      <c r="J243" s="117"/>
      <c r="K243" s="115"/>
      <c r="L243" s="115"/>
      <c r="M243" s="115"/>
      <c r="N243" s="115"/>
      <c r="O243" s="118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 spans="1:26" ht="15.75" customHeight="1" x14ac:dyDescent="0.2">
      <c r="A244" s="117"/>
      <c r="B244" s="115"/>
      <c r="C244" s="115"/>
      <c r="D244" s="115"/>
      <c r="E244" s="115"/>
      <c r="F244" s="118"/>
      <c r="G244" s="115"/>
      <c r="H244" s="115"/>
      <c r="I244" s="115"/>
      <c r="J244" s="117"/>
      <c r="K244" s="115"/>
      <c r="L244" s="115"/>
      <c r="M244" s="115"/>
      <c r="N244" s="115"/>
      <c r="O244" s="118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 spans="1:26" ht="15.75" customHeight="1" x14ac:dyDescent="0.2">
      <c r="A245" s="117"/>
      <c r="B245" s="115"/>
      <c r="C245" s="115"/>
      <c r="D245" s="115"/>
      <c r="E245" s="115"/>
      <c r="F245" s="118"/>
      <c r="G245" s="115"/>
      <c r="H245" s="115"/>
      <c r="I245" s="115"/>
      <c r="J245" s="117"/>
      <c r="K245" s="115"/>
      <c r="L245" s="115"/>
      <c r="M245" s="115"/>
      <c r="N245" s="115"/>
      <c r="O245" s="118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 spans="1:26" ht="15.75" customHeight="1" x14ac:dyDescent="0.2">
      <c r="A246" s="117"/>
      <c r="B246" s="115"/>
      <c r="C246" s="115"/>
      <c r="D246" s="115"/>
      <c r="E246" s="115"/>
      <c r="F246" s="118"/>
      <c r="G246" s="115"/>
      <c r="H246" s="115"/>
      <c r="I246" s="115"/>
      <c r="J246" s="117"/>
      <c r="K246" s="115"/>
      <c r="L246" s="115"/>
      <c r="M246" s="115"/>
      <c r="N246" s="115"/>
      <c r="O246" s="118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 spans="1:26" ht="15.75" customHeight="1" x14ac:dyDescent="0.2">
      <c r="A247" s="117"/>
      <c r="B247" s="115"/>
      <c r="C247" s="115"/>
      <c r="D247" s="115"/>
      <c r="E247" s="115"/>
      <c r="F247" s="118"/>
      <c r="G247" s="115"/>
      <c r="H247" s="115"/>
      <c r="I247" s="115"/>
      <c r="J247" s="117"/>
      <c r="K247" s="115"/>
      <c r="L247" s="115"/>
      <c r="M247" s="115"/>
      <c r="N247" s="115"/>
      <c r="O247" s="118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 spans="1:26" ht="15.75" customHeight="1" x14ac:dyDescent="0.2">
      <c r="A248" s="117"/>
      <c r="B248" s="115"/>
      <c r="C248" s="115"/>
      <c r="D248" s="115"/>
      <c r="E248" s="115"/>
      <c r="F248" s="118"/>
      <c r="G248" s="115"/>
      <c r="H248" s="115"/>
      <c r="I248" s="115"/>
      <c r="J248" s="117"/>
      <c r="K248" s="115"/>
      <c r="L248" s="115"/>
      <c r="M248" s="115"/>
      <c r="N248" s="115"/>
      <c r="O248" s="118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 spans="1:26" ht="15.75" customHeight="1" x14ac:dyDescent="0.2">
      <c r="A249" s="117"/>
      <c r="B249" s="115"/>
      <c r="C249" s="115"/>
      <c r="D249" s="115"/>
      <c r="E249" s="115"/>
      <c r="F249" s="118"/>
      <c r="G249" s="115"/>
      <c r="H249" s="115"/>
      <c r="I249" s="115"/>
      <c r="J249" s="117"/>
      <c r="K249" s="115"/>
      <c r="L249" s="115"/>
      <c r="M249" s="115"/>
      <c r="N249" s="115"/>
      <c r="O249" s="118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 spans="1:26" ht="15.75" customHeight="1" x14ac:dyDescent="0.2">
      <c r="A250" s="117"/>
      <c r="B250" s="115"/>
      <c r="C250" s="115"/>
      <c r="D250" s="115"/>
      <c r="E250" s="115"/>
      <c r="F250" s="118"/>
      <c r="G250" s="115"/>
      <c r="H250" s="115"/>
      <c r="I250" s="115"/>
      <c r="J250" s="117"/>
      <c r="K250" s="115"/>
      <c r="L250" s="115"/>
      <c r="M250" s="115"/>
      <c r="N250" s="115"/>
      <c r="O250" s="118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 spans="1:26" ht="15.75" customHeight="1" x14ac:dyDescent="0.2">
      <c r="A251" s="117"/>
      <c r="B251" s="115"/>
      <c r="C251" s="115"/>
      <c r="D251" s="115"/>
      <c r="E251" s="115"/>
      <c r="F251" s="118"/>
      <c r="G251" s="115"/>
      <c r="H251" s="115"/>
      <c r="I251" s="115"/>
      <c r="J251" s="117"/>
      <c r="K251" s="115"/>
      <c r="L251" s="115"/>
      <c r="M251" s="115"/>
      <c r="N251" s="115"/>
      <c r="O251" s="118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 spans="1:26" ht="15.75" customHeight="1" x14ac:dyDescent="0.2">
      <c r="A252" s="117"/>
      <c r="B252" s="115"/>
      <c r="C252" s="115"/>
      <c r="D252" s="115"/>
      <c r="E252" s="115"/>
      <c r="F252" s="118"/>
      <c r="G252" s="115"/>
      <c r="H252" s="115"/>
      <c r="I252" s="115"/>
      <c r="J252" s="117"/>
      <c r="K252" s="115"/>
      <c r="L252" s="115"/>
      <c r="M252" s="115"/>
      <c r="N252" s="115"/>
      <c r="O252" s="118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 spans="1:26" ht="15.75" customHeight="1" x14ac:dyDescent="0.2">
      <c r="A253" s="117"/>
      <c r="B253" s="115"/>
      <c r="C253" s="115"/>
      <c r="D253" s="115"/>
      <c r="E253" s="115"/>
      <c r="F253" s="118"/>
      <c r="G253" s="115"/>
      <c r="H253" s="115"/>
      <c r="I253" s="115"/>
      <c r="J253" s="117"/>
      <c r="K253" s="115"/>
      <c r="L253" s="115"/>
      <c r="M253" s="115"/>
      <c r="N253" s="115"/>
      <c r="O253" s="118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 spans="1:26" ht="15.75" customHeight="1" x14ac:dyDescent="0.2">
      <c r="A254" s="117"/>
      <c r="B254" s="115"/>
      <c r="C254" s="115"/>
      <c r="D254" s="115"/>
      <c r="E254" s="115"/>
      <c r="F254" s="118"/>
      <c r="G254" s="115"/>
      <c r="H254" s="115"/>
      <c r="I254" s="115"/>
      <c r="J254" s="117"/>
      <c r="K254" s="115"/>
      <c r="L254" s="115"/>
      <c r="M254" s="115"/>
      <c r="N254" s="115"/>
      <c r="O254" s="118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 spans="1:26" ht="15.75" customHeight="1" x14ac:dyDescent="0.2">
      <c r="A255" s="117"/>
      <c r="B255" s="115"/>
      <c r="C255" s="115"/>
      <c r="D255" s="115"/>
      <c r="E255" s="115"/>
      <c r="F255" s="118"/>
      <c r="G255" s="115"/>
      <c r="H255" s="115"/>
      <c r="I255" s="115"/>
      <c r="J255" s="117"/>
      <c r="K255" s="115"/>
      <c r="L255" s="115"/>
      <c r="M255" s="115"/>
      <c r="N255" s="115"/>
      <c r="O255" s="118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 spans="1:26" ht="15.75" customHeight="1" x14ac:dyDescent="0.2">
      <c r="A256" s="117"/>
      <c r="B256" s="115"/>
      <c r="C256" s="115"/>
      <c r="D256" s="115"/>
      <c r="E256" s="115"/>
      <c r="F256" s="118"/>
      <c r="G256" s="115"/>
      <c r="H256" s="115"/>
      <c r="I256" s="115"/>
      <c r="J256" s="117"/>
      <c r="K256" s="115"/>
      <c r="L256" s="115"/>
      <c r="M256" s="115"/>
      <c r="N256" s="115"/>
      <c r="O256" s="118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 spans="1:26" ht="15.75" customHeight="1" x14ac:dyDescent="0.2">
      <c r="A257" s="117"/>
      <c r="B257" s="115"/>
      <c r="C257" s="115"/>
      <c r="D257" s="115"/>
      <c r="E257" s="115"/>
      <c r="F257" s="118"/>
      <c r="G257" s="115"/>
      <c r="H257" s="115"/>
      <c r="I257" s="115"/>
      <c r="J257" s="117"/>
      <c r="K257" s="115"/>
      <c r="L257" s="115"/>
      <c r="M257" s="115"/>
      <c r="N257" s="115"/>
      <c r="O257" s="118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 spans="1:26" ht="15.75" customHeight="1" x14ac:dyDescent="0.2">
      <c r="A258" s="117"/>
      <c r="B258" s="115"/>
      <c r="C258" s="115"/>
      <c r="D258" s="115"/>
      <c r="E258" s="115"/>
      <c r="F258" s="118"/>
      <c r="G258" s="115"/>
      <c r="H258" s="115"/>
      <c r="I258" s="115"/>
      <c r="J258" s="117"/>
      <c r="K258" s="115"/>
      <c r="L258" s="115"/>
      <c r="M258" s="115"/>
      <c r="N258" s="115"/>
      <c r="O258" s="118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 spans="1:26" ht="15.75" customHeight="1" x14ac:dyDescent="0.2">
      <c r="A259" s="117"/>
      <c r="B259" s="115"/>
      <c r="C259" s="115"/>
      <c r="D259" s="115"/>
      <c r="E259" s="115"/>
      <c r="F259" s="118"/>
      <c r="G259" s="115"/>
      <c r="H259" s="115"/>
      <c r="I259" s="115"/>
      <c r="J259" s="117"/>
      <c r="K259" s="115"/>
      <c r="L259" s="115"/>
      <c r="M259" s="115"/>
      <c r="N259" s="115"/>
      <c r="O259" s="118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 spans="1:26" ht="15.75" customHeight="1" x14ac:dyDescent="0.2">
      <c r="A260" s="117"/>
      <c r="B260" s="115"/>
      <c r="C260" s="115"/>
      <c r="D260" s="115"/>
      <c r="E260" s="115"/>
      <c r="F260" s="118"/>
      <c r="G260" s="115"/>
      <c r="H260" s="115"/>
      <c r="I260" s="115"/>
      <c r="J260" s="117"/>
      <c r="K260" s="115"/>
      <c r="L260" s="115"/>
      <c r="M260" s="115"/>
      <c r="N260" s="115"/>
      <c r="O260" s="118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 spans="1:26" ht="15.75" customHeight="1" x14ac:dyDescent="0.2">
      <c r="A261" s="117"/>
      <c r="B261" s="115"/>
      <c r="C261" s="115"/>
      <c r="D261" s="115"/>
      <c r="E261" s="115"/>
      <c r="F261" s="118"/>
      <c r="G261" s="115"/>
      <c r="H261" s="115"/>
      <c r="I261" s="115"/>
      <c r="J261" s="117"/>
      <c r="K261" s="115"/>
      <c r="L261" s="115"/>
      <c r="M261" s="115"/>
      <c r="N261" s="115"/>
      <c r="O261" s="118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 spans="1:26" ht="15.75" customHeight="1" x14ac:dyDescent="0.2">
      <c r="A262" s="117"/>
      <c r="B262" s="115"/>
      <c r="C262" s="115"/>
      <c r="D262" s="115"/>
      <c r="E262" s="115"/>
      <c r="F262" s="118"/>
      <c r="G262" s="115"/>
      <c r="H262" s="115"/>
      <c r="I262" s="115"/>
      <c r="J262" s="117"/>
      <c r="K262" s="115"/>
      <c r="L262" s="115"/>
      <c r="M262" s="115"/>
      <c r="N262" s="115"/>
      <c r="O262" s="118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 spans="1:26" ht="15.75" customHeight="1" x14ac:dyDescent="0.2">
      <c r="A263" s="117"/>
      <c r="B263" s="115"/>
      <c r="C263" s="115"/>
      <c r="D263" s="115"/>
      <c r="E263" s="115"/>
      <c r="F263" s="118"/>
      <c r="G263" s="115"/>
      <c r="H263" s="115"/>
      <c r="I263" s="115"/>
      <c r="J263" s="117"/>
      <c r="K263" s="115"/>
      <c r="L263" s="115"/>
      <c r="M263" s="115"/>
      <c r="N263" s="115"/>
      <c r="O263" s="118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 spans="1:26" ht="15.75" customHeight="1" x14ac:dyDescent="0.2">
      <c r="A264" s="117"/>
      <c r="B264" s="115"/>
      <c r="C264" s="115"/>
      <c r="D264" s="115"/>
      <c r="E264" s="115"/>
      <c r="F264" s="118"/>
      <c r="G264" s="115"/>
      <c r="H264" s="115"/>
      <c r="I264" s="115"/>
      <c r="J264" s="117"/>
      <c r="K264" s="115"/>
      <c r="L264" s="115"/>
      <c r="M264" s="115"/>
      <c r="N264" s="115"/>
      <c r="O264" s="118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 spans="1:26" ht="15.75" customHeight="1" x14ac:dyDescent="0.2">
      <c r="A265" s="117"/>
      <c r="B265" s="115"/>
      <c r="C265" s="115"/>
      <c r="D265" s="115"/>
      <c r="E265" s="115"/>
      <c r="F265" s="118"/>
      <c r="G265" s="115"/>
      <c r="H265" s="115"/>
      <c r="I265" s="115"/>
      <c r="J265" s="117"/>
      <c r="K265" s="115"/>
      <c r="L265" s="115"/>
      <c r="M265" s="115"/>
      <c r="N265" s="115"/>
      <c r="O265" s="118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 spans="1:26" ht="15.75" customHeight="1" x14ac:dyDescent="0.2">
      <c r="A266" s="117"/>
      <c r="B266" s="115"/>
      <c r="C266" s="115"/>
      <c r="D266" s="115"/>
      <c r="E266" s="115"/>
      <c r="F266" s="118"/>
      <c r="G266" s="115"/>
      <c r="H266" s="115"/>
      <c r="I266" s="115"/>
      <c r="J266" s="117"/>
      <c r="K266" s="115"/>
      <c r="L266" s="115"/>
      <c r="M266" s="115"/>
      <c r="N266" s="115"/>
      <c r="O266" s="118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 spans="1:26" ht="15.75" customHeight="1" x14ac:dyDescent="0.2">
      <c r="A267" s="117"/>
      <c r="B267" s="115"/>
      <c r="C267" s="115"/>
      <c r="D267" s="115"/>
      <c r="E267" s="115"/>
      <c r="F267" s="118"/>
      <c r="G267" s="115"/>
      <c r="H267" s="115"/>
      <c r="I267" s="115"/>
      <c r="J267" s="117"/>
      <c r="K267" s="115"/>
      <c r="L267" s="115"/>
      <c r="M267" s="115"/>
      <c r="N267" s="115"/>
      <c r="O267" s="118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 spans="1:26" ht="15.75" customHeight="1" x14ac:dyDescent="0.2">
      <c r="A268" s="117"/>
      <c r="B268" s="115"/>
      <c r="C268" s="115"/>
      <c r="D268" s="115"/>
      <c r="E268" s="115"/>
      <c r="F268" s="118"/>
      <c r="G268" s="115"/>
      <c r="H268" s="115"/>
      <c r="I268" s="115"/>
      <c r="J268" s="117"/>
      <c r="K268" s="115"/>
      <c r="L268" s="115"/>
      <c r="M268" s="115"/>
      <c r="N268" s="115"/>
      <c r="O268" s="118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 spans="1:26" ht="15.75" customHeight="1" x14ac:dyDescent="0.2">
      <c r="A269" s="117"/>
      <c r="B269" s="115"/>
      <c r="C269" s="115"/>
      <c r="D269" s="115"/>
      <c r="E269" s="115"/>
      <c r="F269" s="118"/>
      <c r="G269" s="115"/>
      <c r="H269" s="115"/>
      <c r="I269" s="115"/>
      <c r="J269" s="117"/>
      <c r="K269" s="115"/>
      <c r="L269" s="115"/>
      <c r="M269" s="115"/>
      <c r="N269" s="115"/>
      <c r="O269" s="118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 spans="1:26" ht="15.75" customHeight="1" x14ac:dyDescent="0.2">
      <c r="A270" s="117"/>
      <c r="B270" s="115"/>
      <c r="C270" s="115"/>
      <c r="D270" s="115"/>
      <c r="E270" s="115"/>
      <c r="F270" s="118"/>
      <c r="G270" s="115"/>
      <c r="H270" s="115"/>
      <c r="I270" s="115"/>
      <c r="J270" s="117"/>
      <c r="K270" s="115"/>
      <c r="L270" s="115"/>
      <c r="M270" s="115"/>
      <c r="N270" s="115"/>
      <c r="O270" s="118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 spans="1:26" ht="15.75" customHeight="1" x14ac:dyDescent="0.2">
      <c r="A271" s="117"/>
      <c r="B271" s="115"/>
      <c r="C271" s="115"/>
      <c r="D271" s="115"/>
      <c r="E271" s="115"/>
      <c r="F271" s="118"/>
      <c r="G271" s="115"/>
      <c r="H271" s="115"/>
      <c r="I271" s="115"/>
      <c r="J271" s="117"/>
      <c r="K271" s="115"/>
      <c r="L271" s="115"/>
      <c r="M271" s="115"/>
      <c r="N271" s="115"/>
      <c r="O271" s="118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 spans="1:26" ht="15.75" customHeight="1" x14ac:dyDescent="0.2">
      <c r="A272" s="117"/>
      <c r="B272" s="115"/>
      <c r="C272" s="115"/>
      <c r="D272" s="115"/>
      <c r="E272" s="115"/>
      <c r="F272" s="118"/>
      <c r="G272" s="115"/>
      <c r="H272" s="115"/>
      <c r="I272" s="115"/>
      <c r="J272" s="117"/>
      <c r="K272" s="115"/>
      <c r="L272" s="115"/>
      <c r="M272" s="115"/>
      <c r="N272" s="115"/>
      <c r="O272" s="118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 spans="1:26" ht="15.75" customHeight="1" x14ac:dyDescent="0.2">
      <c r="A273" s="117"/>
      <c r="B273" s="115"/>
      <c r="C273" s="115"/>
      <c r="D273" s="115"/>
      <c r="E273" s="115"/>
      <c r="F273" s="118"/>
      <c r="G273" s="115"/>
      <c r="H273" s="115"/>
      <c r="I273" s="115"/>
      <c r="J273" s="117"/>
      <c r="K273" s="115"/>
      <c r="L273" s="115"/>
      <c r="M273" s="115"/>
      <c r="N273" s="115"/>
      <c r="O273" s="118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 spans="1:26" ht="15.75" customHeight="1" x14ac:dyDescent="0.2">
      <c r="A274" s="117"/>
      <c r="B274" s="115"/>
      <c r="C274" s="115"/>
      <c r="D274" s="115"/>
      <c r="E274" s="115"/>
      <c r="F274" s="118"/>
      <c r="G274" s="115"/>
      <c r="H274" s="115"/>
      <c r="I274" s="115"/>
      <c r="J274" s="117"/>
      <c r="K274" s="115"/>
      <c r="L274" s="115"/>
      <c r="M274" s="115"/>
      <c r="N274" s="115"/>
      <c r="O274" s="118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 spans="1:26" ht="15.75" customHeight="1" x14ac:dyDescent="0.2">
      <c r="A275" s="117"/>
      <c r="B275" s="115"/>
      <c r="C275" s="115"/>
      <c r="D275" s="115"/>
      <c r="E275" s="115"/>
      <c r="F275" s="118"/>
      <c r="G275" s="115"/>
      <c r="H275" s="115"/>
      <c r="I275" s="115"/>
      <c r="J275" s="117"/>
      <c r="K275" s="115"/>
      <c r="L275" s="115"/>
      <c r="M275" s="115"/>
      <c r="N275" s="115"/>
      <c r="O275" s="118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 spans="1:26" ht="15.75" customHeight="1" x14ac:dyDescent="0.2">
      <c r="A276" s="117"/>
      <c r="B276" s="115"/>
      <c r="C276" s="115"/>
      <c r="D276" s="115"/>
      <c r="E276" s="115"/>
      <c r="F276" s="118"/>
      <c r="G276" s="115"/>
      <c r="H276" s="115"/>
      <c r="I276" s="115"/>
      <c r="J276" s="117"/>
      <c r="K276" s="115"/>
      <c r="L276" s="115"/>
      <c r="M276" s="115"/>
      <c r="N276" s="115"/>
      <c r="O276" s="118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 spans="1:26" ht="15.75" customHeight="1" x14ac:dyDescent="0.2">
      <c r="A277" s="117"/>
      <c r="B277" s="115"/>
      <c r="C277" s="115"/>
      <c r="D277" s="115"/>
      <c r="E277" s="115"/>
      <c r="F277" s="118"/>
      <c r="G277" s="115"/>
      <c r="H277" s="115"/>
      <c r="I277" s="115"/>
      <c r="J277" s="117"/>
      <c r="K277" s="115"/>
      <c r="L277" s="115"/>
      <c r="M277" s="115"/>
      <c r="N277" s="115"/>
      <c r="O277" s="118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 spans="1:26" ht="15.75" customHeight="1" x14ac:dyDescent="0.2">
      <c r="A278" s="117"/>
      <c r="B278" s="115"/>
      <c r="C278" s="115"/>
      <c r="D278" s="115"/>
      <c r="E278" s="115"/>
      <c r="F278" s="118"/>
      <c r="G278" s="115"/>
      <c r="H278" s="115"/>
      <c r="I278" s="115"/>
      <c r="J278" s="117"/>
      <c r="K278" s="115"/>
      <c r="L278" s="115"/>
      <c r="M278" s="115"/>
      <c r="N278" s="115"/>
      <c r="O278" s="118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 spans="1:26" ht="15.75" customHeight="1" x14ac:dyDescent="0.2">
      <c r="A279" s="117"/>
      <c r="B279" s="115"/>
      <c r="C279" s="115"/>
      <c r="D279" s="115"/>
      <c r="E279" s="115"/>
      <c r="F279" s="118"/>
      <c r="G279" s="115"/>
      <c r="H279" s="115"/>
      <c r="I279" s="115"/>
      <c r="J279" s="117"/>
      <c r="K279" s="115"/>
      <c r="L279" s="115"/>
      <c r="M279" s="115"/>
      <c r="N279" s="115"/>
      <c r="O279" s="118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 spans="1:26" ht="15.75" customHeight="1" x14ac:dyDescent="0.2">
      <c r="A280" s="117"/>
      <c r="B280" s="115"/>
      <c r="C280" s="115"/>
      <c r="D280" s="115"/>
      <c r="E280" s="115"/>
      <c r="F280" s="118"/>
      <c r="G280" s="115"/>
      <c r="H280" s="115"/>
      <c r="I280" s="115"/>
      <c r="J280" s="117"/>
      <c r="K280" s="115"/>
      <c r="L280" s="115"/>
      <c r="M280" s="115"/>
      <c r="N280" s="115"/>
      <c r="O280" s="118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 spans="1:26" ht="15.75" customHeight="1" x14ac:dyDescent="0.2">
      <c r="A281" s="117"/>
      <c r="B281" s="115"/>
      <c r="C281" s="115"/>
      <c r="D281" s="115"/>
      <c r="E281" s="115"/>
      <c r="F281" s="118"/>
      <c r="G281" s="115"/>
      <c r="H281" s="115"/>
      <c r="I281" s="115"/>
      <c r="J281" s="117"/>
      <c r="K281" s="115"/>
      <c r="L281" s="115"/>
      <c r="M281" s="115"/>
      <c r="N281" s="115"/>
      <c r="O281" s="118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 spans="1:26" ht="15.75" customHeight="1" x14ac:dyDescent="0.2">
      <c r="A282" s="117"/>
      <c r="B282" s="115"/>
      <c r="C282" s="115"/>
      <c r="D282" s="115"/>
      <c r="E282" s="115"/>
      <c r="F282" s="118"/>
      <c r="G282" s="115"/>
      <c r="H282" s="115"/>
      <c r="I282" s="115"/>
      <c r="J282" s="117"/>
      <c r="K282" s="115"/>
      <c r="L282" s="115"/>
      <c r="M282" s="115"/>
      <c r="N282" s="115"/>
      <c r="O282" s="118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 spans="1:26" ht="15.75" customHeight="1" x14ac:dyDescent="0.2">
      <c r="A283" s="117"/>
      <c r="B283" s="115"/>
      <c r="C283" s="115"/>
      <c r="D283" s="115"/>
      <c r="E283" s="115"/>
      <c r="F283" s="118"/>
      <c r="G283" s="115"/>
      <c r="H283" s="115"/>
      <c r="I283" s="115"/>
      <c r="J283" s="117"/>
      <c r="K283" s="115"/>
      <c r="L283" s="115"/>
      <c r="M283" s="115"/>
      <c r="N283" s="115"/>
      <c r="O283" s="118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 spans="1:26" ht="15.75" customHeight="1" x14ac:dyDescent="0.2">
      <c r="A284" s="117"/>
      <c r="B284" s="115"/>
      <c r="C284" s="115"/>
      <c r="D284" s="115"/>
      <c r="E284" s="115"/>
      <c r="F284" s="118"/>
      <c r="G284" s="115"/>
      <c r="H284" s="115"/>
      <c r="I284" s="115"/>
      <c r="J284" s="117"/>
      <c r="K284" s="115"/>
      <c r="L284" s="115"/>
      <c r="M284" s="115"/>
      <c r="N284" s="115"/>
      <c r="O284" s="118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 spans="1:26" ht="15.75" customHeight="1" x14ac:dyDescent="0.2">
      <c r="A285" s="117"/>
      <c r="B285" s="115"/>
      <c r="C285" s="115"/>
      <c r="D285" s="115"/>
      <c r="E285" s="115"/>
      <c r="F285" s="118"/>
      <c r="G285" s="115"/>
      <c r="H285" s="115"/>
      <c r="I285" s="115"/>
      <c r="J285" s="117"/>
      <c r="K285" s="115"/>
      <c r="L285" s="115"/>
      <c r="M285" s="115"/>
      <c r="N285" s="115"/>
      <c r="O285" s="118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 spans="1:26" ht="15.75" customHeight="1" x14ac:dyDescent="0.2">
      <c r="A286" s="117"/>
      <c r="B286" s="115"/>
      <c r="C286" s="115"/>
      <c r="D286" s="115"/>
      <c r="E286" s="115"/>
      <c r="F286" s="118"/>
      <c r="G286" s="115"/>
      <c r="H286" s="115"/>
      <c r="I286" s="115"/>
      <c r="J286" s="117"/>
      <c r="K286" s="115"/>
      <c r="L286" s="115"/>
      <c r="M286" s="115"/>
      <c r="N286" s="115"/>
      <c r="O286" s="118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 spans="1:26" ht="15.75" customHeight="1" x14ac:dyDescent="0.2">
      <c r="A287" s="117"/>
      <c r="B287" s="115"/>
      <c r="C287" s="115"/>
      <c r="D287" s="115"/>
      <c r="E287" s="115"/>
      <c r="F287" s="118"/>
      <c r="G287" s="115"/>
      <c r="H287" s="115"/>
      <c r="I287" s="115"/>
      <c r="J287" s="117"/>
      <c r="K287" s="115"/>
      <c r="L287" s="115"/>
      <c r="M287" s="115"/>
      <c r="N287" s="115"/>
      <c r="O287" s="118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 spans="1:26" ht="15.75" customHeight="1" x14ac:dyDescent="0.2">
      <c r="A288" s="117"/>
      <c r="B288" s="115"/>
      <c r="C288" s="115"/>
      <c r="D288" s="115"/>
      <c r="E288" s="115"/>
      <c r="F288" s="118"/>
      <c r="G288" s="115"/>
      <c r="H288" s="115"/>
      <c r="I288" s="115"/>
      <c r="J288" s="117"/>
      <c r="K288" s="115"/>
      <c r="L288" s="115"/>
      <c r="M288" s="115"/>
      <c r="N288" s="115"/>
      <c r="O288" s="118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 spans="1:26" ht="15.75" customHeight="1" x14ac:dyDescent="0.2">
      <c r="A289" s="117"/>
      <c r="B289" s="115"/>
      <c r="C289" s="115"/>
      <c r="D289" s="115"/>
      <c r="E289" s="115"/>
      <c r="F289" s="118"/>
      <c r="G289" s="115"/>
      <c r="H289" s="115"/>
      <c r="I289" s="115"/>
      <c r="J289" s="117"/>
      <c r="K289" s="115"/>
      <c r="L289" s="115"/>
      <c r="M289" s="115"/>
      <c r="N289" s="115"/>
      <c r="O289" s="118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 spans="1:26" ht="15.75" customHeight="1" x14ac:dyDescent="0.2">
      <c r="A290" s="117"/>
      <c r="B290" s="115"/>
      <c r="C290" s="115"/>
      <c r="D290" s="115"/>
      <c r="E290" s="115"/>
      <c r="F290" s="118"/>
      <c r="G290" s="115"/>
      <c r="H290" s="115"/>
      <c r="I290" s="115"/>
      <c r="J290" s="117"/>
      <c r="K290" s="115"/>
      <c r="L290" s="115"/>
      <c r="M290" s="115"/>
      <c r="N290" s="115"/>
      <c r="O290" s="118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 spans="1:26" ht="15.75" customHeight="1" x14ac:dyDescent="0.2">
      <c r="A291" s="117"/>
      <c r="B291" s="115"/>
      <c r="C291" s="115"/>
      <c r="D291" s="115"/>
      <c r="E291" s="115"/>
      <c r="F291" s="118"/>
      <c r="G291" s="115"/>
      <c r="H291" s="115"/>
      <c r="I291" s="115"/>
      <c r="J291" s="117"/>
      <c r="K291" s="115"/>
      <c r="L291" s="115"/>
      <c r="M291" s="115"/>
      <c r="N291" s="115"/>
      <c r="O291" s="118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 spans="1:26" ht="15.75" customHeight="1" x14ac:dyDescent="0.2">
      <c r="A292" s="117"/>
      <c r="B292" s="115"/>
      <c r="C292" s="115"/>
      <c r="D292" s="115"/>
      <c r="E292" s="115"/>
      <c r="F292" s="118"/>
      <c r="G292" s="115"/>
      <c r="H292" s="115"/>
      <c r="I292" s="115"/>
      <c r="J292" s="117"/>
      <c r="K292" s="115"/>
      <c r="L292" s="115"/>
      <c r="M292" s="115"/>
      <c r="N292" s="115"/>
      <c r="O292" s="118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 spans="1:26" ht="15.75" customHeight="1" x14ac:dyDescent="0.2">
      <c r="A293" s="117"/>
      <c r="B293" s="115"/>
      <c r="C293" s="115"/>
      <c r="D293" s="115"/>
      <c r="E293" s="115"/>
      <c r="F293" s="118"/>
      <c r="G293" s="115"/>
      <c r="H293" s="115"/>
      <c r="I293" s="115"/>
      <c r="J293" s="117"/>
      <c r="K293" s="115"/>
      <c r="L293" s="115"/>
      <c r="M293" s="115"/>
      <c r="N293" s="115"/>
      <c r="O293" s="118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 spans="1:26" ht="15.75" customHeight="1" x14ac:dyDescent="0.2">
      <c r="A294" s="117"/>
      <c r="B294" s="115"/>
      <c r="C294" s="115"/>
      <c r="D294" s="115"/>
      <c r="E294" s="115"/>
      <c r="F294" s="118"/>
      <c r="G294" s="115"/>
      <c r="H294" s="115"/>
      <c r="I294" s="115"/>
      <c r="J294" s="117"/>
      <c r="K294" s="115"/>
      <c r="L294" s="115"/>
      <c r="M294" s="115"/>
      <c r="N294" s="115"/>
      <c r="O294" s="118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 spans="1:26" ht="15.75" customHeight="1" x14ac:dyDescent="0.2">
      <c r="A295" s="117"/>
      <c r="B295" s="115"/>
      <c r="C295" s="115"/>
      <c r="D295" s="115"/>
      <c r="E295" s="115"/>
      <c r="F295" s="118"/>
      <c r="G295" s="115"/>
      <c r="H295" s="115"/>
      <c r="I295" s="115"/>
      <c r="J295" s="117"/>
      <c r="K295" s="115"/>
      <c r="L295" s="115"/>
      <c r="M295" s="115"/>
      <c r="N295" s="115"/>
      <c r="O295" s="118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 spans="1:26" ht="15.75" customHeight="1" x14ac:dyDescent="0.2">
      <c r="A296" s="117"/>
      <c r="B296" s="115"/>
      <c r="C296" s="115"/>
      <c r="D296" s="115"/>
      <c r="E296" s="115"/>
      <c r="F296" s="118"/>
      <c r="G296" s="115"/>
      <c r="H296" s="115"/>
      <c r="I296" s="115"/>
      <c r="J296" s="117"/>
      <c r="K296" s="115"/>
      <c r="L296" s="115"/>
      <c r="M296" s="115"/>
      <c r="N296" s="115"/>
      <c r="O296" s="118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 spans="1:26" ht="15.75" customHeight="1" x14ac:dyDescent="0.2">
      <c r="A297" s="117"/>
      <c r="B297" s="115"/>
      <c r="C297" s="115"/>
      <c r="D297" s="115"/>
      <c r="E297" s="115"/>
      <c r="F297" s="118"/>
      <c r="G297" s="115"/>
      <c r="H297" s="115"/>
      <c r="I297" s="115"/>
      <c r="J297" s="117"/>
      <c r="K297" s="115"/>
      <c r="L297" s="115"/>
      <c r="M297" s="115"/>
      <c r="N297" s="115"/>
      <c r="O297" s="118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 spans="1:26" ht="15.75" customHeight="1" x14ac:dyDescent="0.2">
      <c r="A298" s="117"/>
      <c r="B298" s="115"/>
      <c r="C298" s="115"/>
      <c r="D298" s="115"/>
      <c r="E298" s="115"/>
      <c r="F298" s="118"/>
      <c r="G298" s="115"/>
      <c r="H298" s="115"/>
      <c r="I298" s="115"/>
      <c r="J298" s="117"/>
      <c r="K298" s="115"/>
      <c r="L298" s="115"/>
      <c r="M298" s="115"/>
      <c r="N298" s="115"/>
      <c r="O298" s="118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 spans="1:26" ht="15.75" customHeight="1" x14ac:dyDescent="0.2">
      <c r="A299" s="117"/>
      <c r="B299" s="115"/>
      <c r="C299" s="115"/>
      <c r="D299" s="115"/>
      <c r="E299" s="115"/>
      <c r="F299" s="118"/>
      <c r="G299" s="115"/>
      <c r="H299" s="115"/>
      <c r="I299" s="115"/>
      <c r="J299" s="117"/>
      <c r="K299" s="115"/>
      <c r="L299" s="115"/>
      <c r="M299" s="115"/>
      <c r="N299" s="115"/>
      <c r="O299" s="118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 spans="1:26" ht="15.75" customHeight="1" x14ac:dyDescent="0.2">
      <c r="A300" s="117"/>
      <c r="B300" s="115"/>
      <c r="C300" s="115"/>
      <c r="D300" s="115"/>
      <c r="E300" s="115"/>
      <c r="F300" s="118"/>
      <c r="G300" s="115"/>
      <c r="H300" s="115"/>
      <c r="I300" s="115"/>
      <c r="J300" s="117"/>
      <c r="K300" s="115"/>
      <c r="L300" s="115"/>
      <c r="M300" s="115"/>
      <c r="N300" s="115"/>
      <c r="O300" s="118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 spans="1:26" ht="15.75" customHeight="1" x14ac:dyDescent="0.2">
      <c r="A301" s="117"/>
      <c r="B301" s="115"/>
      <c r="C301" s="115"/>
      <c r="D301" s="115"/>
      <c r="E301" s="115"/>
      <c r="F301" s="118"/>
      <c r="G301" s="115"/>
      <c r="H301" s="115"/>
      <c r="I301" s="115"/>
      <c r="J301" s="117"/>
      <c r="K301" s="115"/>
      <c r="L301" s="115"/>
      <c r="M301" s="115"/>
      <c r="N301" s="115"/>
      <c r="O301" s="118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 spans="1:26" ht="15.75" customHeight="1" x14ac:dyDescent="0.2">
      <c r="A302" s="117"/>
      <c r="B302" s="115"/>
      <c r="C302" s="115"/>
      <c r="D302" s="115"/>
      <c r="E302" s="115"/>
      <c r="F302" s="118"/>
      <c r="G302" s="115"/>
      <c r="H302" s="115"/>
      <c r="I302" s="115"/>
      <c r="J302" s="117"/>
      <c r="K302" s="115"/>
      <c r="L302" s="115"/>
      <c r="M302" s="115"/>
      <c r="N302" s="115"/>
      <c r="O302" s="118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 spans="1:26" ht="15.75" customHeight="1" x14ac:dyDescent="0.2">
      <c r="A303" s="117"/>
      <c r="B303" s="115"/>
      <c r="C303" s="115"/>
      <c r="D303" s="115"/>
      <c r="E303" s="115"/>
      <c r="F303" s="118"/>
      <c r="G303" s="115"/>
      <c r="H303" s="115"/>
      <c r="I303" s="115"/>
      <c r="J303" s="117"/>
      <c r="K303" s="115"/>
      <c r="L303" s="115"/>
      <c r="M303" s="115"/>
      <c r="N303" s="115"/>
      <c r="O303" s="118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 spans="1:26" ht="15.75" customHeight="1" x14ac:dyDescent="0.2">
      <c r="A304" s="117"/>
      <c r="B304" s="115"/>
      <c r="C304" s="115"/>
      <c r="D304" s="115"/>
      <c r="E304" s="115"/>
      <c r="F304" s="118"/>
      <c r="G304" s="115"/>
      <c r="H304" s="115"/>
      <c r="I304" s="115"/>
      <c r="J304" s="117"/>
      <c r="K304" s="115"/>
      <c r="L304" s="115"/>
      <c r="M304" s="115"/>
      <c r="N304" s="115"/>
      <c r="O304" s="118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 spans="1:26" ht="15.75" customHeight="1" x14ac:dyDescent="0.2">
      <c r="A305" s="117"/>
      <c r="B305" s="115"/>
      <c r="C305" s="115"/>
      <c r="D305" s="115"/>
      <c r="E305" s="115"/>
      <c r="F305" s="118"/>
      <c r="G305" s="115"/>
      <c r="H305" s="115"/>
      <c r="I305" s="115"/>
      <c r="J305" s="117"/>
      <c r="K305" s="115"/>
      <c r="L305" s="115"/>
      <c r="M305" s="115"/>
      <c r="N305" s="115"/>
      <c r="O305" s="118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 spans="1:26" ht="15.75" customHeight="1" x14ac:dyDescent="0.2">
      <c r="A306" s="117"/>
      <c r="B306" s="115"/>
      <c r="C306" s="115"/>
      <c r="D306" s="115"/>
      <c r="E306" s="115"/>
      <c r="F306" s="118"/>
      <c r="G306" s="115"/>
      <c r="H306" s="115"/>
      <c r="I306" s="115"/>
      <c r="J306" s="117"/>
      <c r="K306" s="115"/>
      <c r="L306" s="115"/>
      <c r="M306" s="115"/>
      <c r="N306" s="115"/>
      <c r="O306" s="118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 spans="1:26" ht="15.75" customHeight="1" x14ac:dyDescent="0.2">
      <c r="A307" s="117"/>
      <c r="B307" s="115"/>
      <c r="C307" s="115"/>
      <c r="D307" s="115"/>
      <c r="E307" s="115"/>
      <c r="F307" s="118"/>
      <c r="G307" s="115"/>
      <c r="H307" s="115"/>
      <c r="I307" s="115"/>
      <c r="J307" s="117"/>
      <c r="K307" s="115"/>
      <c r="L307" s="115"/>
      <c r="M307" s="115"/>
      <c r="N307" s="115"/>
      <c r="O307" s="118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 spans="1:26" ht="15.75" customHeight="1" x14ac:dyDescent="0.2">
      <c r="A308" s="117"/>
      <c r="B308" s="115"/>
      <c r="C308" s="115"/>
      <c r="D308" s="115"/>
      <c r="E308" s="115"/>
      <c r="F308" s="118"/>
      <c r="G308" s="115"/>
      <c r="H308" s="115"/>
      <c r="I308" s="115"/>
      <c r="J308" s="117"/>
      <c r="K308" s="115"/>
      <c r="L308" s="115"/>
      <c r="M308" s="115"/>
      <c r="N308" s="115"/>
      <c r="O308" s="118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 spans="1:26" ht="15.75" customHeight="1" x14ac:dyDescent="0.2">
      <c r="A309" s="117"/>
      <c r="B309" s="115"/>
      <c r="C309" s="115"/>
      <c r="D309" s="115"/>
      <c r="E309" s="115"/>
      <c r="F309" s="118"/>
      <c r="G309" s="115"/>
      <c r="H309" s="115"/>
      <c r="I309" s="115"/>
      <c r="J309" s="117"/>
      <c r="K309" s="115"/>
      <c r="L309" s="115"/>
      <c r="M309" s="115"/>
      <c r="N309" s="115"/>
      <c r="O309" s="118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 spans="1:26" ht="15.75" customHeight="1" x14ac:dyDescent="0.2">
      <c r="A310" s="117"/>
      <c r="B310" s="115"/>
      <c r="C310" s="115"/>
      <c r="D310" s="115"/>
      <c r="E310" s="115"/>
      <c r="F310" s="118"/>
      <c r="G310" s="115"/>
      <c r="H310" s="115"/>
      <c r="I310" s="115"/>
      <c r="J310" s="117"/>
      <c r="K310" s="115"/>
      <c r="L310" s="115"/>
      <c r="M310" s="115"/>
      <c r="N310" s="115"/>
      <c r="O310" s="118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 spans="1:26" ht="15.75" customHeight="1" x14ac:dyDescent="0.2">
      <c r="A311" s="117"/>
      <c r="B311" s="115"/>
      <c r="C311" s="115"/>
      <c r="D311" s="115"/>
      <c r="E311" s="115"/>
      <c r="F311" s="118"/>
      <c r="G311" s="115"/>
      <c r="H311" s="115"/>
      <c r="I311" s="115"/>
      <c r="J311" s="117"/>
      <c r="K311" s="115"/>
      <c r="L311" s="115"/>
      <c r="M311" s="115"/>
      <c r="N311" s="115"/>
      <c r="O311" s="118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 spans="1:26" ht="15.75" customHeight="1" x14ac:dyDescent="0.2">
      <c r="A312" s="117"/>
      <c r="B312" s="115"/>
      <c r="C312" s="115"/>
      <c r="D312" s="115"/>
      <c r="E312" s="115"/>
      <c r="F312" s="118"/>
      <c r="G312" s="115"/>
      <c r="H312" s="115"/>
      <c r="I312" s="115"/>
      <c r="J312" s="117"/>
      <c r="K312" s="115"/>
      <c r="L312" s="115"/>
      <c r="M312" s="115"/>
      <c r="N312" s="115"/>
      <c r="O312" s="118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 spans="1:26" ht="15.75" customHeight="1" x14ac:dyDescent="0.2">
      <c r="A313" s="117"/>
      <c r="B313" s="115"/>
      <c r="C313" s="115"/>
      <c r="D313" s="115"/>
      <c r="E313" s="115"/>
      <c r="F313" s="118"/>
      <c r="G313" s="115"/>
      <c r="H313" s="115"/>
      <c r="I313" s="115"/>
      <c r="J313" s="117"/>
      <c r="K313" s="115"/>
      <c r="L313" s="115"/>
      <c r="M313" s="115"/>
      <c r="N313" s="115"/>
      <c r="O313" s="118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 spans="1:26" ht="15.75" customHeight="1" x14ac:dyDescent="0.2">
      <c r="A314" s="117"/>
      <c r="B314" s="115"/>
      <c r="C314" s="115"/>
      <c r="D314" s="115"/>
      <c r="E314" s="115"/>
      <c r="F314" s="118"/>
      <c r="G314" s="115"/>
      <c r="H314" s="115"/>
      <c r="I314" s="115"/>
      <c r="J314" s="117"/>
      <c r="K314" s="115"/>
      <c r="L314" s="115"/>
      <c r="M314" s="115"/>
      <c r="N314" s="115"/>
      <c r="O314" s="118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 spans="1:26" ht="15.75" customHeight="1" x14ac:dyDescent="0.2">
      <c r="A315" s="117"/>
      <c r="B315" s="115"/>
      <c r="C315" s="115"/>
      <c r="D315" s="115"/>
      <c r="E315" s="115"/>
      <c r="F315" s="118"/>
      <c r="G315" s="115"/>
      <c r="H315" s="115"/>
      <c r="I315" s="115"/>
      <c r="J315" s="117"/>
      <c r="K315" s="115"/>
      <c r="L315" s="115"/>
      <c r="M315" s="115"/>
      <c r="N315" s="115"/>
      <c r="O315" s="118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 spans="1:26" ht="15.75" customHeight="1" x14ac:dyDescent="0.2">
      <c r="A316" s="117"/>
      <c r="B316" s="115"/>
      <c r="C316" s="115"/>
      <c r="D316" s="115"/>
      <c r="E316" s="115"/>
      <c r="F316" s="118"/>
      <c r="G316" s="115"/>
      <c r="H316" s="115"/>
      <c r="I316" s="115"/>
      <c r="J316" s="117"/>
      <c r="K316" s="115"/>
      <c r="L316" s="115"/>
      <c r="M316" s="115"/>
      <c r="N316" s="115"/>
      <c r="O316" s="118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 spans="1:26" ht="15.75" customHeight="1" x14ac:dyDescent="0.2">
      <c r="A317" s="117"/>
      <c r="B317" s="115"/>
      <c r="C317" s="115"/>
      <c r="D317" s="115"/>
      <c r="E317" s="115"/>
      <c r="F317" s="118"/>
      <c r="G317" s="115"/>
      <c r="H317" s="115"/>
      <c r="I317" s="115"/>
      <c r="J317" s="117"/>
      <c r="K317" s="115"/>
      <c r="L317" s="115"/>
      <c r="M317" s="115"/>
      <c r="N317" s="115"/>
      <c r="O317" s="118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 spans="1:26" ht="15.75" customHeight="1" x14ac:dyDescent="0.2">
      <c r="A318" s="117"/>
      <c r="B318" s="115"/>
      <c r="C318" s="115"/>
      <c r="D318" s="115"/>
      <c r="E318" s="115"/>
      <c r="F318" s="118"/>
      <c r="G318" s="115"/>
      <c r="H318" s="115"/>
      <c r="I318" s="115"/>
      <c r="J318" s="117"/>
      <c r="K318" s="115"/>
      <c r="L318" s="115"/>
      <c r="M318" s="115"/>
      <c r="N318" s="115"/>
      <c r="O318" s="118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 spans="1:26" ht="15.75" customHeight="1" x14ac:dyDescent="0.2">
      <c r="A319" s="117"/>
      <c r="B319" s="115"/>
      <c r="C319" s="115"/>
      <c r="D319" s="115"/>
      <c r="E319" s="115"/>
      <c r="F319" s="118"/>
      <c r="G319" s="115"/>
      <c r="H319" s="115"/>
      <c r="I319" s="115"/>
      <c r="J319" s="117"/>
      <c r="K319" s="115"/>
      <c r="L319" s="115"/>
      <c r="M319" s="115"/>
      <c r="N319" s="115"/>
      <c r="O319" s="118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 spans="1:26" ht="15.75" customHeight="1" x14ac:dyDescent="0.2">
      <c r="A320" s="117"/>
      <c r="B320" s="115"/>
      <c r="C320" s="115"/>
      <c r="D320" s="115"/>
      <c r="E320" s="115"/>
      <c r="F320" s="118"/>
      <c r="G320" s="115"/>
      <c r="H320" s="115"/>
      <c r="I320" s="115"/>
      <c r="J320" s="117"/>
      <c r="K320" s="115"/>
      <c r="L320" s="115"/>
      <c r="M320" s="115"/>
      <c r="N320" s="115"/>
      <c r="O320" s="118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 spans="1:26" ht="15.75" customHeight="1" x14ac:dyDescent="0.2">
      <c r="A321" s="117"/>
      <c r="B321" s="115"/>
      <c r="C321" s="115"/>
      <c r="D321" s="115"/>
      <c r="E321" s="115"/>
      <c r="F321" s="118"/>
      <c r="G321" s="115"/>
      <c r="H321" s="115"/>
      <c r="I321" s="115"/>
      <c r="J321" s="117"/>
      <c r="K321" s="115"/>
      <c r="L321" s="115"/>
      <c r="M321" s="115"/>
      <c r="N321" s="115"/>
      <c r="O321" s="118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 spans="1:26" ht="15.75" customHeight="1" x14ac:dyDescent="0.2">
      <c r="A322" s="117"/>
      <c r="B322" s="115"/>
      <c r="C322" s="115"/>
      <c r="D322" s="115"/>
      <c r="E322" s="115"/>
      <c r="F322" s="118"/>
      <c r="G322" s="115"/>
      <c r="H322" s="115"/>
      <c r="I322" s="115"/>
      <c r="J322" s="117"/>
      <c r="K322" s="115"/>
      <c r="L322" s="115"/>
      <c r="M322" s="115"/>
      <c r="N322" s="115"/>
      <c r="O322" s="118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 spans="1:26" ht="15.75" customHeight="1" x14ac:dyDescent="0.2">
      <c r="A323" s="117"/>
      <c r="B323" s="115"/>
      <c r="C323" s="115"/>
      <c r="D323" s="115"/>
      <c r="E323" s="115"/>
      <c r="F323" s="118"/>
      <c r="G323" s="115"/>
      <c r="H323" s="115"/>
      <c r="I323" s="115"/>
      <c r="J323" s="117"/>
      <c r="K323" s="115"/>
      <c r="L323" s="115"/>
      <c r="M323" s="115"/>
      <c r="N323" s="115"/>
      <c r="O323" s="118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 spans="1:26" ht="15.75" customHeight="1" x14ac:dyDescent="0.2">
      <c r="A324" s="117"/>
      <c r="B324" s="115"/>
      <c r="C324" s="115"/>
      <c r="D324" s="115"/>
      <c r="E324" s="115"/>
      <c r="F324" s="118"/>
      <c r="G324" s="115"/>
      <c r="H324" s="115"/>
      <c r="I324" s="115"/>
      <c r="J324" s="117"/>
      <c r="K324" s="115"/>
      <c r="L324" s="115"/>
      <c r="M324" s="115"/>
      <c r="N324" s="115"/>
      <c r="O324" s="118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 spans="1:26" ht="15.75" customHeight="1" x14ac:dyDescent="0.2">
      <c r="A325" s="117"/>
      <c r="B325" s="115"/>
      <c r="C325" s="115"/>
      <c r="D325" s="115"/>
      <c r="E325" s="115"/>
      <c r="F325" s="118"/>
      <c r="G325" s="115"/>
      <c r="H325" s="115"/>
      <c r="I325" s="115"/>
      <c r="J325" s="117"/>
      <c r="K325" s="115"/>
      <c r="L325" s="115"/>
      <c r="M325" s="115"/>
      <c r="N325" s="115"/>
      <c r="O325" s="118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 spans="1:26" ht="15.75" customHeight="1" x14ac:dyDescent="0.2">
      <c r="A326" s="117"/>
      <c r="B326" s="115"/>
      <c r="C326" s="115"/>
      <c r="D326" s="115"/>
      <c r="E326" s="115"/>
      <c r="F326" s="118"/>
      <c r="G326" s="115"/>
      <c r="H326" s="115"/>
      <c r="I326" s="115"/>
      <c r="J326" s="117"/>
      <c r="K326" s="115"/>
      <c r="L326" s="115"/>
      <c r="M326" s="115"/>
      <c r="N326" s="115"/>
      <c r="O326" s="118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 spans="1:26" ht="15.75" customHeight="1" x14ac:dyDescent="0.2">
      <c r="A327" s="117"/>
      <c r="B327" s="115"/>
      <c r="C327" s="115"/>
      <c r="D327" s="115"/>
      <c r="E327" s="115"/>
      <c r="F327" s="118"/>
      <c r="G327" s="115"/>
      <c r="H327" s="115"/>
      <c r="I327" s="115"/>
      <c r="J327" s="117"/>
      <c r="K327" s="115"/>
      <c r="L327" s="115"/>
      <c r="M327" s="115"/>
      <c r="N327" s="115"/>
      <c r="O327" s="118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 spans="1:26" ht="15.75" customHeight="1" x14ac:dyDescent="0.2">
      <c r="A328" s="117"/>
      <c r="B328" s="115"/>
      <c r="C328" s="115"/>
      <c r="D328" s="115"/>
      <c r="E328" s="115"/>
      <c r="F328" s="118"/>
      <c r="G328" s="115"/>
      <c r="H328" s="115"/>
      <c r="I328" s="115"/>
      <c r="J328" s="117"/>
      <c r="K328" s="115"/>
      <c r="L328" s="115"/>
      <c r="M328" s="115"/>
      <c r="N328" s="115"/>
      <c r="O328" s="118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 spans="1:26" ht="15.75" customHeight="1" x14ac:dyDescent="0.2">
      <c r="A329" s="117"/>
      <c r="B329" s="115"/>
      <c r="C329" s="115"/>
      <c r="D329" s="115"/>
      <c r="E329" s="115"/>
      <c r="F329" s="118"/>
      <c r="G329" s="115"/>
      <c r="H329" s="115"/>
      <c r="I329" s="115"/>
      <c r="J329" s="117"/>
      <c r="K329" s="115"/>
      <c r="L329" s="115"/>
      <c r="M329" s="115"/>
      <c r="N329" s="115"/>
      <c r="O329" s="118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 spans="1:26" ht="15.75" customHeight="1" x14ac:dyDescent="0.2">
      <c r="A330" s="117"/>
      <c r="B330" s="115"/>
      <c r="C330" s="115"/>
      <c r="D330" s="115"/>
      <c r="E330" s="115"/>
      <c r="F330" s="118"/>
      <c r="G330" s="115"/>
      <c r="H330" s="115"/>
      <c r="I330" s="115"/>
      <c r="J330" s="117"/>
      <c r="K330" s="115"/>
      <c r="L330" s="115"/>
      <c r="M330" s="115"/>
      <c r="N330" s="115"/>
      <c r="O330" s="118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 spans="1:26" ht="15.75" customHeight="1" x14ac:dyDescent="0.2">
      <c r="A331" s="117"/>
      <c r="B331" s="115"/>
      <c r="C331" s="115"/>
      <c r="D331" s="115"/>
      <c r="E331" s="115"/>
      <c r="F331" s="118"/>
      <c r="G331" s="115"/>
      <c r="H331" s="115"/>
      <c r="I331" s="115"/>
      <c r="J331" s="117"/>
      <c r="K331" s="115"/>
      <c r="L331" s="115"/>
      <c r="M331" s="115"/>
      <c r="N331" s="115"/>
      <c r="O331" s="118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 spans="1:26" ht="15.75" customHeight="1" x14ac:dyDescent="0.2">
      <c r="A332" s="117"/>
      <c r="B332" s="115"/>
      <c r="C332" s="115"/>
      <c r="D332" s="115"/>
      <c r="E332" s="115"/>
      <c r="F332" s="118"/>
      <c r="G332" s="115"/>
      <c r="H332" s="115"/>
      <c r="I332" s="115"/>
      <c r="J332" s="117"/>
      <c r="K332" s="115"/>
      <c r="L332" s="115"/>
      <c r="M332" s="115"/>
      <c r="N332" s="115"/>
      <c r="O332" s="118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 spans="1:26" ht="15.75" customHeight="1" x14ac:dyDescent="0.2">
      <c r="A333" s="117"/>
      <c r="B333" s="115"/>
      <c r="C333" s="115"/>
      <c r="D333" s="115"/>
      <c r="E333" s="115"/>
      <c r="F333" s="118"/>
      <c r="G333" s="115"/>
      <c r="H333" s="115"/>
      <c r="I333" s="115"/>
      <c r="J333" s="117"/>
      <c r="K333" s="115"/>
      <c r="L333" s="115"/>
      <c r="M333" s="115"/>
      <c r="N333" s="115"/>
      <c r="O333" s="118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 spans="1:26" ht="15.75" customHeight="1" x14ac:dyDescent="0.2">
      <c r="A334" s="117"/>
      <c r="B334" s="115"/>
      <c r="C334" s="115"/>
      <c r="D334" s="115"/>
      <c r="E334" s="115"/>
      <c r="F334" s="118"/>
      <c r="G334" s="115"/>
      <c r="H334" s="115"/>
      <c r="I334" s="115"/>
      <c r="J334" s="117"/>
      <c r="K334" s="115"/>
      <c r="L334" s="115"/>
      <c r="M334" s="115"/>
      <c r="N334" s="115"/>
      <c r="O334" s="118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 spans="1:26" ht="15.75" customHeight="1" x14ac:dyDescent="0.2">
      <c r="A335" s="117"/>
      <c r="B335" s="115"/>
      <c r="C335" s="115"/>
      <c r="D335" s="115"/>
      <c r="E335" s="115"/>
      <c r="F335" s="118"/>
      <c r="G335" s="115"/>
      <c r="H335" s="115"/>
      <c r="I335" s="115"/>
      <c r="J335" s="117"/>
      <c r="K335" s="115"/>
      <c r="L335" s="115"/>
      <c r="M335" s="115"/>
      <c r="N335" s="115"/>
      <c r="O335" s="118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 spans="1:26" ht="15.75" customHeight="1" x14ac:dyDescent="0.2">
      <c r="A336" s="117"/>
      <c r="B336" s="115"/>
      <c r="C336" s="115"/>
      <c r="D336" s="115"/>
      <c r="E336" s="115"/>
      <c r="F336" s="118"/>
      <c r="G336" s="115"/>
      <c r="H336" s="115"/>
      <c r="I336" s="115"/>
      <c r="J336" s="117"/>
      <c r="K336" s="115"/>
      <c r="L336" s="115"/>
      <c r="M336" s="115"/>
      <c r="N336" s="115"/>
      <c r="O336" s="118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 spans="1:26" ht="15.75" customHeight="1" x14ac:dyDescent="0.2">
      <c r="A337" s="117"/>
      <c r="B337" s="115"/>
      <c r="C337" s="115"/>
      <c r="D337" s="115"/>
      <c r="E337" s="115"/>
      <c r="F337" s="118"/>
      <c r="G337" s="115"/>
      <c r="H337" s="115"/>
      <c r="I337" s="115"/>
      <c r="J337" s="117"/>
      <c r="K337" s="115"/>
      <c r="L337" s="115"/>
      <c r="M337" s="115"/>
      <c r="N337" s="115"/>
      <c r="O337" s="118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 spans="1:26" ht="15.75" customHeight="1" x14ac:dyDescent="0.2">
      <c r="A338" s="117"/>
      <c r="B338" s="115"/>
      <c r="C338" s="115"/>
      <c r="D338" s="115"/>
      <c r="E338" s="115"/>
      <c r="F338" s="118"/>
      <c r="G338" s="115"/>
      <c r="H338" s="115"/>
      <c r="I338" s="115"/>
      <c r="J338" s="117"/>
      <c r="K338" s="115"/>
      <c r="L338" s="115"/>
      <c r="M338" s="115"/>
      <c r="N338" s="115"/>
      <c r="O338" s="118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 spans="1:26" ht="15.75" customHeight="1" x14ac:dyDescent="0.2">
      <c r="A339" s="117"/>
      <c r="B339" s="115"/>
      <c r="C339" s="115"/>
      <c r="D339" s="115"/>
      <c r="E339" s="115"/>
      <c r="F339" s="118"/>
      <c r="G339" s="115"/>
      <c r="H339" s="115"/>
      <c r="I339" s="115"/>
      <c r="J339" s="117"/>
      <c r="K339" s="115"/>
      <c r="L339" s="115"/>
      <c r="M339" s="115"/>
      <c r="N339" s="115"/>
      <c r="O339" s="118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 spans="1:26" ht="15.75" customHeight="1" x14ac:dyDescent="0.2">
      <c r="A340" s="117"/>
      <c r="B340" s="115"/>
      <c r="C340" s="115"/>
      <c r="D340" s="115"/>
      <c r="E340" s="115"/>
      <c r="F340" s="118"/>
      <c r="G340" s="115"/>
      <c r="H340" s="115"/>
      <c r="I340" s="115"/>
      <c r="J340" s="117"/>
      <c r="K340" s="115"/>
      <c r="L340" s="115"/>
      <c r="M340" s="115"/>
      <c r="N340" s="115"/>
      <c r="O340" s="118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 spans="1:26" ht="15.75" customHeight="1" x14ac:dyDescent="0.2">
      <c r="A341" s="117"/>
      <c r="B341" s="115"/>
      <c r="C341" s="115"/>
      <c r="D341" s="115"/>
      <c r="E341" s="115"/>
      <c r="F341" s="118"/>
      <c r="G341" s="115"/>
      <c r="H341" s="115"/>
      <c r="I341" s="115"/>
      <c r="J341" s="117"/>
      <c r="K341" s="115"/>
      <c r="L341" s="115"/>
      <c r="M341" s="115"/>
      <c r="N341" s="115"/>
      <c r="O341" s="118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 spans="1:26" ht="15.75" customHeight="1" x14ac:dyDescent="0.2">
      <c r="A342" s="117"/>
      <c r="B342" s="115"/>
      <c r="C342" s="115"/>
      <c r="D342" s="115"/>
      <c r="E342" s="115"/>
      <c r="F342" s="118"/>
      <c r="G342" s="115"/>
      <c r="H342" s="115"/>
      <c r="I342" s="115"/>
      <c r="J342" s="117"/>
      <c r="K342" s="115"/>
      <c r="L342" s="115"/>
      <c r="M342" s="115"/>
      <c r="N342" s="115"/>
      <c r="O342" s="118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 spans="1:26" ht="15.75" customHeight="1" x14ac:dyDescent="0.2">
      <c r="A343" s="117"/>
      <c r="B343" s="115"/>
      <c r="C343" s="115"/>
      <c r="D343" s="115"/>
      <c r="E343" s="115"/>
      <c r="F343" s="118"/>
      <c r="G343" s="115"/>
      <c r="H343" s="115"/>
      <c r="I343" s="115"/>
      <c r="J343" s="117"/>
      <c r="K343" s="115"/>
      <c r="L343" s="115"/>
      <c r="M343" s="115"/>
      <c r="N343" s="115"/>
      <c r="O343" s="118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 spans="1:26" ht="15.75" customHeight="1" x14ac:dyDescent="0.2">
      <c r="A344" s="117"/>
      <c r="B344" s="115"/>
      <c r="C344" s="115"/>
      <c r="D344" s="115"/>
      <c r="E344" s="115"/>
      <c r="F344" s="118"/>
      <c r="G344" s="115"/>
      <c r="H344" s="115"/>
      <c r="I344" s="115"/>
      <c r="J344" s="117"/>
      <c r="K344" s="115"/>
      <c r="L344" s="115"/>
      <c r="M344" s="115"/>
      <c r="N344" s="115"/>
      <c r="O344" s="118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 spans="1:26" ht="15.75" customHeight="1" x14ac:dyDescent="0.2">
      <c r="A345" s="117"/>
      <c r="B345" s="115"/>
      <c r="C345" s="115"/>
      <c r="D345" s="115"/>
      <c r="E345" s="115"/>
      <c r="F345" s="118"/>
      <c r="G345" s="115"/>
      <c r="H345" s="115"/>
      <c r="I345" s="115"/>
      <c r="J345" s="117"/>
      <c r="K345" s="115"/>
      <c r="L345" s="115"/>
      <c r="M345" s="115"/>
      <c r="N345" s="115"/>
      <c r="O345" s="118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 spans="1:26" ht="15.75" customHeight="1" x14ac:dyDescent="0.2">
      <c r="A346" s="117"/>
      <c r="B346" s="115"/>
      <c r="C346" s="115"/>
      <c r="D346" s="115"/>
      <c r="E346" s="115"/>
      <c r="F346" s="118"/>
      <c r="G346" s="115"/>
      <c r="H346" s="115"/>
      <c r="I346" s="115"/>
      <c r="J346" s="117"/>
      <c r="K346" s="115"/>
      <c r="L346" s="115"/>
      <c r="M346" s="115"/>
      <c r="N346" s="115"/>
      <c r="O346" s="118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 spans="1:26" ht="15.75" customHeight="1" x14ac:dyDescent="0.2">
      <c r="A347" s="117"/>
      <c r="B347" s="115"/>
      <c r="C347" s="115"/>
      <c r="D347" s="115"/>
      <c r="E347" s="115"/>
      <c r="F347" s="118"/>
      <c r="G347" s="115"/>
      <c r="H347" s="115"/>
      <c r="I347" s="115"/>
      <c r="J347" s="117"/>
      <c r="K347" s="115"/>
      <c r="L347" s="115"/>
      <c r="M347" s="115"/>
      <c r="N347" s="115"/>
      <c r="O347" s="118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 spans="1:26" ht="15.75" customHeight="1" x14ac:dyDescent="0.2">
      <c r="A348" s="117"/>
      <c r="B348" s="115"/>
      <c r="C348" s="115"/>
      <c r="D348" s="115"/>
      <c r="E348" s="115"/>
      <c r="F348" s="118"/>
      <c r="G348" s="115"/>
      <c r="H348" s="115"/>
      <c r="I348" s="115"/>
      <c r="J348" s="117"/>
      <c r="K348" s="115"/>
      <c r="L348" s="115"/>
      <c r="M348" s="115"/>
      <c r="N348" s="115"/>
      <c r="O348" s="118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 spans="1:26" ht="15.75" customHeight="1" x14ac:dyDescent="0.2">
      <c r="A349" s="117"/>
      <c r="B349" s="115"/>
      <c r="C349" s="115"/>
      <c r="D349" s="115"/>
      <c r="E349" s="115"/>
      <c r="F349" s="118"/>
      <c r="G349" s="115"/>
      <c r="H349" s="115"/>
      <c r="I349" s="115"/>
      <c r="J349" s="117"/>
      <c r="K349" s="115"/>
      <c r="L349" s="115"/>
      <c r="M349" s="115"/>
      <c r="N349" s="115"/>
      <c r="O349" s="118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 spans="1:26" ht="15.75" customHeight="1" x14ac:dyDescent="0.2">
      <c r="A350" s="117"/>
      <c r="B350" s="115"/>
      <c r="C350" s="115"/>
      <c r="D350" s="115"/>
      <c r="E350" s="115"/>
      <c r="F350" s="118"/>
      <c r="G350" s="115"/>
      <c r="H350" s="115"/>
      <c r="I350" s="115"/>
      <c r="J350" s="117"/>
      <c r="K350" s="115"/>
      <c r="L350" s="115"/>
      <c r="M350" s="115"/>
      <c r="N350" s="115"/>
      <c r="O350" s="118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 spans="1:26" ht="15.75" customHeight="1" x14ac:dyDescent="0.2">
      <c r="A351" s="117"/>
      <c r="B351" s="115"/>
      <c r="C351" s="115"/>
      <c r="D351" s="115"/>
      <c r="E351" s="115"/>
      <c r="F351" s="118"/>
      <c r="G351" s="115"/>
      <c r="H351" s="115"/>
      <c r="I351" s="115"/>
      <c r="J351" s="117"/>
      <c r="K351" s="115"/>
      <c r="L351" s="115"/>
      <c r="M351" s="115"/>
      <c r="N351" s="115"/>
      <c r="O351" s="118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 spans="1:26" ht="15.75" customHeight="1" x14ac:dyDescent="0.2">
      <c r="A352" s="117"/>
      <c r="B352" s="115"/>
      <c r="C352" s="115"/>
      <c r="D352" s="115"/>
      <c r="E352" s="115"/>
      <c r="F352" s="118"/>
      <c r="G352" s="115"/>
      <c r="H352" s="115"/>
      <c r="I352" s="115"/>
      <c r="J352" s="117"/>
      <c r="K352" s="115"/>
      <c r="L352" s="115"/>
      <c r="M352" s="115"/>
      <c r="N352" s="115"/>
      <c r="O352" s="118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 spans="1:26" ht="15.75" customHeight="1" x14ac:dyDescent="0.2">
      <c r="A353" s="117"/>
      <c r="B353" s="115"/>
      <c r="C353" s="115"/>
      <c r="D353" s="115"/>
      <c r="E353" s="115"/>
      <c r="F353" s="118"/>
      <c r="G353" s="115"/>
      <c r="H353" s="115"/>
      <c r="I353" s="115"/>
      <c r="J353" s="117"/>
      <c r="K353" s="115"/>
      <c r="L353" s="115"/>
      <c r="M353" s="115"/>
      <c r="N353" s="115"/>
      <c r="O353" s="118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 spans="1:26" ht="15.75" customHeight="1" x14ac:dyDescent="0.2">
      <c r="A354" s="117"/>
      <c r="B354" s="115"/>
      <c r="C354" s="115"/>
      <c r="D354" s="115"/>
      <c r="E354" s="115"/>
      <c r="F354" s="118"/>
      <c r="G354" s="115"/>
      <c r="H354" s="115"/>
      <c r="I354" s="115"/>
      <c r="J354" s="117"/>
      <c r="K354" s="115"/>
      <c r="L354" s="115"/>
      <c r="M354" s="115"/>
      <c r="N354" s="115"/>
      <c r="O354" s="118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 spans="1:26" ht="15.75" customHeight="1" x14ac:dyDescent="0.2">
      <c r="A355" s="117"/>
      <c r="B355" s="115"/>
      <c r="C355" s="115"/>
      <c r="D355" s="115"/>
      <c r="E355" s="115"/>
      <c r="F355" s="118"/>
      <c r="G355" s="115"/>
      <c r="H355" s="115"/>
      <c r="I355" s="115"/>
      <c r="J355" s="117"/>
      <c r="K355" s="115"/>
      <c r="L355" s="115"/>
      <c r="M355" s="115"/>
      <c r="N355" s="115"/>
      <c r="O355" s="118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 spans="1:26" ht="15.75" customHeight="1" x14ac:dyDescent="0.2">
      <c r="A356" s="117"/>
      <c r="B356" s="115"/>
      <c r="C356" s="115"/>
      <c r="D356" s="115"/>
      <c r="E356" s="115"/>
      <c r="F356" s="118"/>
      <c r="G356" s="115"/>
      <c r="H356" s="115"/>
      <c r="I356" s="115"/>
      <c r="J356" s="117"/>
      <c r="K356" s="115"/>
      <c r="L356" s="115"/>
      <c r="M356" s="115"/>
      <c r="N356" s="115"/>
      <c r="O356" s="118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 spans="1:26" ht="15.75" customHeight="1" x14ac:dyDescent="0.2">
      <c r="A357" s="117"/>
      <c r="B357" s="115"/>
      <c r="C357" s="115"/>
      <c r="D357" s="115"/>
      <c r="E357" s="115"/>
      <c r="F357" s="118"/>
      <c r="G357" s="115"/>
      <c r="H357" s="115"/>
      <c r="I357" s="115"/>
      <c r="J357" s="117"/>
      <c r="K357" s="115"/>
      <c r="L357" s="115"/>
      <c r="M357" s="115"/>
      <c r="N357" s="115"/>
      <c r="O357" s="118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 spans="1:26" ht="15.75" customHeight="1" x14ac:dyDescent="0.2">
      <c r="A358" s="117"/>
      <c r="B358" s="115"/>
      <c r="C358" s="115"/>
      <c r="D358" s="115"/>
      <c r="E358" s="115"/>
      <c r="F358" s="118"/>
      <c r="G358" s="115"/>
      <c r="H358" s="115"/>
      <c r="I358" s="115"/>
      <c r="J358" s="117"/>
      <c r="K358" s="115"/>
      <c r="L358" s="115"/>
      <c r="M358" s="115"/>
      <c r="N358" s="115"/>
      <c r="O358" s="118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 spans="1:26" ht="15.75" customHeight="1" x14ac:dyDescent="0.2">
      <c r="A359" s="117"/>
      <c r="B359" s="115"/>
      <c r="C359" s="115"/>
      <c r="D359" s="115"/>
      <c r="E359" s="115"/>
      <c r="F359" s="118"/>
      <c r="G359" s="115"/>
      <c r="H359" s="115"/>
      <c r="I359" s="115"/>
      <c r="J359" s="117"/>
      <c r="K359" s="115"/>
      <c r="L359" s="115"/>
      <c r="M359" s="115"/>
      <c r="N359" s="115"/>
      <c r="O359" s="118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 spans="1:26" ht="15.75" customHeight="1" x14ac:dyDescent="0.2">
      <c r="A360" s="117"/>
      <c r="B360" s="115"/>
      <c r="C360" s="115"/>
      <c r="D360" s="115"/>
      <c r="E360" s="115"/>
      <c r="F360" s="118"/>
      <c r="G360" s="115"/>
      <c r="H360" s="115"/>
      <c r="I360" s="115"/>
      <c r="J360" s="117"/>
      <c r="K360" s="115"/>
      <c r="L360" s="115"/>
      <c r="M360" s="115"/>
      <c r="N360" s="115"/>
      <c r="O360" s="118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 spans="1:26" ht="15.75" customHeight="1" x14ac:dyDescent="0.2">
      <c r="A361" s="117"/>
      <c r="B361" s="115"/>
      <c r="C361" s="115"/>
      <c r="D361" s="115"/>
      <c r="E361" s="115"/>
      <c r="F361" s="118"/>
      <c r="G361" s="115"/>
      <c r="H361" s="115"/>
      <c r="I361" s="115"/>
      <c r="J361" s="117"/>
      <c r="K361" s="115"/>
      <c r="L361" s="115"/>
      <c r="M361" s="115"/>
      <c r="N361" s="115"/>
      <c r="O361" s="118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 spans="1:26" ht="15.75" customHeight="1" x14ac:dyDescent="0.2">
      <c r="A362" s="117"/>
      <c r="B362" s="115"/>
      <c r="C362" s="115"/>
      <c r="D362" s="115"/>
      <c r="E362" s="115"/>
      <c r="F362" s="118"/>
      <c r="G362" s="115"/>
      <c r="H362" s="115"/>
      <c r="I362" s="115"/>
      <c r="J362" s="117"/>
      <c r="K362" s="115"/>
      <c r="L362" s="115"/>
      <c r="M362" s="115"/>
      <c r="N362" s="115"/>
      <c r="O362" s="118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 spans="1:26" ht="15.75" customHeight="1" x14ac:dyDescent="0.2">
      <c r="A363" s="117"/>
      <c r="B363" s="115"/>
      <c r="C363" s="115"/>
      <c r="D363" s="115"/>
      <c r="E363" s="115"/>
      <c r="F363" s="118"/>
      <c r="G363" s="115"/>
      <c r="H363" s="115"/>
      <c r="I363" s="115"/>
      <c r="J363" s="117"/>
      <c r="K363" s="115"/>
      <c r="L363" s="115"/>
      <c r="M363" s="115"/>
      <c r="N363" s="115"/>
      <c r="O363" s="118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 spans="1:26" ht="15.75" customHeight="1" x14ac:dyDescent="0.2">
      <c r="A364" s="117"/>
      <c r="B364" s="115"/>
      <c r="C364" s="115"/>
      <c r="D364" s="115"/>
      <c r="E364" s="115"/>
      <c r="F364" s="118"/>
      <c r="G364" s="115"/>
      <c r="H364" s="115"/>
      <c r="I364" s="115"/>
      <c r="J364" s="117"/>
      <c r="K364" s="115"/>
      <c r="L364" s="115"/>
      <c r="M364" s="115"/>
      <c r="N364" s="115"/>
      <c r="O364" s="118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 spans="1:26" ht="15.75" customHeight="1" x14ac:dyDescent="0.2">
      <c r="A365" s="117"/>
      <c r="B365" s="115"/>
      <c r="C365" s="115"/>
      <c r="D365" s="115"/>
      <c r="E365" s="115"/>
      <c r="F365" s="118"/>
      <c r="G365" s="115"/>
      <c r="H365" s="115"/>
      <c r="I365" s="115"/>
      <c r="J365" s="117"/>
      <c r="K365" s="115"/>
      <c r="L365" s="115"/>
      <c r="M365" s="115"/>
      <c r="N365" s="115"/>
      <c r="O365" s="118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 spans="1:26" ht="15.75" customHeight="1" x14ac:dyDescent="0.2">
      <c r="A366" s="117"/>
      <c r="B366" s="115"/>
      <c r="C366" s="115"/>
      <c r="D366" s="115"/>
      <c r="E366" s="115"/>
      <c r="F366" s="118"/>
      <c r="G366" s="115"/>
      <c r="H366" s="115"/>
      <c r="I366" s="115"/>
      <c r="J366" s="117"/>
      <c r="K366" s="115"/>
      <c r="L366" s="115"/>
      <c r="M366" s="115"/>
      <c r="N366" s="115"/>
      <c r="O366" s="118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 spans="1:26" ht="15.75" customHeight="1" x14ac:dyDescent="0.2">
      <c r="A367" s="117"/>
      <c r="B367" s="115"/>
      <c r="C367" s="115"/>
      <c r="D367" s="115"/>
      <c r="E367" s="115"/>
      <c r="F367" s="118"/>
      <c r="G367" s="115"/>
      <c r="H367" s="115"/>
      <c r="I367" s="115"/>
      <c r="J367" s="117"/>
      <c r="K367" s="115"/>
      <c r="L367" s="115"/>
      <c r="M367" s="115"/>
      <c r="N367" s="115"/>
      <c r="O367" s="118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 spans="1:26" ht="15.75" customHeight="1" x14ac:dyDescent="0.2">
      <c r="A368" s="117"/>
      <c r="B368" s="115"/>
      <c r="C368" s="115"/>
      <c r="D368" s="115"/>
      <c r="E368" s="115"/>
      <c r="F368" s="118"/>
      <c r="G368" s="115"/>
      <c r="H368" s="115"/>
      <c r="I368" s="115"/>
      <c r="J368" s="117"/>
      <c r="K368" s="115"/>
      <c r="L368" s="115"/>
      <c r="M368" s="115"/>
      <c r="N368" s="115"/>
      <c r="O368" s="118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 spans="1:26" ht="15.75" customHeight="1" x14ac:dyDescent="0.2">
      <c r="A369" s="117"/>
      <c r="B369" s="115"/>
      <c r="C369" s="115"/>
      <c r="D369" s="115"/>
      <c r="E369" s="115"/>
      <c r="F369" s="118"/>
      <c r="G369" s="115"/>
      <c r="H369" s="115"/>
      <c r="I369" s="115"/>
      <c r="J369" s="117"/>
      <c r="K369" s="115"/>
      <c r="L369" s="115"/>
      <c r="M369" s="115"/>
      <c r="N369" s="115"/>
      <c r="O369" s="118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 spans="1:26" ht="15.75" customHeight="1" x14ac:dyDescent="0.2">
      <c r="A370" s="117"/>
      <c r="B370" s="115"/>
      <c r="C370" s="115"/>
      <c r="D370" s="115"/>
      <c r="E370" s="115"/>
      <c r="F370" s="118"/>
      <c r="G370" s="115"/>
      <c r="H370" s="115"/>
      <c r="I370" s="115"/>
      <c r="J370" s="117"/>
      <c r="K370" s="115"/>
      <c r="L370" s="115"/>
      <c r="M370" s="115"/>
      <c r="N370" s="115"/>
      <c r="O370" s="118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 spans="1:26" ht="15.75" customHeight="1" x14ac:dyDescent="0.2">
      <c r="A371" s="117"/>
      <c r="B371" s="115"/>
      <c r="C371" s="115"/>
      <c r="D371" s="115"/>
      <c r="E371" s="115"/>
      <c r="F371" s="118"/>
      <c r="G371" s="115"/>
      <c r="H371" s="115"/>
      <c r="I371" s="115"/>
      <c r="J371" s="117"/>
      <c r="K371" s="115"/>
      <c r="L371" s="115"/>
      <c r="M371" s="115"/>
      <c r="N371" s="115"/>
      <c r="O371" s="118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 spans="1:26" ht="15.75" customHeight="1" x14ac:dyDescent="0.2">
      <c r="A372" s="117"/>
      <c r="B372" s="115"/>
      <c r="C372" s="115"/>
      <c r="D372" s="115"/>
      <c r="E372" s="115"/>
      <c r="F372" s="118"/>
      <c r="G372" s="115"/>
      <c r="H372" s="115"/>
      <c r="I372" s="115"/>
      <c r="J372" s="117"/>
      <c r="K372" s="115"/>
      <c r="L372" s="115"/>
      <c r="M372" s="115"/>
      <c r="N372" s="115"/>
      <c r="O372" s="118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 spans="1:26" ht="15.75" customHeight="1" x14ac:dyDescent="0.2">
      <c r="A373" s="117"/>
      <c r="B373" s="115"/>
      <c r="C373" s="115"/>
      <c r="D373" s="115"/>
      <c r="E373" s="115"/>
      <c r="F373" s="118"/>
      <c r="G373" s="115"/>
      <c r="H373" s="115"/>
      <c r="I373" s="115"/>
      <c r="J373" s="117"/>
      <c r="K373" s="115"/>
      <c r="L373" s="115"/>
      <c r="M373" s="115"/>
      <c r="N373" s="115"/>
      <c r="O373" s="118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 spans="1:26" ht="15.75" customHeight="1" x14ac:dyDescent="0.2">
      <c r="A374" s="117"/>
      <c r="B374" s="115"/>
      <c r="C374" s="115"/>
      <c r="D374" s="115"/>
      <c r="E374" s="115"/>
      <c r="F374" s="118"/>
      <c r="G374" s="115"/>
      <c r="H374" s="115"/>
      <c r="I374" s="115"/>
      <c r="J374" s="117"/>
      <c r="K374" s="115"/>
      <c r="L374" s="115"/>
      <c r="M374" s="115"/>
      <c r="N374" s="115"/>
      <c r="O374" s="118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 spans="1:26" ht="15.75" customHeight="1" x14ac:dyDescent="0.2">
      <c r="A375" s="117"/>
      <c r="B375" s="115"/>
      <c r="C375" s="115"/>
      <c r="D375" s="115"/>
      <c r="E375" s="115"/>
      <c r="F375" s="118"/>
      <c r="G375" s="115"/>
      <c r="H375" s="115"/>
      <c r="I375" s="115"/>
      <c r="J375" s="117"/>
      <c r="K375" s="115"/>
      <c r="L375" s="115"/>
      <c r="M375" s="115"/>
      <c r="N375" s="115"/>
      <c r="O375" s="118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 spans="1:26" ht="15.75" customHeight="1" x14ac:dyDescent="0.2">
      <c r="A376" s="117"/>
      <c r="B376" s="115"/>
      <c r="C376" s="115"/>
      <c r="D376" s="115"/>
      <c r="E376" s="115"/>
      <c r="F376" s="118"/>
      <c r="G376" s="115"/>
      <c r="H376" s="115"/>
      <c r="I376" s="115"/>
      <c r="J376" s="117"/>
      <c r="K376" s="115"/>
      <c r="L376" s="115"/>
      <c r="M376" s="115"/>
      <c r="N376" s="115"/>
      <c r="O376" s="118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 spans="1:26" ht="15.75" customHeight="1" x14ac:dyDescent="0.2">
      <c r="A377" s="117"/>
      <c r="B377" s="115"/>
      <c r="C377" s="115"/>
      <c r="D377" s="115"/>
      <c r="E377" s="115"/>
      <c r="F377" s="118"/>
      <c r="G377" s="115"/>
      <c r="H377" s="115"/>
      <c r="I377" s="115"/>
      <c r="J377" s="117"/>
      <c r="K377" s="115"/>
      <c r="L377" s="115"/>
      <c r="M377" s="115"/>
      <c r="N377" s="115"/>
      <c r="O377" s="118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 spans="1:26" ht="15.75" customHeight="1" x14ac:dyDescent="0.2">
      <c r="A378" s="117"/>
      <c r="B378" s="115"/>
      <c r="C378" s="115"/>
      <c r="D378" s="115"/>
      <c r="E378" s="115"/>
      <c r="F378" s="118"/>
      <c r="G378" s="115"/>
      <c r="H378" s="115"/>
      <c r="I378" s="115"/>
      <c r="J378" s="117"/>
      <c r="K378" s="115"/>
      <c r="L378" s="115"/>
      <c r="M378" s="115"/>
      <c r="N378" s="115"/>
      <c r="O378" s="118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 spans="1:26" ht="15.75" customHeight="1" x14ac:dyDescent="0.2">
      <c r="A379" s="117"/>
      <c r="B379" s="115"/>
      <c r="C379" s="115"/>
      <c r="D379" s="115"/>
      <c r="E379" s="115"/>
      <c r="F379" s="118"/>
      <c r="G379" s="115"/>
      <c r="H379" s="115"/>
      <c r="I379" s="115"/>
      <c r="J379" s="117"/>
      <c r="K379" s="115"/>
      <c r="L379" s="115"/>
      <c r="M379" s="115"/>
      <c r="N379" s="115"/>
      <c r="O379" s="118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 spans="1:26" ht="15.75" customHeight="1" x14ac:dyDescent="0.2">
      <c r="A380" s="117"/>
      <c r="B380" s="115"/>
      <c r="C380" s="115"/>
      <c r="D380" s="115"/>
      <c r="E380" s="115"/>
      <c r="F380" s="118"/>
      <c r="G380" s="115"/>
      <c r="H380" s="115"/>
      <c r="I380" s="115"/>
      <c r="J380" s="117"/>
      <c r="K380" s="115"/>
      <c r="L380" s="115"/>
      <c r="M380" s="115"/>
      <c r="N380" s="115"/>
      <c r="O380" s="118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 spans="1:26" ht="15.75" customHeight="1" x14ac:dyDescent="0.2">
      <c r="A381" s="117"/>
      <c r="B381" s="115"/>
      <c r="C381" s="115"/>
      <c r="D381" s="115"/>
      <c r="E381" s="115"/>
      <c r="F381" s="118"/>
      <c r="G381" s="115"/>
      <c r="H381" s="115"/>
      <c r="I381" s="115"/>
      <c r="J381" s="117"/>
      <c r="K381" s="115"/>
      <c r="L381" s="115"/>
      <c r="M381" s="115"/>
      <c r="N381" s="115"/>
      <c r="O381" s="118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 spans="1:26" ht="15.75" customHeight="1" x14ac:dyDescent="0.2">
      <c r="A382" s="117"/>
      <c r="B382" s="115"/>
      <c r="C382" s="115"/>
      <c r="D382" s="115"/>
      <c r="E382" s="115"/>
      <c r="F382" s="118"/>
      <c r="G382" s="115"/>
      <c r="H382" s="115"/>
      <c r="I382" s="115"/>
      <c r="J382" s="117"/>
      <c r="K382" s="115"/>
      <c r="L382" s="115"/>
      <c r="M382" s="115"/>
      <c r="N382" s="115"/>
      <c r="O382" s="118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 spans="1:26" ht="15.75" customHeight="1" x14ac:dyDescent="0.2">
      <c r="A383" s="117"/>
      <c r="B383" s="115"/>
      <c r="C383" s="115"/>
      <c r="D383" s="115"/>
      <c r="E383" s="115"/>
      <c r="F383" s="118"/>
      <c r="G383" s="115"/>
      <c r="H383" s="115"/>
      <c r="I383" s="115"/>
      <c r="J383" s="117"/>
      <c r="K383" s="115"/>
      <c r="L383" s="115"/>
      <c r="M383" s="115"/>
      <c r="N383" s="115"/>
      <c r="O383" s="118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 spans="1:26" ht="15.75" customHeight="1" x14ac:dyDescent="0.2">
      <c r="A384" s="117"/>
      <c r="B384" s="115"/>
      <c r="C384" s="115"/>
      <c r="D384" s="115"/>
      <c r="E384" s="115"/>
      <c r="F384" s="118"/>
      <c r="G384" s="115"/>
      <c r="H384" s="115"/>
      <c r="I384" s="115"/>
      <c r="J384" s="117"/>
      <c r="K384" s="115"/>
      <c r="L384" s="115"/>
      <c r="M384" s="115"/>
      <c r="N384" s="115"/>
      <c r="O384" s="118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 spans="1:26" ht="15.75" customHeight="1" x14ac:dyDescent="0.2">
      <c r="A385" s="117"/>
      <c r="B385" s="115"/>
      <c r="C385" s="115"/>
      <c r="D385" s="115"/>
      <c r="E385" s="115"/>
      <c r="F385" s="118"/>
      <c r="G385" s="115"/>
      <c r="H385" s="115"/>
      <c r="I385" s="115"/>
      <c r="J385" s="117"/>
      <c r="K385" s="115"/>
      <c r="L385" s="115"/>
      <c r="M385" s="115"/>
      <c r="N385" s="115"/>
      <c r="O385" s="118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 spans="1:26" ht="15.75" customHeight="1" x14ac:dyDescent="0.2">
      <c r="A386" s="117"/>
      <c r="B386" s="115"/>
      <c r="C386" s="115"/>
      <c r="D386" s="115"/>
      <c r="E386" s="115"/>
      <c r="F386" s="118"/>
      <c r="G386" s="115"/>
      <c r="H386" s="115"/>
      <c r="I386" s="115"/>
      <c r="J386" s="117"/>
      <c r="K386" s="115"/>
      <c r="L386" s="115"/>
      <c r="M386" s="115"/>
      <c r="N386" s="115"/>
      <c r="O386" s="118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 spans="1:26" ht="15.75" customHeight="1" x14ac:dyDescent="0.2">
      <c r="A387" s="117"/>
      <c r="B387" s="115"/>
      <c r="C387" s="115"/>
      <c r="D387" s="115"/>
      <c r="E387" s="115"/>
      <c r="F387" s="118"/>
      <c r="G387" s="115"/>
      <c r="H387" s="115"/>
      <c r="I387" s="115"/>
      <c r="J387" s="117"/>
      <c r="K387" s="115"/>
      <c r="L387" s="115"/>
      <c r="M387" s="115"/>
      <c r="N387" s="115"/>
      <c r="O387" s="118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 spans="1:26" ht="15.75" customHeight="1" x14ac:dyDescent="0.2">
      <c r="A388" s="117"/>
      <c r="B388" s="115"/>
      <c r="C388" s="115"/>
      <c r="D388" s="115"/>
      <c r="E388" s="115"/>
      <c r="F388" s="118"/>
      <c r="G388" s="115"/>
      <c r="H388" s="115"/>
      <c r="I388" s="115"/>
      <c r="J388" s="117"/>
      <c r="K388" s="115"/>
      <c r="L388" s="115"/>
      <c r="M388" s="115"/>
      <c r="N388" s="115"/>
      <c r="O388" s="118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 spans="1:26" ht="15.75" customHeight="1" x14ac:dyDescent="0.2">
      <c r="A389" s="117"/>
      <c r="B389" s="115"/>
      <c r="C389" s="115"/>
      <c r="D389" s="115"/>
      <c r="E389" s="115"/>
      <c r="F389" s="118"/>
      <c r="G389" s="115"/>
      <c r="H389" s="115"/>
      <c r="I389" s="115"/>
      <c r="J389" s="117"/>
      <c r="K389" s="115"/>
      <c r="L389" s="115"/>
      <c r="M389" s="115"/>
      <c r="N389" s="115"/>
      <c r="O389" s="118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 spans="1:26" ht="15.75" customHeight="1" x14ac:dyDescent="0.2">
      <c r="A390" s="117"/>
      <c r="B390" s="115"/>
      <c r="C390" s="115"/>
      <c r="D390" s="115"/>
      <c r="E390" s="115"/>
      <c r="F390" s="118"/>
      <c r="G390" s="115"/>
      <c r="H390" s="115"/>
      <c r="I390" s="115"/>
      <c r="J390" s="117"/>
      <c r="K390" s="115"/>
      <c r="L390" s="115"/>
      <c r="M390" s="115"/>
      <c r="N390" s="115"/>
      <c r="O390" s="118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 spans="1:26" ht="15.75" customHeight="1" x14ac:dyDescent="0.2">
      <c r="A391" s="117"/>
      <c r="B391" s="115"/>
      <c r="C391" s="115"/>
      <c r="D391" s="115"/>
      <c r="E391" s="115"/>
      <c r="F391" s="118"/>
      <c r="G391" s="115"/>
      <c r="H391" s="115"/>
      <c r="I391" s="115"/>
      <c r="J391" s="117"/>
      <c r="K391" s="115"/>
      <c r="L391" s="115"/>
      <c r="M391" s="115"/>
      <c r="N391" s="115"/>
      <c r="O391" s="118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 spans="1:26" ht="15.75" customHeight="1" x14ac:dyDescent="0.2">
      <c r="A392" s="117"/>
      <c r="B392" s="115"/>
      <c r="C392" s="115"/>
      <c r="D392" s="115"/>
      <c r="E392" s="115"/>
      <c r="F392" s="118"/>
      <c r="G392" s="115"/>
      <c r="H392" s="115"/>
      <c r="I392" s="115"/>
      <c r="J392" s="117"/>
      <c r="K392" s="115"/>
      <c r="L392" s="115"/>
      <c r="M392" s="115"/>
      <c r="N392" s="115"/>
      <c r="O392" s="118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 spans="1:26" ht="15.75" customHeight="1" x14ac:dyDescent="0.2">
      <c r="A393" s="117"/>
      <c r="B393" s="115"/>
      <c r="C393" s="115"/>
      <c r="D393" s="115"/>
      <c r="E393" s="115"/>
      <c r="F393" s="118"/>
      <c r="G393" s="115"/>
      <c r="H393" s="115"/>
      <c r="I393" s="115"/>
      <c r="J393" s="117"/>
      <c r="K393" s="115"/>
      <c r="L393" s="115"/>
      <c r="M393" s="115"/>
      <c r="N393" s="115"/>
      <c r="O393" s="118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 spans="1:26" ht="15.75" customHeight="1" x14ac:dyDescent="0.2">
      <c r="A394" s="117"/>
      <c r="B394" s="115"/>
      <c r="C394" s="115"/>
      <c r="D394" s="115"/>
      <c r="E394" s="115"/>
      <c r="F394" s="118"/>
      <c r="G394" s="115"/>
      <c r="H394" s="115"/>
      <c r="I394" s="115"/>
      <c r="J394" s="117"/>
      <c r="K394" s="115"/>
      <c r="L394" s="115"/>
      <c r="M394" s="115"/>
      <c r="N394" s="115"/>
      <c r="O394" s="118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 spans="1:26" ht="15.75" customHeight="1" x14ac:dyDescent="0.2">
      <c r="A395" s="117"/>
      <c r="B395" s="115"/>
      <c r="C395" s="115"/>
      <c r="D395" s="115"/>
      <c r="E395" s="115"/>
      <c r="F395" s="118"/>
      <c r="G395" s="115"/>
      <c r="H395" s="115"/>
      <c r="I395" s="115"/>
      <c r="J395" s="117"/>
      <c r="K395" s="115"/>
      <c r="L395" s="115"/>
      <c r="M395" s="115"/>
      <c r="N395" s="115"/>
      <c r="O395" s="118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 spans="1:26" ht="15.75" customHeight="1" x14ac:dyDescent="0.2">
      <c r="A396" s="117"/>
      <c r="B396" s="115"/>
      <c r="C396" s="115"/>
      <c r="D396" s="115"/>
      <c r="E396" s="115"/>
      <c r="F396" s="118"/>
      <c r="G396" s="115"/>
      <c r="H396" s="115"/>
      <c r="I396" s="115"/>
      <c r="J396" s="117"/>
      <c r="K396" s="115"/>
      <c r="L396" s="115"/>
      <c r="M396" s="115"/>
      <c r="N396" s="115"/>
      <c r="O396" s="118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 spans="1:26" ht="15.75" customHeight="1" x14ac:dyDescent="0.2">
      <c r="A397" s="117"/>
      <c r="B397" s="115"/>
      <c r="C397" s="115"/>
      <c r="D397" s="115"/>
      <c r="E397" s="115"/>
      <c r="F397" s="118"/>
      <c r="G397" s="115"/>
      <c r="H397" s="115"/>
      <c r="I397" s="115"/>
      <c r="J397" s="117"/>
      <c r="K397" s="115"/>
      <c r="L397" s="115"/>
      <c r="M397" s="115"/>
      <c r="N397" s="115"/>
      <c r="O397" s="118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 spans="1:26" ht="15.75" customHeight="1" x14ac:dyDescent="0.2">
      <c r="A398" s="117"/>
      <c r="B398" s="115"/>
      <c r="C398" s="115"/>
      <c r="D398" s="115"/>
      <c r="E398" s="115"/>
      <c r="F398" s="118"/>
      <c r="G398" s="115"/>
      <c r="H398" s="115"/>
      <c r="I398" s="115"/>
      <c r="J398" s="117"/>
      <c r="K398" s="115"/>
      <c r="L398" s="115"/>
      <c r="M398" s="115"/>
      <c r="N398" s="115"/>
      <c r="O398" s="118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 spans="1:26" ht="15.75" customHeight="1" x14ac:dyDescent="0.2">
      <c r="A399" s="117"/>
      <c r="B399" s="115"/>
      <c r="C399" s="115"/>
      <c r="D399" s="115"/>
      <c r="E399" s="115"/>
      <c r="F399" s="118"/>
      <c r="G399" s="115"/>
      <c r="H399" s="115"/>
      <c r="I399" s="115"/>
      <c r="J399" s="117"/>
      <c r="K399" s="115"/>
      <c r="L399" s="115"/>
      <c r="M399" s="115"/>
      <c r="N399" s="115"/>
      <c r="O399" s="118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 spans="1:26" ht="15.75" customHeight="1" x14ac:dyDescent="0.2">
      <c r="A400" s="117"/>
      <c r="B400" s="115"/>
      <c r="C400" s="115"/>
      <c r="D400" s="115"/>
      <c r="E400" s="115"/>
      <c r="F400" s="118"/>
      <c r="G400" s="115"/>
      <c r="H400" s="115"/>
      <c r="I400" s="115"/>
      <c r="J400" s="117"/>
      <c r="K400" s="115"/>
      <c r="L400" s="115"/>
      <c r="M400" s="115"/>
      <c r="N400" s="115"/>
      <c r="O400" s="118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 spans="1:26" ht="15.75" customHeight="1" x14ac:dyDescent="0.2">
      <c r="A401" s="117"/>
      <c r="B401" s="115"/>
      <c r="C401" s="115"/>
      <c r="D401" s="115"/>
      <c r="E401" s="115"/>
      <c r="F401" s="118"/>
      <c r="G401" s="115"/>
      <c r="H401" s="115"/>
      <c r="I401" s="115"/>
      <c r="J401" s="117"/>
      <c r="K401" s="115"/>
      <c r="L401" s="115"/>
      <c r="M401" s="115"/>
      <c r="N401" s="115"/>
      <c r="O401" s="118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 spans="1:26" ht="15.75" customHeight="1" x14ac:dyDescent="0.2">
      <c r="A402" s="117"/>
      <c r="B402" s="115"/>
      <c r="C402" s="115"/>
      <c r="D402" s="115"/>
      <c r="E402" s="115"/>
      <c r="F402" s="118"/>
      <c r="G402" s="115"/>
      <c r="H402" s="115"/>
      <c r="I402" s="115"/>
      <c r="J402" s="117"/>
      <c r="K402" s="115"/>
      <c r="L402" s="115"/>
      <c r="M402" s="115"/>
      <c r="N402" s="115"/>
      <c r="O402" s="118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 spans="1:26" ht="15.75" customHeight="1" x14ac:dyDescent="0.2">
      <c r="A403" s="117"/>
      <c r="B403" s="115"/>
      <c r="C403" s="115"/>
      <c r="D403" s="115"/>
      <c r="E403" s="115"/>
      <c r="F403" s="118"/>
      <c r="G403" s="115"/>
      <c r="H403" s="115"/>
      <c r="I403" s="115"/>
      <c r="J403" s="117"/>
      <c r="K403" s="115"/>
      <c r="L403" s="115"/>
      <c r="M403" s="115"/>
      <c r="N403" s="115"/>
      <c r="O403" s="118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 spans="1:26" ht="15.75" customHeight="1" x14ac:dyDescent="0.2">
      <c r="A404" s="117"/>
      <c r="B404" s="115"/>
      <c r="C404" s="115"/>
      <c r="D404" s="115"/>
      <c r="E404" s="115"/>
      <c r="F404" s="118"/>
      <c r="G404" s="115"/>
      <c r="H404" s="115"/>
      <c r="I404" s="115"/>
      <c r="J404" s="117"/>
      <c r="K404" s="115"/>
      <c r="L404" s="115"/>
      <c r="M404" s="115"/>
      <c r="N404" s="115"/>
      <c r="O404" s="118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 spans="1:26" ht="15.75" customHeight="1" x14ac:dyDescent="0.2">
      <c r="A405" s="117"/>
      <c r="B405" s="115"/>
      <c r="C405" s="115"/>
      <c r="D405" s="115"/>
      <c r="E405" s="115"/>
      <c r="F405" s="118"/>
      <c r="G405" s="115"/>
      <c r="H405" s="115"/>
      <c r="I405" s="115"/>
      <c r="J405" s="117"/>
      <c r="K405" s="115"/>
      <c r="L405" s="115"/>
      <c r="M405" s="115"/>
      <c r="N405" s="115"/>
      <c r="O405" s="118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 spans="1:26" ht="15.75" customHeight="1" x14ac:dyDescent="0.2">
      <c r="A406" s="117"/>
      <c r="B406" s="115"/>
      <c r="C406" s="115"/>
      <c r="D406" s="115"/>
      <c r="E406" s="115"/>
      <c r="F406" s="118"/>
      <c r="G406" s="115"/>
      <c r="H406" s="115"/>
      <c r="I406" s="115"/>
      <c r="J406" s="117"/>
      <c r="K406" s="115"/>
      <c r="L406" s="115"/>
      <c r="M406" s="115"/>
      <c r="N406" s="115"/>
      <c r="O406" s="118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 spans="1:26" ht="15.75" customHeight="1" x14ac:dyDescent="0.2">
      <c r="A407" s="117"/>
      <c r="B407" s="115"/>
      <c r="C407" s="115"/>
      <c r="D407" s="115"/>
      <c r="E407" s="115"/>
      <c r="F407" s="118"/>
      <c r="G407" s="115"/>
      <c r="H407" s="115"/>
      <c r="I407" s="115"/>
      <c r="J407" s="117"/>
      <c r="K407" s="115"/>
      <c r="L407" s="115"/>
      <c r="M407" s="115"/>
      <c r="N407" s="115"/>
      <c r="O407" s="118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 spans="1:26" ht="15.75" customHeight="1" x14ac:dyDescent="0.2">
      <c r="A408" s="117"/>
      <c r="B408" s="115"/>
      <c r="C408" s="115"/>
      <c r="D408" s="115"/>
      <c r="E408" s="115"/>
      <c r="F408" s="118"/>
      <c r="G408" s="115"/>
      <c r="H408" s="115"/>
      <c r="I408" s="115"/>
      <c r="J408" s="117"/>
      <c r="K408" s="115"/>
      <c r="L408" s="115"/>
      <c r="M408" s="115"/>
      <c r="N408" s="115"/>
      <c r="O408" s="118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 spans="1:26" ht="15.75" customHeight="1" x14ac:dyDescent="0.2">
      <c r="A409" s="117"/>
      <c r="B409" s="115"/>
      <c r="C409" s="115"/>
      <c r="D409" s="115"/>
      <c r="E409" s="115"/>
      <c r="F409" s="118"/>
      <c r="G409" s="115"/>
      <c r="H409" s="115"/>
      <c r="I409" s="115"/>
      <c r="J409" s="117"/>
      <c r="K409" s="115"/>
      <c r="L409" s="115"/>
      <c r="M409" s="115"/>
      <c r="N409" s="115"/>
      <c r="O409" s="118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 spans="1:26" ht="15.75" customHeight="1" x14ac:dyDescent="0.2">
      <c r="A410" s="117"/>
      <c r="B410" s="115"/>
      <c r="C410" s="115"/>
      <c r="D410" s="115"/>
      <c r="E410" s="115"/>
      <c r="F410" s="118"/>
      <c r="G410" s="115"/>
      <c r="H410" s="115"/>
      <c r="I410" s="115"/>
      <c r="J410" s="117"/>
      <c r="K410" s="115"/>
      <c r="L410" s="115"/>
      <c r="M410" s="115"/>
      <c r="N410" s="115"/>
      <c r="O410" s="118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 spans="1:26" ht="15.75" customHeight="1" x14ac:dyDescent="0.2">
      <c r="A411" s="117"/>
      <c r="B411" s="115"/>
      <c r="C411" s="115"/>
      <c r="D411" s="115"/>
      <c r="E411" s="115"/>
      <c r="F411" s="118"/>
      <c r="G411" s="115"/>
      <c r="H411" s="115"/>
      <c r="I411" s="115"/>
      <c r="J411" s="117"/>
      <c r="K411" s="115"/>
      <c r="L411" s="115"/>
      <c r="M411" s="115"/>
      <c r="N411" s="115"/>
      <c r="O411" s="118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 spans="1:26" ht="15.75" customHeight="1" x14ac:dyDescent="0.2">
      <c r="A412" s="117"/>
      <c r="B412" s="115"/>
      <c r="C412" s="115"/>
      <c r="D412" s="115"/>
      <c r="E412" s="115"/>
      <c r="F412" s="118"/>
      <c r="G412" s="115"/>
      <c r="H412" s="115"/>
      <c r="I412" s="115"/>
      <c r="J412" s="117"/>
      <c r="K412" s="115"/>
      <c r="L412" s="115"/>
      <c r="M412" s="115"/>
      <c r="N412" s="115"/>
      <c r="O412" s="118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 spans="1:26" ht="15.75" customHeight="1" x14ac:dyDescent="0.2">
      <c r="A413" s="117"/>
      <c r="B413" s="115"/>
      <c r="C413" s="115"/>
      <c r="D413" s="115"/>
      <c r="E413" s="115"/>
      <c r="F413" s="118"/>
      <c r="G413" s="115"/>
      <c r="H413" s="115"/>
      <c r="I413" s="115"/>
      <c r="J413" s="117"/>
      <c r="K413" s="115"/>
      <c r="L413" s="115"/>
      <c r="M413" s="115"/>
      <c r="N413" s="115"/>
      <c r="O413" s="118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 spans="1:26" ht="15.75" customHeight="1" x14ac:dyDescent="0.2">
      <c r="A414" s="117"/>
      <c r="B414" s="115"/>
      <c r="C414" s="115"/>
      <c r="D414" s="115"/>
      <c r="E414" s="115"/>
      <c r="F414" s="118"/>
      <c r="G414" s="115"/>
      <c r="H414" s="115"/>
      <c r="I414" s="115"/>
      <c r="J414" s="117"/>
      <c r="K414" s="115"/>
      <c r="L414" s="115"/>
      <c r="M414" s="115"/>
      <c r="N414" s="115"/>
      <c r="O414" s="118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 spans="1:26" ht="15.75" customHeight="1" x14ac:dyDescent="0.2">
      <c r="A415" s="117"/>
      <c r="B415" s="115"/>
      <c r="C415" s="115"/>
      <c r="D415" s="115"/>
      <c r="E415" s="115"/>
      <c r="F415" s="118"/>
      <c r="G415" s="115"/>
      <c r="H415" s="115"/>
      <c r="I415" s="115"/>
      <c r="J415" s="117"/>
      <c r="K415" s="115"/>
      <c r="L415" s="115"/>
      <c r="M415" s="115"/>
      <c r="N415" s="115"/>
      <c r="O415" s="118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 spans="1:26" ht="15.75" customHeight="1" x14ac:dyDescent="0.2">
      <c r="A416" s="117"/>
      <c r="B416" s="115"/>
      <c r="C416" s="115"/>
      <c r="D416" s="115"/>
      <c r="E416" s="115"/>
      <c r="F416" s="118"/>
      <c r="G416" s="115"/>
      <c r="H416" s="115"/>
      <c r="I416" s="115"/>
      <c r="J416" s="117"/>
      <c r="K416" s="115"/>
      <c r="L416" s="115"/>
      <c r="M416" s="115"/>
      <c r="N416" s="115"/>
      <c r="O416" s="118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 spans="1:26" ht="15.75" customHeight="1" x14ac:dyDescent="0.2">
      <c r="A417" s="117"/>
      <c r="B417" s="115"/>
      <c r="C417" s="115"/>
      <c r="D417" s="115"/>
      <c r="E417" s="115"/>
      <c r="F417" s="118"/>
      <c r="G417" s="115"/>
      <c r="H417" s="115"/>
      <c r="I417" s="115"/>
      <c r="J417" s="117"/>
      <c r="K417" s="115"/>
      <c r="L417" s="115"/>
      <c r="M417" s="115"/>
      <c r="N417" s="115"/>
      <c r="O417" s="118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 spans="1:26" ht="15.75" customHeight="1" x14ac:dyDescent="0.2">
      <c r="A418" s="117"/>
      <c r="B418" s="115"/>
      <c r="C418" s="115"/>
      <c r="D418" s="115"/>
      <c r="E418" s="115"/>
      <c r="F418" s="118"/>
      <c r="G418" s="115"/>
      <c r="H418" s="115"/>
      <c r="I418" s="115"/>
      <c r="J418" s="117"/>
      <c r="K418" s="115"/>
      <c r="L418" s="115"/>
      <c r="M418" s="115"/>
      <c r="N418" s="115"/>
      <c r="O418" s="118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 spans="1:26" ht="15.75" customHeight="1" x14ac:dyDescent="0.2">
      <c r="A419" s="117"/>
      <c r="B419" s="115"/>
      <c r="C419" s="115"/>
      <c r="D419" s="115"/>
      <c r="E419" s="115"/>
      <c r="F419" s="118"/>
      <c r="G419" s="115"/>
      <c r="H419" s="115"/>
      <c r="I419" s="115"/>
      <c r="J419" s="117"/>
      <c r="K419" s="115"/>
      <c r="L419" s="115"/>
      <c r="M419" s="115"/>
      <c r="N419" s="115"/>
      <c r="O419" s="118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 spans="1:26" ht="15.75" customHeight="1" x14ac:dyDescent="0.2">
      <c r="A420" s="117"/>
      <c r="B420" s="115"/>
      <c r="C420" s="115"/>
      <c r="D420" s="115"/>
      <c r="E420" s="115"/>
      <c r="F420" s="118"/>
      <c r="G420" s="115"/>
      <c r="H420" s="115"/>
      <c r="I420" s="115"/>
      <c r="J420" s="117"/>
      <c r="K420" s="115"/>
      <c r="L420" s="115"/>
      <c r="M420" s="115"/>
      <c r="N420" s="115"/>
      <c r="O420" s="118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 spans="1:26" ht="15.75" customHeight="1" x14ac:dyDescent="0.2">
      <c r="A421" s="117"/>
      <c r="B421" s="115"/>
      <c r="C421" s="115"/>
      <c r="D421" s="115"/>
      <c r="E421" s="115"/>
      <c r="F421" s="118"/>
      <c r="G421" s="115"/>
      <c r="H421" s="115"/>
      <c r="I421" s="115"/>
      <c r="J421" s="117"/>
      <c r="K421" s="115"/>
      <c r="L421" s="115"/>
      <c r="M421" s="115"/>
      <c r="N421" s="115"/>
      <c r="O421" s="118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 spans="1:26" ht="15.75" customHeight="1" x14ac:dyDescent="0.2">
      <c r="A422" s="117"/>
      <c r="B422" s="115"/>
      <c r="C422" s="115"/>
      <c r="D422" s="115"/>
      <c r="E422" s="115"/>
      <c r="F422" s="118"/>
      <c r="G422" s="115"/>
      <c r="H422" s="115"/>
      <c r="I422" s="115"/>
      <c r="J422" s="117"/>
      <c r="K422" s="115"/>
      <c r="L422" s="115"/>
      <c r="M422" s="115"/>
      <c r="N422" s="115"/>
      <c r="O422" s="118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 spans="1:26" ht="15.75" customHeight="1" x14ac:dyDescent="0.2">
      <c r="A423" s="117"/>
      <c r="B423" s="115"/>
      <c r="C423" s="115"/>
      <c r="D423" s="115"/>
      <c r="E423" s="115"/>
      <c r="F423" s="118"/>
      <c r="G423" s="115"/>
      <c r="H423" s="115"/>
      <c r="I423" s="115"/>
      <c r="J423" s="117"/>
      <c r="K423" s="115"/>
      <c r="L423" s="115"/>
      <c r="M423" s="115"/>
      <c r="N423" s="115"/>
      <c r="O423" s="118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 spans="1:26" ht="15.75" customHeight="1" x14ac:dyDescent="0.2">
      <c r="A424" s="117"/>
      <c r="B424" s="115"/>
      <c r="C424" s="115"/>
      <c r="D424" s="115"/>
      <c r="E424" s="115"/>
      <c r="F424" s="118"/>
      <c r="G424" s="115"/>
      <c r="H424" s="115"/>
      <c r="I424" s="115"/>
      <c r="J424" s="117"/>
      <c r="K424" s="115"/>
      <c r="L424" s="115"/>
      <c r="M424" s="115"/>
      <c r="N424" s="115"/>
      <c r="O424" s="118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 spans="1:26" ht="15.75" customHeight="1" x14ac:dyDescent="0.2">
      <c r="A425" s="117"/>
      <c r="B425" s="115"/>
      <c r="C425" s="115"/>
      <c r="D425" s="115"/>
      <c r="E425" s="115"/>
      <c r="F425" s="118"/>
      <c r="G425" s="115"/>
      <c r="H425" s="115"/>
      <c r="I425" s="115"/>
      <c r="J425" s="117"/>
      <c r="K425" s="115"/>
      <c r="L425" s="115"/>
      <c r="M425" s="115"/>
      <c r="N425" s="115"/>
      <c r="O425" s="118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 spans="1:26" ht="15.75" customHeight="1" x14ac:dyDescent="0.2">
      <c r="A426" s="117"/>
      <c r="B426" s="115"/>
      <c r="C426" s="115"/>
      <c r="D426" s="115"/>
      <c r="E426" s="115"/>
      <c r="F426" s="118"/>
      <c r="G426" s="115"/>
      <c r="H426" s="115"/>
      <c r="I426" s="115"/>
      <c r="J426" s="117"/>
      <c r="K426" s="115"/>
      <c r="L426" s="115"/>
      <c r="M426" s="115"/>
      <c r="N426" s="115"/>
      <c r="O426" s="118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 spans="1:26" ht="15.75" customHeight="1" x14ac:dyDescent="0.2">
      <c r="A427" s="117"/>
      <c r="B427" s="115"/>
      <c r="C427" s="115"/>
      <c r="D427" s="115"/>
      <c r="E427" s="115"/>
      <c r="F427" s="118"/>
      <c r="G427" s="115"/>
      <c r="H427" s="115"/>
      <c r="I427" s="115"/>
      <c r="J427" s="117"/>
      <c r="K427" s="115"/>
      <c r="L427" s="115"/>
      <c r="M427" s="115"/>
      <c r="N427" s="115"/>
      <c r="O427" s="118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 spans="1:26" ht="15.75" customHeight="1" x14ac:dyDescent="0.2">
      <c r="A428" s="117"/>
      <c r="B428" s="115"/>
      <c r="C428" s="115"/>
      <c r="D428" s="115"/>
      <c r="E428" s="115"/>
      <c r="F428" s="118"/>
      <c r="G428" s="115"/>
      <c r="H428" s="115"/>
      <c r="I428" s="115"/>
      <c r="J428" s="117"/>
      <c r="K428" s="115"/>
      <c r="L428" s="115"/>
      <c r="M428" s="115"/>
      <c r="N428" s="115"/>
      <c r="O428" s="118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 spans="1:26" ht="15.75" customHeight="1" x14ac:dyDescent="0.2">
      <c r="A429" s="117"/>
      <c r="B429" s="115"/>
      <c r="C429" s="115"/>
      <c r="D429" s="115"/>
      <c r="E429" s="115"/>
      <c r="F429" s="118"/>
      <c r="G429" s="115"/>
      <c r="H429" s="115"/>
      <c r="I429" s="115"/>
      <c r="J429" s="117"/>
      <c r="K429" s="115"/>
      <c r="L429" s="115"/>
      <c r="M429" s="115"/>
      <c r="N429" s="115"/>
      <c r="O429" s="118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 spans="1:26" ht="15.75" customHeight="1" x14ac:dyDescent="0.2">
      <c r="A430" s="117"/>
      <c r="B430" s="115"/>
      <c r="C430" s="115"/>
      <c r="D430" s="115"/>
      <c r="E430" s="115"/>
      <c r="F430" s="118"/>
      <c r="G430" s="115"/>
      <c r="H430" s="115"/>
      <c r="I430" s="115"/>
      <c r="J430" s="117"/>
      <c r="K430" s="115"/>
      <c r="L430" s="115"/>
      <c r="M430" s="115"/>
      <c r="N430" s="115"/>
      <c r="O430" s="118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 spans="1:26" ht="15.75" customHeight="1" x14ac:dyDescent="0.2">
      <c r="A431" s="117"/>
      <c r="B431" s="115"/>
      <c r="C431" s="115"/>
      <c r="D431" s="115"/>
      <c r="E431" s="115"/>
      <c r="F431" s="118"/>
      <c r="G431" s="115"/>
      <c r="H431" s="115"/>
      <c r="I431" s="115"/>
      <c r="J431" s="117"/>
      <c r="K431" s="115"/>
      <c r="L431" s="115"/>
      <c r="M431" s="115"/>
      <c r="N431" s="115"/>
      <c r="O431" s="118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 spans="1:26" ht="15.75" customHeight="1" x14ac:dyDescent="0.2">
      <c r="A432" s="117"/>
      <c r="B432" s="115"/>
      <c r="C432" s="115"/>
      <c r="D432" s="115"/>
      <c r="E432" s="115"/>
      <c r="F432" s="118"/>
      <c r="G432" s="115"/>
      <c r="H432" s="115"/>
      <c r="I432" s="115"/>
      <c r="J432" s="117"/>
      <c r="K432" s="115"/>
      <c r="L432" s="115"/>
      <c r="M432" s="115"/>
      <c r="N432" s="115"/>
      <c r="O432" s="118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 spans="1:26" ht="15.75" customHeight="1" x14ac:dyDescent="0.2">
      <c r="A433" s="117"/>
      <c r="B433" s="115"/>
      <c r="C433" s="115"/>
      <c r="D433" s="115"/>
      <c r="E433" s="115"/>
      <c r="F433" s="118"/>
      <c r="G433" s="115"/>
      <c r="H433" s="115"/>
      <c r="I433" s="115"/>
      <c r="J433" s="117"/>
      <c r="K433" s="115"/>
      <c r="L433" s="115"/>
      <c r="M433" s="115"/>
      <c r="N433" s="115"/>
      <c r="O433" s="118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 spans="1:26" ht="15.75" customHeight="1" x14ac:dyDescent="0.2">
      <c r="A434" s="117"/>
      <c r="B434" s="115"/>
      <c r="C434" s="115"/>
      <c r="D434" s="115"/>
      <c r="E434" s="115"/>
      <c r="F434" s="118"/>
      <c r="G434" s="115"/>
      <c r="H434" s="115"/>
      <c r="I434" s="115"/>
      <c r="J434" s="117"/>
      <c r="K434" s="115"/>
      <c r="L434" s="115"/>
      <c r="M434" s="115"/>
      <c r="N434" s="115"/>
      <c r="O434" s="118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 spans="1:26" ht="15.75" customHeight="1" x14ac:dyDescent="0.2">
      <c r="A435" s="117"/>
      <c r="B435" s="115"/>
      <c r="C435" s="115"/>
      <c r="D435" s="115"/>
      <c r="E435" s="115"/>
      <c r="F435" s="118"/>
      <c r="G435" s="115"/>
      <c r="H435" s="115"/>
      <c r="I435" s="115"/>
      <c r="J435" s="117"/>
      <c r="K435" s="115"/>
      <c r="L435" s="115"/>
      <c r="M435" s="115"/>
      <c r="N435" s="115"/>
      <c r="O435" s="118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 spans="1:26" ht="15.75" customHeight="1" x14ac:dyDescent="0.2">
      <c r="A436" s="117"/>
      <c r="B436" s="115"/>
      <c r="C436" s="115"/>
      <c r="D436" s="115"/>
      <c r="E436" s="115"/>
      <c r="F436" s="118"/>
      <c r="G436" s="115"/>
      <c r="H436" s="115"/>
      <c r="I436" s="115"/>
      <c r="J436" s="117"/>
      <c r="K436" s="115"/>
      <c r="L436" s="115"/>
      <c r="M436" s="115"/>
      <c r="N436" s="115"/>
      <c r="O436" s="118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 spans="1:26" ht="15.75" customHeight="1" x14ac:dyDescent="0.2">
      <c r="A437" s="117"/>
      <c r="B437" s="115"/>
      <c r="C437" s="115"/>
      <c r="D437" s="115"/>
      <c r="E437" s="115"/>
      <c r="F437" s="118"/>
      <c r="G437" s="115"/>
      <c r="H437" s="115"/>
      <c r="I437" s="115"/>
      <c r="J437" s="117"/>
      <c r="K437" s="115"/>
      <c r="L437" s="115"/>
      <c r="M437" s="115"/>
      <c r="N437" s="115"/>
      <c r="O437" s="118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 spans="1:26" ht="15.75" customHeight="1" x14ac:dyDescent="0.2">
      <c r="A438" s="117"/>
      <c r="B438" s="115"/>
      <c r="C438" s="115"/>
      <c r="D438" s="115"/>
      <c r="E438" s="115"/>
      <c r="F438" s="118"/>
      <c r="G438" s="115"/>
      <c r="H438" s="115"/>
      <c r="I438" s="115"/>
      <c r="J438" s="117"/>
      <c r="K438" s="115"/>
      <c r="L438" s="115"/>
      <c r="M438" s="115"/>
      <c r="N438" s="115"/>
      <c r="O438" s="118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 spans="1:26" ht="15.75" customHeight="1" x14ac:dyDescent="0.2">
      <c r="A439" s="117"/>
      <c r="B439" s="115"/>
      <c r="C439" s="115"/>
      <c r="D439" s="115"/>
      <c r="E439" s="115"/>
      <c r="F439" s="118"/>
      <c r="G439" s="115"/>
      <c r="H439" s="115"/>
      <c r="I439" s="115"/>
      <c r="J439" s="117"/>
      <c r="K439" s="115"/>
      <c r="L439" s="115"/>
      <c r="M439" s="115"/>
      <c r="N439" s="115"/>
      <c r="O439" s="118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 spans="1:26" ht="15.75" customHeight="1" x14ac:dyDescent="0.2">
      <c r="A440" s="117"/>
      <c r="B440" s="115"/>
      <c r="C440" s="115"/>
      <c r="D440" s="115"/>
      <c r="E440" s="115"/>
      <c r="F440" s="118"/>
      <c r="G440" s="115"/>
      <c r="H440" s="115"/>
      <c r="I440" s="115"/>
      <c r="J440" s="117"/>
      <c r="K440" s="115"/>
      <c r="L440" s="115"/>
      <c r="M440" s="115"/>
      <c r="N440" s="115"/>
      <c r="O440" s="118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 spans="1:26" ht="15.75" customHeight="1" x14ac:dyDescent="0.2">
      <c r="A441" s="117"/>
      <c r="B441" s="115"/>
      <c r="C441" s="115"/>
      <c r="D441" s="115"/>
      <c r="E441" s="115"/>
      <c r="F441" s="118"/>
      <c r="G441" s="115"/>
      <c r="H441" s="115"/>
      <c r="I441" s="115"/>
      <c r="J441" s="117"/>
      <c r="K441" s="115"/>
      <c r="L441" s="115"/>
      <c r="M441" s="115"/>
      <c r="N441" s="115"/>
      <c r="O441" s="118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 spans="1:26" ht="15.75" customHeight="1" x14ac:dyDescent="0.2">
      <c r="A442" s="117"/>
      <c r="B442" s="115"/>
      <c r="C442" s="115"/>
      <c r="D442" s="115"/>
      <c r="E442" s="115"/>
      <c r="F442" s="118"/>
      <c r="G442" s="115"/>
      <c r="H442" s="115"/>
      <c r="I442" s="115"/>
      <c r="J442" s="117"/>
      <c r="K442" s="115"/>
      <c r="L442" s="115"/>
      <c r="M442" s="115"/>
      <c r="N442" s="115"/>
      <c r="O442" s="118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 spans="1:26" ht="15.75" customHeight="1" x14ac:dyDescent="0.2">
      <c r="A443" s="117"/>
      <c r="B443" s="115"/>
      <c r="C443" s="115"/>
      <c r="D443" s="115"/>
      <c r="E443" s="115"/>
      <c r="F443" s="118"/>
      <c r="G443" s="115"/>
      <c r="H443" s="115"/>
      <c r="I443" s="115"/>
      <c r="J443" s="117"/>
      <c r="K443" s="115"/>
      <c r="L443" s="115"/>
      <c r="M443" s="115"/>
      <c r="N443" s="115"/>
      <c r="O443" s="118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 spans="1:26" ht="15.75" customHeight="1" x14ac:dyDescent="0.2">
      <c r="A444" s="117"/>
      <c r="B444" s="115"/>
      <c r="C444" s="115"/>
      <c r="D444" s="115"/>
      <c r="E444" s="115"/>
      <c r="F444" s="118"/>
      <c r="G444" s="115"/>
      <c r="H444" s="115"/>
      <c r="I444" s="115"/>
      <c r="J444" s="117"/>
      <c r="K444" s="115"/>
      <c r="L444" s="115"/>
      <c r="M444" s="115"/>
      <c r="N444" s="115"/>
      <c r="O444" s="118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 spans="1:26" ht="15.75" customHeight="1" x14ac:dyDescent="0.2">
      <c r="A445" s="117"/>
      <c r="B445" s="115"/>
      <c r="C445" s="115"/>
      <c r="D445" s="115"/>
      <c r="E445" s="115"/>
      <c r="F445" s="118"/>
      <c r="G445" s="115"/>
      <c r="H445" s="115"/>
      <c r="I445" s="115"/>
      <c r="J445" s="117"/>
      <c r="K445" s="115"/>
      <c r="L445" s="115"/>
      <c r="M445" s="115"/>
      <c r="N445" s="115"/>
      <c r="O445" s="118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 spans="1:26" ht="15.75" customHeight="1" x14ac:dyDescent="0.2">
      <c r="A446" s="117"/>
      <c r="B446" s="115"/>
      <c r="C446" s="115"/>
      <c r="D446" s="115"/>
      <c r="E446" s="115"/>
      <c r="F446" s="118"/>
      <c r="G446" s="115"/>
      <c r="H446" s="115"/>
      <c r="I446" s="115"/>
      <c r="J446" s="117"/>
      <c r="K446" s="115"/>
      <c r="L446" s="115"/>
      <c r="M446" s="115"/>
      <c r="N446" s="115"/>
      <c r="O446" s="118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 spans="1:26" ht="15.75" customHeight="1" x14ac:dyDescent="0.2">
      <c r="A447" s="117"/>
      <c r="B447" s="115"/>
      <c r="C447" s="115"/>
      <c r="D447" s="115"/>
      <c r="E447" s="115"/>
      <c r="F447" s="118"/>
      <c r="G447" s="115"/>
      <c r="H447" s="115"/>
      <c r="I447" s="115"/>
      <c r="J447" s="117"/>
      <c r="K447" s="115"/>
      <c r="L447" s="115"/>
      <c r="M447" s="115"/>
      <c r="N447" s="115"/>
      <c r="O447" s="118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 spans="1:26" ht="15.75" customHeight="1" x14ac:dyDescent="0.2">
      <c r="A448" s="117"/>
      <c r="B448" s="115"/>
      <c r="C448" s="115"/>
      <c r="D448" s="115"/>
      <c r="E448" s="115"/>
      <c r="F448" s="118"/>
      <c r="G448" s="115"/>
      <c r="H448" s="115"/>
      <c r="I448" s="115"/>
      <c r="J448" s="117"/>
      <c r="K448" s="115"/>
      <c r="L448" s="115"/>
      <c r="M448" s="115"/>
      <c r="N448" s="115"/>
      <c r="O448" s="118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 spans="1:26" ht="15.75" customHeight="1" x14ac:dyDescent="0.2">
      <c r="A449" s="117"/>
      <c r="B449" s="115"/>
      <c r="C449" s="115"/>
      <c r="D449" s="115"/>
      <c r="E449" s="115"/>
      <c r="F449" s="118"/>
      <c r="G449" s="115"/>
      <c r="H449" s="115"/>
      <c r="I449" s="115"/>
      <c r="J449" s="117"/>
      <c r="K449" s="115"/>
      <c r="L449" s="115"/>
      <c r="M449" s="115"/>
      <c r="N449" s="115"/>
      <c r="O449" s="118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 spans="1:26" ht="15.75" customHeight="1" x14ac:dyDescent="0.2">
      <c r="A450" s="117"/>
      <c r="B450" s="115"/>
      <c r="C450" s="115"/>
      <c r="D450" s="115"/>
      <c r="E450" s="115"/>
      <c r="F450" s="118"/>
      <c r="G450" s="115"/>
      <c r="H450" s="115"/>
      <c r="I450" s="115"/>
      <c r="J450" s="117"/>
      <c r="K450" s="115"/>
      <c r="L450" s="115"/>
      <c r="M450" s="115"/>
      <c r="N450" s="115"/>
      <c r="O450" s="118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 spans="1:26" ht="15.75" customHeight="1" x14ac:dyDescent="0.2">
      <c r="A451" s="117"/>
      <c r="B451" s="115"/>
      <c r="C451" s="115"/>
      <c r="D451" s="115"/>
      <c r="E451" s="115"/>
      <c r="F451" s="118"/>
      <c r="G451" s="115"/>
      <c r="H451" s="115"/>
      <c r="I451" s="115"/>
      <c r="J451" s="117"/>
      <c r="K451" s="115"/>
      <c r="L451" s="115"/>
      <c r="M451" s="115"/>
      <c r="N451" s="115"/>
      <c r="O451" s="118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 spans="1:26" ht="15.75" customHeight="1" x14ac:dyDescent="0.2">
      <c r="A452" s="117"/>
      <c r="B452" s="115"/>
      <c r="C452" s="115"/>
      <c r="D452" s="115"/>
      <c r="E452" s="115"/>
      <c r="F452" s="118"/>
      <c r="G452" s="115"/>
      <c r="H452" s="115"/>
      <c r="I452" s="115"/>
      <c r="J452" s="117"/>
      <c r="K452" s="115"/>
      <c r="L452" s="115"/>
      <c r="M452" s="115"/>
      <c r="N452" s="115"/>
      <c r="O452" s="118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 spans="1:26" ht="15.75" customHeight="1" x14ac:dyDescent="0.2">
      <c r="A453" s="117"/>
      <c r="B453" s="115"/>
      <c r="C453" s="115"/>
      <c r="D453" s="115"/>
      <c r="E453" s="115"/>
      <c r="F453" s="118"/>
      <c r="G453" s="115"/>
      <c r="H453" s="115"/>
      <c r="I453" s="115"/>
      <c r="J453" s="117"/>
      <c r="K453" s="115"/>
      <c r="L453" s="115"/>
      <c r="M453" s="115"/>
      <c r="N453" s="115"/>
      <c r="O453" s="118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 spans="1:26" ht="15.75" customHeight="1" x14ac:dyDescent="0.2">
      <c r="A454" s="117"/>
      <c r="B454" s="115"/>
      <c r="C454" s="115"/>
      <c r="D454" s="115"/>
      <c r="E454" s="115"/>
      <c r="F454" s="118"/>
      <c r="G454" s="115"/>
      <c r="H454" s="115"/>
      <c r="I454" s="115"/>
      <c r="J454" s="117"/>
      <c r="K454" s="115"/>
      <c r="L454" s="115"/>
      <c r="M454" s="115"/>
      <c r="N454" s="115"/>
      <c r="O454" s="118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 spans="1:26" ht="15.75" customHeight="1" x14ac:dyDescent="0.2">
      <c r="A455" s="117"/>
      <c r="B455" s="115"/>
      <c r="C455" s="115"/>
      <c r="D455" s="115"/>
      <c r="E455" s="115"/>
      <c r="F455" s="118"/>
      <c r="G455" s="115"/>
      <c r="H455" s="115"/>
      <c r="I455" s="115"/>
      <c r="J455" s="117"/>
      <c r="K455" s="115"/>
      <c r="L455" s="115"/>
      <c r="M455" s="115"/>
      <c r="N455" s="115"/>
      <c r="O455" s="118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 spans="1:26" ht="15.75" customHeight="1" x14ac:dyDescent="0.2">
      <c r="A456" s="117"/>
      <c r="B456" s="115"/>
      <c r="C456" s="115"/>
      <c r="D456" s="115"/>
      <c r="E456" s="115"/>
      <c r="F456" s="118"/>
      <c r="G456" s="115"/>
      <c r="H456" s="115"/>
      <c r="I456" s="115"/>
      <c r="J456" s="117"/>
      <c r="K456" s="115"/>
      <c r="L456" s="115"/>
      <c r="M456" s="115"/>
      <c r="N456" s="115"/>
      <c r="O456" s="118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 spans="1:26" ht="15.75" customHeight="1" x14ac:dyDescent="0.2">
      <c r="A457" s="117"/>
      <c r="B457" s="115"/>
      <c r="C457" s="115"/>
      <c r="D457" s="115"/>
      <c r="E457" s="115"/>
      <c r="F457" s="118"/>
      <c r="G457" s="115"/>
      <c r="H457" s="115"/>
      <c r="I457" s="115"/>
      <c r="J457" s="117"/>
      <c r="K457" s="115"/>
      <c r="L457" s="115"/>
      <c r="M457" s="115"/>
      <c r="N457" s="115"/>
      <c r="O457" s="118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 spans="1:26" ht="15.75" customHeight="1" x14ac:dyDescent="0.2">
      <c r="A458" s="117"/>
      <c r="B458" s="115"/>
      <c r="C458" s="115"/>
      <c r="D458" s="115"/>
      <c r="E458" s="115"/>
      <c r="F458" s="118"/>
      <c r="G458" s="115"/>
      <c r="H458" s="115"/>
      <c r="I458" s="115"/>
      <c r="J458" s="117"/>
      <c r="K458" s="115"/>
      <c r="L458" s="115"/>
      <c r="M458" s="115"/>
      <c r="N458" s="115"/>
      <c r="O458" s="118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 spans="1:26" ht="15.75" customHeight="1" x14ac:dyDescent="0.2">
      <c r="A459" s="117"/>
      <c r="B459" s="115"/>
      <c r="C459" s="115"/>
      <c r="D459" s="115"/>
      <c r="E459" s="115"/>
      <c r="F459" s="118"/>
      <c r="G459" s="115"/>
      <c r="H459" s="115"/>
      <c r="I459" s="115"/>
      <c r="J459" s="117"/>
      <c r="K459" s="115"/>
      <c r="L459" s="115"/>
      <c r="M459" s="115"/>
      <c r="N459" s="115"/>
      <c r="O459" s="118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 spans="1:26" ht="15.75" customHeight="1" x14ac:dyDescent="0.2">
      <c r="A460" s="117"/>
      <c r="B460" s="115"/>
      <c r="C460" s="115"/>
      <c r="D460" s="115"/>
      <c r="E460" s="115"/>
      <c r="F460" s="118"/>
      <c r="G460" s="115"/>
      <c r="H460" s="115"/>
      <c r="I460" s="115"/>
      <c r="J460" s="117"/>
      <c r="K460" s="115"/>
      <c r="L460" s="115"/>
      <c r="M460" s="115"/>
      <c r="N460" s="115"/>
      <c r="O460" s="118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 spans="1:26" ht="15.75" customHeight="1" x14ac:dyDescent="0.2">
      <c r="A461" s="117"/>
      <c r="B461" s="115"/>
      <c r="C461" s="115"/>
      <c r="D461" s="115"/>
      <c r="E461" s="115"/>
      <c r="F461" s="118"/>
      <c r="G461" s="115"/>
      <c r="H461" s="115"/>
      <c r="I461" s="115"/>
      <c r="J461" s="117"/>
      <c r="K461" s="115"/>
      <c r="L461" s="115"/>
      <c r="M461" s="115"/>
      <c r="N461" s="115"/>
      <c r="O461" s="118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 spans="1:26" ht="15.75" customHeight="1" x14ac:dyDescent="0.2">
      <c r="A462" s="117"/>
      <c r="B462" s="115"/>
      <c r="C462" s="115"/>
      <c r="D462" s="115"/>
      <c r="E462" s="115"/>
      <c r="F462" s="118"/>
      <c r="G462" s="115"/>
      <c r="H462" s="115"/>
      <c r="I462" s="115"/>
      <c r="J462" s="117"/>
      <c r="K462" s="115"/>
      <c r="L462" s="115"/>
      <c r="M462" s="115"/>
      <c r="N462" s="115"/>
      <c r="O462" s="118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 spans="1:26" ht="15.75" customHeight="1" x14ac:dyDescent="0.2">
      <c r="A463" s="117"/>
      <c r="B463" s="115"/>
      <c r="C463" s="115"/>
      <c r="D463" s="115"/>
      <c r="E463" s="115"/>
      <c r="F463" s="118"/>
      <c r="G463" s="115"/>
      <c r="H463" s="115"/>
      <c r="I463" s="115"/>
      <c r="J463" s="117"/>
      <c r="K463" s="115"/>
      <c r="L463" s="115"/>
      <c r="M463" s="115"/>
      <c r="N463" s="115"/>
      <c r="O463" s="118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 spans="1:26" ht="15.75" customHeight="1" x14ac:dyDescent="0.2">
      <c r="A464" s="117"/>
      <c r="B464" s="115"/>
      <c r="C464" s="115"/>
      <c r="D464" s="115"/>
      <c r="E464" s="115"/>
      <c r="F464" s="118"/>
      <c r="G464" s="115"/>
      <c r="H464" s="115"/>
      <c r="I464" s="115"/>
      <c r="J464" s="117"/>
      <c r="K464" s="115"/>
      <c r="L464" s="115"/>
      <c r="M464" s="115"/>
      <c r="N464" s="115"/>
      <c r="O464" s="118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 spans="1:26" ht="15.75" customHeight="1" x14ac:dyDescent="0.2">
      <c r="A465" s="117"/>
      <c r="B465" s="115"/>
      <c r="C465" s="115"/>
      <c r="D465" s="115"/>
      <c r="E465" s="115"/>
      <c r="F465" s="118"/>
      <c r="G465" s="115"/>
      <c r="H465" s="115"/>
      <c r="I465" s="115"/>
      <c r="J465" s="117"/>
      <c r="K465" s="115"/>
      <c r="L465" s="115"/>
      <c r="M465" s="115"/>
      <c r="N465" s="115"/>
      <c r="O465" s="118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 spans="1:26" ht="15.75" customHeight="1" x14ac:dyDescent="0.2">
      <c r="A466" s="117"/>
      <c r="B466" s="115"/>
      <c r="C466" s="115"/>
      <c r="D466" s="115"/>
      <c r="E466" s="115"/>
      <c r="F466" s="118"/>
      <c r="G466" s="115"/>
      <c r="H466" s="115"/>
      <c r="I466" s="115"/>
      <c r="J466" s="117"/>
      <c r="K466" s="115"/>
      <c r="L466" s="115"/>
      <c r="M466" s="115"/>
      <c r="N466" s="115"/>
      <c r="O466" s="118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 spans="1:26" ht="15.75" customHeight="1" x14ac:dyDescent="0.2">
      <c r="A467" s="117"/>
      <c r="B467" s="115"/>
      <c r="C467" s="115"/>
      <c r="D467" s="115"/>
      <c r="E467" s="115"/>
      <c r="F467" s="118"/>
      <c r="G467" s="115"/>
      <c r="H467" s="115"/>
      <c r="I467" s="115"/>
      <c r="J467" s="117"/>
      <c r="K467" s="115"/>
      <c r="L467" s="115"/>
      <c r="M467" s="115"/>
      <c r="N467" s="115"/>
      <c r="O467" s="118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 spans="1:26" ht="15.75" customHeight="1" x14ac:dyDescent="0.2">
      <c r="A468" s="117"/>
      <c r="B468" s="115"/>
      <c r="C468" s="115"/>
      <c r="D468" s="115"/>
      <c r="E468" s="115"/>
      <c r="F468" s="118"/>
      <c r="G468" s="115"/>
      <c r="H468" s="115"/>
      <c r="I468" s="115"/>
      <c r="J468" s="117"/>
      <c r="K468" s="115"/>
      <c r="L468" s="115"/>
      <c r="M468" s="115"/>
      <c r="N468" s="115"/>
      <c r="O468" s="118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 spans="1:26" ht="15.75" customHeight="1" x14ac:dyDescent="0.2">
      <c r="A469" s="117"/>
      <c r="B469" s="115"/>
      <c r="C469" s="115"/>
      <c r="D469" s="115"/>
      <c r="E469" s="115"/>
      <c r="F469" s="118"/>
      <c r="G469" s="115"/>
      <c r="H469" s="115"/>
      <c r="I469" s="115"/>
      <c r="J469" s="117"/>
      <c r="K469" s="115"/>
      <c r="L469" s="115"/>
      <c r="M469" s="115"/>
      <c r="N469" s="115"/>
      <c r="O469" s="118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 spans="1:26" ht="15.75" customHeight="1" x14ac:dyDescent="0.2">
      <c r="A470" s="117"/>
      <c r="B470" s="115"/>
      <c r="C470" s="115"/>
      <c r="D470" s="115"/>
      <c r="E470" s="115"/>
      <c r="F470" s="118"/>
      <c r="G470" s="115"/>
      <c r="H470" s="115"/>
      <c r="I470" s="115"/>
      <c r="J470" s="117"/>
      <c r="K470" s="115"/>
      <c r="L470" s="115"/>
      <c r="M470" s="115"/>
      <c r="N470" s="115"/>
      <c r="O470" s="118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 spans="1:26" ht="15.75" customHeight="1" x14ac:dyDescent="0.2">
      <c r="A471" s="117"/>
      <c r="B471" s="115"/>
      <c r="C471" s="115"/>
      <c r="D471" s="115"/>
      <c r="E471" s="115"/>
      <c r="F471" s="118"/>
      <c r="G471" s="115"/>
      <c r="H471" s="115"/>
      <c r="I471" s="115"/>
      <c r="J471" s="117"/>
      <c r="K471" s="115"/>
      <c r="L471" s="115"/>
      <c r="M471" s="115"/>
      <c r="N471" s="115"/>
      <c r="O471" s="118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 spans="1:26" ht="15.75" customHeight="1" x14ac:dyDescent="0.2">
      <c r="A472" s="117"/>
      <c r="B472" s="115"/>
      <c r="C472" s="115"/>
      <c r="D472" s="115"/>
      <c r="E472" s="115"/>
      <c r="F472" s="118"/>
      <c r="G472" s="115"/>
      <c r="H472" s="115"/>
      <c r="I472" s="115"/>
      <c r="J472" s="117"/>
      <c r="K472" s="115"/>
      <c r="L472" s="115"/>
      <c r="M472" s="115"/>
      <c r="N472" s="115"/>
      <c r="O472" s="118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 spans="1:26" ht="15.75" customHeight="1" x14ac:dyDescent="0.2">
      <c r="A473" s="117"/>
      <c r="B473" s="115"/>
      <c r="C473" s="115"/>
      <c r="D473" s="115"/>
      <c r="E473" s="115"/>
      <c r="F473" s="118"/>
      <c r="G473" s="115"/>
      <c r="H473" s="115"/>
      <c r="I473" s="115"/>
      <c r="J473" s="117"/>
      <c r="K473" s="115"/>
      <c r="L473" s="115"/>
      <c r="M473" s="115"/>
      <c r="N473" s="115"/>
      <c r="O473" s="118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 spans="1:26" ht="15.75" customHeight="1" x14ac:dyDescent="0.2">
      <c r="A474" s="117"/>
      <c r="B474" s="115"/>
      <c r="C474" s="115"/>
      <c r="D474" s="115"/>
      <c r="E474" s="115"/>
      <c r="F474" s="118"/>
      <c r="G474" s="115"/>
      <c r="H474" s="115"/>
      <c r="I474" s="115"/>
      <c r="J474" s="117"/>
      <c r="K474" s="115"/>
      <c r="L474" s="115"/>
      <c r="M474" s="115"/>
      <c r="N474" s="115"/>
      <c r="O474" s="118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 spans="1:26" ht="15.75" customHeight="1" x14ac:dyDescent="0.2">
      <c r="A475" s="117"/>
      <c r="B475" s="115"/>
      <c r="C475" s="115"/>
      <c r="D475" s="115"/>
      <c r="E475" s="115"/>
      <c r="F475" s="118"/>
      <c r="G475" s="115"/>
      <c r="H475" s="115"/>
      <c r="I475" s="115"/>
      <c r="J475" s="117"/>
      <c r="K475" s="115"/>
      <c r="L475" s="115"/>
      <c r="M475" s="115"/>
      <c r="N475" s="115"/>
      <c r="O475" s="118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 spans="1:26" ht="15.75" customHeight="1" x14ac:dyDescent="0.2">
      <c r="A476" s="117"/>
      <c r="B476" s="115"/>
      <c r="C476" s="115"/>
      <c r="D476" s="115"/>
      <c r="E476" s="115"/>
      <c r="F476" s="118"/>
      <c r="G476" s="115"/>
      <c r="H476" s="115"/>
      <c r="I476" s="115"/>
      <c r="J476" s="117"/>
      <c r="K476" s="115"/>
      <c r="L476" s="115"/>
      <c r="M476" s="115"/>
      <c r="N476" s="115"/>
      <c r="O476" s="118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 spans="1:26" ht="15.75" customHeight="1" x14ac:dyDescent="0.2">
      <c r="A477" s="117"/>
      <c r="B477" s="115"/>
      <c r="C477" s="115"/>
      <c r="D477" s="115"/>
      <c r="E477" s="115"/>
      <c r="F477" s="118"/>
      <c r="G477" s="115"/>
      <c r="H477" s="115"/>
      <c r="I477" s="115"/>
      <c r="J477" s="117"/>
      <c r="K477" s="115"/>
      <c r="L477" s="115"/>
      <c r="M477" s="115"/>
      <c r="N477" s="115"/>
      <c r="O477" s="118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 spans="1:26" ht="15.75" customHeight="1" x14ac:dyDescent="0.2">
      <c r="A478" s="117"/>
      <c r="B478" s="115"/>
      <c r="C478" s="115"/>
      <c r="D478" s="115"/>
      <c r="E478" s="115"/>
      <c r="F478" s="118"/>
      <c r="G478" s="115"/>
      <c r="H478" s="115"/>
      <c r="I478" s="115"/>
      <c r="J478" s="117"/>
      <c r="K478" s="115"/>
      <c r="L478" s="115"/>
      <c r="M478" s="115"/>
      <c r="N478" s="115"/>
      <c r="O478" s="118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 spans="1:26" ht="15.75" customHeight="1" x14ac:dyDescent="0.2">
      <c r="A479" s="117"/>
      <c r="B479" s="115"/>
      <c r="C479" s="115"/>
      <c r="D479" s="115"/>
      <c r="E479" s="115"/>
      <c r="F479" s="118"/>
      <c r="G479" s="115"/>
      <c r="H479" s="115"/>
      <c r="I479" s="115"/>
      <c r="J479" s="117"/>
      <c r="K479" s="115"/>
      <c r="L479" s="115"/>
      <c r="M479" s="115"/>
      <c r="N479" s="115"/>
      <c r="O479" s="118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 spans="1:26" ht="15.75" customHeight="1" x14ac:dyDescent="0.2">
      <c r="A480" s="117"/>
      <c r="B480" s="115"/>
      <c r="C480" s="115"/>
      <c r="D480" s="115"/>
      <c r="E480" s="115"/>
      <c r="F480" s="118"/>
      <c r="G480" s="115"/>
      <c r="H480" s="115"/>
      <c r="I480" s="115"/>
      <c r="J480" s="117"/>
      <c r="K480" s="115"/>
      <c r="L480" s="115"/>
      <c r="M480" s="115"/>
      <c r="N480" s="115"/>
      <c r="O480" s="118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 spans="1:26" ht="15.75" customHeight="1" x14ac:dyDescent="0.2">
      <c r="A481" s="117"/>
      <c r="B481" s="115"/>
      <c r="C481" s="115"/>
      <c r="D481" s="115"/>
      <c r="E481" s="115"/>
      <c r="F481" s="118"/>
      <c r="G481" s="115"/>
      <c r="H481" s="115"/>
      <c r="I481" s="115"/>
      <c r="J481" s="117"/>
      <c r="K481" s="115"/>
      <c r="L481" s="115"/>
      <c r="M481" s="115"/>
      <c r="N481" s="115"/>
      <c r="O481" s="118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 spans="1:26" ht="15.75" customHeight="1" x14ac:dyDescent="0.2">
      <c r="A482" s="117"/>
      <c r="B482" s="115"/>
      <c r="C482" s="115"/>
      <c r="D482" s="115"/>
      <c r="E482" s="115"/>
      <c r="F482" s="118"/>
      <c r="G482" s="115"/>
      <c r="H482" s="115"/>
      <c r="I482" s="115"/>
      <c r="J482" s="117"/>
      <c r="K482" s="115"/>
      <c r="L482" s="115"/>
      <c r="M482" s="115"/>
      <c r="N482" s="115"/>
      <c r="O482" s="118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 spans="1:26" ht="15.75" customHeight="1" x14ac:dyDescent="0.2">
      <c r="A483" s="117"/>
      <c r="B483" s="115"/>
      <c r="C483" s="115"/>
      <c r="D483" s="115"/>
      <c r="E483" s="115"/>
      <c r="F483" s="118"/>
      <c r="G483" s="115"/>
      <c r="H483" s="115"/>
      <c r="I483" s="115"/>
      <c r="J483" s="117"/>
      <c r="K483" s="115"/>
      <c r="L483" s="115"/>
      <c r="M483" s="115"/>
      <c r="N483" s="115"/>
      <c r="O483" s="118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 spans="1:26" ht="15.75" customHeight="1" x14ac:dyDescent="0.2">
      <c r="A484" s="117"/>
      <c r="B484" s="115"/>
      <c r="C484" s="115"/>
      <c r="D484" s="115"/>
      <c r="E484" s="115"/>
      <c r="F484" s="118"/>
      <c r="G484" s="115"/>
      <c r="H484" s="115"/>
      <c r="I484" s="115"/>
      <c r="J484" s="117"/>
      <c r="K484" s="115"/>
      <c r="L484" s="115"/>
      <c r="M484" s="115"/>
      <c r="N484" s="115"/>
      <c r="O484" s="118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 spans="1:26" ht="15.75" customHeight="1" x14ac:dyDescent="0.2">
      <c r="A485" s="117"/>
      <c r="B485" s="115"/>
      <c r="C485" s="115"/>
      <c r="D485" s="115"/>
      <c r="E485" s="115"/>
      <c r="F485" s="118"/>
      <c r="G485" s="115"/>
      <c r="H485" s="115"/>
      <c r="I485" s="115"/>
      <c r="J485" s="117"/>
      <c r="K485" s="115"/>
      <c r="L485" s="115"/>
      <c r="M485" s="115"/>
      <c r="N485" s="115"/>
      <c r="O485" s="118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 spans="1:26" ht="15.75" customHeight="1" x14ac:dyDescent="0.2">
      <c r="A486" s="117"/>
      <c r="B486" s="115"/>
      <c r="C486" s="115"/>
      <c r="D486" s="115"/>
      <c r="E486" s="115"/>
      <c r="F486" s="118"/>
      <c r="G486" s="115"/>
      <c r="H486" s="115"/>
      <c r="I486" s="115"/>
      <c r="J486" s="117"/>
      <c r="K486" s="115"/>
      <c r="L486" s="115"/>
      <c r="M486" s="115"/>
      <c r="N486" s="115"/>
      <c r="O486" s="118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 spans="1:26" ht="15.75" customHeight="1" x14ac:dyDescent="0.2">
      <c r="A487" s="117"/>
      <c r="B487" s="115"/>
      <c r="C487" s="115"/>
      <c r="D487" s="115"/>
      <c r="E487" s="115"/>
      <c r="F487" s="118"/>
      <c r="G487" s="115"/>
      <c r="H487" s="115"/>
      <c r="I487" s="115"/>
      <c r="J487" s="117"/>
      <c r="K487" s="115"/>
      <c r="L487" s="115"/>
      <c r="M487" s="115"/>
      <c r="N487" s="115"/>
      <c r="O487" s="118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 spans="1:26" ht="15.75" customHeight="1" x14ac:dyDescent="0.2">
      <c r="A488" s="117"/>
      <c r="B488" s="115"/>
      <c r="C488" s="115"/>
      <c r="D488" s="115"/>
      <c r="E488" s="115"/>
      <c r="F488" s="118"/>
      <c r="G488" s="115"/>
      <c r="H488" s="115"/>
      <c r="I488" s="115"/>
      <c r="J488" s="117"/>
      <c r="K488" s="115"/>
      <c r="L488" s="115"/>
      <c r="M488" s="115"/>
      <c r="N488" s="115"/>
      <c r="O488" s="118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 spans="1:26" ht="15.75" customHeight="1" x14ac:dyDescent="0.2">
      <c r="A489" s="117"/>
      <c r="B489" s="115"/>
      <c r="C489" s="115"/>
      <c r="D489" s="115"/>
      <c r="E489" s="115"/>
      <c r="F489" s="118"/>
      <c r="G489" s="115"/>
      <c r="H489" s="115"/>
      <c r="I489" s="115"/>
      <c r="J489" s="117"/>
      <c r="K489" s="115"/>
      <c r="L489" s="115"/>
      <c r="M489" s="115"/>
      <c r="N489" s="115"/>
      <c r="O489" s="118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 spans="1:26" ht="15.75" customHeight="1" x14ac:dyDescent="0.2">
      <c r="A490" s="117"/>
      <c r="B490" s="115"/>
      <c r="C490" s="115"/>
      <c r="D490" s="115"/>
      <c r="E490" s="115"/>
      <c r="F490" s="118"/>
      <c r="G490" s="115"/>
      <c r="H490" s="115"/>
      <c r="I490" s="115"/>
      <c r="J490" s="117"/>
      <c r="K490" s="115"/>
      <c r="L490" s="115"/>
      <c r="M490" s="115"/>
      <c r="N490" s="115"/>
      <c r="O490" s="118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 spans="1:26" ht="15.75" customHeight="1" x14ac:dyDescent="0.2">
      <c r="A491" s="117"/>
      <c r="B491" s="115"/>
      <c r="C491" s="115"/>
      <c r="D491" s="115"/>
      <c r="E491" s="115"/>
      <c r="F491" s="118"/>
      <c r="G491" s="115"/>
      <c r="H491" s="115"/>
      <c r="I491" s="115"/>
      <c r="J491" s="117"/>
      <c r="K491" s="115"/>
      <c r="L491" s="115"/>
      <c r="M491" s="115"/>
      <c r="N491" s="115"/>
      <c r="O491" s="118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 spans="1:26" ht="15.75" customHeight="1" x14ac:dyDescent="0.2">
      <c r="A492" s="117"/>
      <c r="B492" s="115"/>
      <c r="C492" s="115"/>
      <c r="D492" s="115"/>
      <c r="E492" s="115"/>
      <c r="F492" s="118"/>
      <c r="G492" s="115"/>
      <c r="H492" s="115"/>
      <c r="I492" s="115"/>
      <c r="J492" s="117"/>
      <c r="K492" s="115"/>
      <c r="L492" s="115"/>
      <c r="M492" s="115"/>
      <c r="N492" s="115"/>
      <c r="O492" s="118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 spans="1:26" ht="15.75" customHeight="1" x14ac:dyDescent="0.2">
      <c r="A493" s="117"/>
      <c r="B493" s="115"/>
      <c r="C493" s="115"/>
      <c r="D493" s="115"/>
      <c r="E493" s="115"/>
      <c r="F493" s="118"/>
      <c r="G493" s="115"/>
      <c r="H493" s="115"/>
      <c r="I493" s="115"/>
      <c r="J493" s="117"/>
      <c r="K493" s="115"/>
      <c r="L493" s="115"/>
      <c r="M493" s="115"/>
      <c r="N493" s="115"/>
      <c r="O493" s="118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 spans="1:26" ht="15.75" customHeight="1" x14ac:dyDescent="0.2">
      <c r="A494" s="117"/>
      <c r="B494" s="115"/>
      <c r="C494" s="115"/>
      <c r="D494" s="115"/>
      <c r="E494" s="115"/>
      <c r="F494" s="118"/>
      <c r="G494" s="115"/>
      <c r="H494" s="115"/>
      <c r="I494" s="115"/>
      <c r="J494" s="117"/>
      <c r="K494" s="115"/>
      <c r="L494" s="115"/>
      <c r="M494" s="115"/>
      <c r="N494" s="115"/>
      <c r="O494" s="118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 spans="1:26" ht="15.75" customHeight="1" x14ac:dyDescent="0.2">
      <c r="A495" s="117"/>
      <c r="B495" s="115"/>
      <c r="C495" s="115"/>
      <c r="D495" s="115"/>
      <c r="E495" s="115"/>
      <c r="F495" s="118"/>
      <c r="G495" s="115"/>
      <c r="H495" s="115"/>
      <c r="I495" s="115"/>
      <c r="J495" s="117"/>
      <c r="K495" s="115"/>
      <c r="L495" s="115"/>
      <c r="M495" s="115"/>
      <c r="N495" s="115"/>
      <c r="O495" s="118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 spans="1:26" ht="15.75" customHeight="1" x14ac:dyDescent="0.2">
      <c r="A496" s="117"/>
      <c r="B496" s="115"/>
      <c r="C496" s="115"/>
      <c r="D496" s="115"/>
      <c r="E496" s="115"/>
      <c r="F496" s="118"/>
      <c r="G496" s="115"/>
      <c r="H496" s="115"/>
      <c r="I496" s="115"/>
      <c r="J496" s="117"/>
      <c r="K496" s="115"/>
      <c r="L496" s="115"/>
      <c r="M496" s="115"/>
      <c r="N496" s="115"/>
      <c r="O496" s="118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 spans="1:26" ht="15.75" customHeight="1" x14ac:dyDescent="0.2">
      <c r="A497" s="117"/>
      <c r="B497" s="115"/>
      <c r="C497" s="115"/>
      <c r="D497" s="115"/>
      <c r="E497" s="115"/>
      <c r="F497" s="118"/>
      <c r="G497" s="115"/>
      <c r="H497" s="115"/>
      <c r="I497" s="115"/>
      <c r="J497" s="117"/>
      <c r="K497" s="115"/>
      <c r="L497" s="115"/>
      <c r="M497" s="115"/>
      <c r="N497" s="115"/>
      <c r="O497" s="118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 spans="1:26" ht="15.75" customHeight="1" x14ac:dyDescent="0.2">
      <c r="A498" s="117"/>
      <c r="B498" s="115"/>
      <c r="C498" s="115"/>
      <c r="D498" s="115"/>
      <c r="E498" s="115"/>
      <c r="F498" s="118"/>
      <c r="G498" s="115"/>
      <c r="H498" s="115"/>
      <c r="I498" s="115"/>
      <c r="J498" s="117"/>
      <c r="K498" s="115"/>
      <c r="L498" s="115"/>
      <c r="M498" s="115"/>
      <c r="N498" s="115"/>
      <c r="O498" s="118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 spans="1:26" ht="15.75" customHeight="1" x14ac:dyDescent="0.2">
      <c r="A499" s="117"/>
      <c r="B499" s="115"/>
      <c r="C499" s="115"/>
      <c r="D499" s="115"/>
      <c r="E499" s="115"/>
      <c r="F499" s="118"/>
      <c r="G499" s="115"/>
      <c r="H499" s="115"/>
      <c r="I499" s="115"/>
      <c r="J499" s="117"/>
      <c r="K499" s="115"/>
      <c r="L499" s="115"/>
      <c r="M499" s="115"/>
      <c r="N499" s="115"/>
      <c r="O499" s="118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 spans="1:26" ht="15.75" customHeight="1" x14ac:dyDescent="0.2">
      <c r="A500" s="117"/>
      <c r="B500" s="115"/>
      <c r="C500" s="115"/>
      <c r="D500" s="115"/>
      <c r="E500" s="115"/>
      <c r="F500" s="118"/>
      <c r="G500" s="115"/>
      <c r="H500" s="115"/>
      <c r="I500" s="115"/>
      <c r="J500" s="117"/>
      <c r="K500" s="115"/>
      <c r="L500" s="115"/>
      <c r="M500" s="115"/>
      <c r="N500" s="115"/>
      <c r="O500" s="118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 spans="1:26" ht="15.75" customHeight="1" x14ac:dyDescent="0.2">
      <c r="A501" s="117"/>
      <c r="B501" s="115"/>
      <c r="C501" s="115"/>
      <c r="D501" s="115"/>
      <c r="E501" s="115"/>
      <c r="F501" s="118"/>
      <c r="G501" s="115"/>
      <c r="H501" s="115"/>
      <c r="I501" s="115"/>
      <c r="J501" s="117"/>
      <c r="K501" s="115"/>
      <c r="L501" s="115"/>
      <c r="M501" s="115"/>
      <c r="N501" s="115"/>
      <c r="O501" s="118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 spans="1:26" ht="15.75" customHeight="1" x14ac:dyDescent="0.2">
      <c r="A502" s="117"/>
      <c r="B502" s="115"/>
      <c r="C502" s="115"/>
      <c r="D502" s="115"/>
      <c r="E502" s="115"/>
      <c r="F502" s="118"/>
      <c r="G502" s="115"/>
      <c r="H502" s="115"/>
      <c r="I502" s="115"/>
      <c r="J502" s="117"/>
      <c r="K502" s="115"/>
      <c r="L502" s="115"/>
      <c r="M502" s="115"/>
      <c r="N502" s="115"/>
      <c r="O502" s="118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 spans="1:26" ht="15.75" customHeight="1" x14ac:dyDescent="0.2">
      <c r="A503" s="117"/>
      <c r="B503" s="115"/>
      <c r="C503" s="115"/>
      <c r="D503" s="115"/>
      <c r="E503" s="115"/>
      <c r="F503" s="118"/>
      <c r="G503" s="115"/>
      <c r="H503" s="115"/>
      <c r="I503" s="115"/>
      <c r="J503" s="117"/>
      <c r="K503" s="115"/>
      <c r="L503" s="115"/>
      <c r="M503" s="115"/>
      <c r="N503" s="115"/>
      <c r="O503" s="118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 spans="1:26" ht="15.75" customHeight="1" x14ac:dyDescent="0.2">
      <c r="A504" s="117"/>
      <c r="B504" s="115"/>
      <c r="C504" s="115"/>
      <c r="D504" s="115"/>
      <c r="E504" s="115"/>
      <c r="F504" s="118"/>
      <c r="G504" s="115"/>
      <c r="H504" s="115"/>
      <c r="I504" s="115"/>
      <c r="J504" s="117"/>
      <c r="K504" s="115"/>
      <c r="L504" s="115"/>
      <c r="M504" s="115"/>
      <c r="N504" s="115"/>
      <c r="O504" s="118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 spans="1:26" ht="15.75" customHeight="1" x14ac:dyDescent="0.2">
      <c r="A505" s="117"/>
      <c r="B505" s="115"/>
      <c r="C505" s="115"/>
      <c r="D505" s="115"/>
      <c r="E505" s="115"/>
      <c r="F505" s="118"/>
      <c r="G505" s="115"/>
      <c r="H505" s="115"/>
      <c r="I505" s="115"/>
      <c r="J505" s="117"/>
      <c r="K505" s="115"/>
      <c r="L505" s="115"/>
      <c r="M505" s="115"/>
      <c r="N505" s="115"/>
      <c r="O505" s="118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 spans="1:26" ht="15.75" customHeight="1" x14ac:dyDescent="0.2">
      <c r="A506" s="117"/>
      <c r="B506" s="115"/>
      <c r="C506" s="115"/>
      <c r="D506" s="115"/>
      <c r="E506" s="115"/>
      <c r="F506" s="118"/>
      <c r="G506" s="115"/>
      <c r="H506" s="115"/>
      <c r="I506" s="115"/>
      <c r="J506" s="117"/>
      <c r="K506" s="115"/>
      <c r="L506" s="115"/>
      <c r="M506" s="115"/>
      <c r="N506" s="115"/>
      <c r="O506" s="118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 spans="1:26" ht="15.75" customHeight="1" x14ac:dyDescent="0.2">
      <c r="A507" s="117"/>
      <c r="B507" s="115"/>
      <c r="C507" s="115"/>
      <c r="D507" s="115"/>
      <c r="E507" s="115"/>
      <c r="F507" s="118"/>
      <c r="G507" s="115"/>
      <c r="H507" s="115"/>
      <c r="I507" s="115"/>
      <c r="J507" s="117"/>
      <c r="K507" s="115"/>
      <c r="L507" s="115"/>
      <c r="M507" s="115"/>
      <c r="N507" s="115"/>
      <c r="O507" s="118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 spans="1:26" ht="15.75" customHeight="1" x14ac:dyDescent="0.2">
      <c r="A508" s="117"/>
      <c r="B508" s="115"/>
      <c r="C508" s="115"/>
      <c r="D508" s="115"/>
      <c r="E508" s="115"/>
      <c r="F508" s="118"/>
      <c r="G508" s="115"/>
      <c r="H508" s="115"/>
      <c r="I508" s="115"/>
      <c r="J508" s="117"/>
      <c r="K508" s="115"/>
      <c r="L508" s="115"/>
      <c r="M508" s="115"/>
      <c r="N508" s="115"/>
      <c r="O508" s="118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 spans="1:26" ht="15.75" customHeight="1" x14ac:dyDescent="0.2">
      <c r="A509" s="117"/>
      <c r="B509" s="115"/>
      <c r="C509" s="115"/>
      <c r="D509" s="115"/>
      <c r="E509" s="115"/>
      <c r="F509" s="118"/>
      <c r="G509" s="115"/>
      <c r="H509" s="115"/>
      <c r="I509" s="115"/>
      <c r="J509" s="117"/>
      <c r="K509" s="115"/>
      <c r="L509" s="115"/>
      <c r="M509" s="115"/>
      <c r="N509" s="115"/>
      <c r="O509" s="118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 spans="1:26" ht="15.75" customHeight="1" x14ac:dyDescent="0.2">
      <c r="A510" s="117"/>
      <c r="B510" s="115"/>
      <c r="C510" s="115"/>
      <c r="D510" s="115"/>
      <c r="E510" s="115"/>
      <c r="F510" s="118"/>
      <c r="G510" s="115"/>
      <c r="H510" s="115"/>
      <c r="I510" s="115"/>
      <c r="J510" s="117"/>
      <c r="K510" s="115"/>
      <c r="L510" s="115"/>
      <c r="M510" s="115"/>
      <c r="N510" s="115"/>
      <c r="O510" s="118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 spans="1:26" ht="15.75" customHeight="1" x14ac:dyDescent="0.2">
      <c r="A511" s="117"/>
      <c r="B511" s="115"/>
      <c r="C511" s="115"/>
      <c r="D511" s="115"/>
      <c r="E511" s="115"/>
      <c r="F511" s="118"/>
      <c r="G511" s="115"/>
      <c r="H511" s="115"/>
      <c r="I511" s="115"/>
      <c r="J511" s="117"/>
      <c r="K511" s="115"/>
      <c r="L511" s="115"/>
      <c r="M511" s="115"/>
      <c r="N511" s="115"/>
      <c r="O511" s="118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 spans="1:26" ht="15.75" customHeight="1" x14ac:dyDescent="0.2">
      <c r="A512" s="117"/>
      <c r="B512" s="115"/>
      <c r="C512" s="115"/>
      <c r="D512" s="115"/>
      <c r="E512" s="115"/>
      <c r="F512" s="118"/>
      <c r="G512" s="115"/>
      <c r="H512" s="115"/>
      <c r="I512" s="115"/>
      <c r="J512" s="117"/>
      <c r="K512" s="115"/>
      <c r="L512" s="115"/>
      <c r="M512" s="115"/>
      <c r="N512" s="115"/>
      <c r="O512" s="118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 spans="1:26" ht="15.75" customHeight="1" x14ac:dyDescent="0.2">
      <c r="A513" s="117"/>
      <c r="B513" s="115"/>
      <c r="C513" s="115"/>
      <c r="D513" s="115"/>
      <c r="E513" s="115"/>
      <c r="F513" s="118"/>
      <c r="G513" s="115"/>
      <c r="H513" s="115"/>
      <c r="I513" s="115"/>
      <c r="J513" s="117"/>
      <c r="K513" s="115"/>
      <c r="L513" s="115"/>
      <c r="M513" s="115"/>
      <c r="N513" s="115"/>
      <c r="O513" s="118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 spans="1:26" ht="15.75" customHeight="1" x14ac:dyDescent="0.2">
      <c r="A514" s="117"/>
      <c r="B514" s="115"/>
      <c r="C514" s="115"/>
      <c r="D514" s="115"/>
      <c r="E514" s="115"/>
      <c r="F514" s="118"/>
      <c r="G514" s="115"/>
      <c r="H514" s="115"/>
      <c r="I514" s="115"/>
      <c r="J514" s="117"/>
      <c r="K514" s="115"/>
      <c r="L514" s="115"/>
      <c r="M514" s="115"/>
      <c r="N514" s="115"/>
      <c r="O514" s="118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 spans="1:26" ht="15.75" customHeight="1" x14ac:dyDescent="0.2">
      <c r="A515" s="117"/>
      <c r="B515" s="115"/>
      <c r="C515" s="115"/>
      <c r="D515" s="115"/>
      <c r="E515" s="115"/>
      <c r="F515" s="118"/>
      <c r="G515" s="115"/>
      <c r="H515" s="115"/>
      <c r="I515" s="115"/>
      <c r="J515" s="117"/>
      <c r="K515" s="115"/>
      <c r="L515" s="115"/>
      <c r="M515" s="115"/>
      <c r="N515" s="115"/>
      <c r="O515" s="118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 spans="1:26" ht="15.75" customHeight="1" x14ac:dyDescent="0.2">
      <c r="A516" s="117"/>
      <c r="B516" s="115"/>
      <c r="C516" s="115"/>
      <c r="D516" s="115"/>
      <c r="E516" s="115"/>
      <c r="F516" s="118"/>
      <c r="G516" s="115"/>
      <c r="H516" s="115"/>
      <c r="I516" s="115"/>
      <c r="J516" s="117"/>
      <c r="K516" s="115"/>
      <c r="L516" s="115"/>
      <c r="M516" s="115"/>
      <c r="N516" s="115"/>
      <c r="O516" s="118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 spans="1:26" ht="15.75" customHeight="1" x14ac:dyDescent="0.2">
      <c r="A517" s="117"/>
      <c r="B517" s="115"/>
      <c r="C517" s="115"/>
      <c r="D517" s="115"/>
      <c r="E517" s="115"/>
      <c r="F517" s="118"/>
      <c r="G517" s="115"/>
      <c r="H517" s="115"/>
      <c r="I517" s="115"/>
      <c r="J517" s="117"/>
      <c r="K517" s="115"/>
      <c r="L517" s="115"/>
      <c r="M517" s="115"/>
      <c r="N517" s="115"/>
      <c r="O517" s="118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 spans="1:26" ht="15.75" customHeight="1" x14ac:dyDescent="0.2">
      <c r="A518" s="117"/>
      <c r="B518" s="115"/>
      <c r="C518" s="115"/>
      <c r="D518" s="115"/>
      <c r="E518" s="115"/>
      <c r="F518" s="118"/>
      <c r="G518" s="115"/>
      <c r="H518" s="115"/>
      <c r="I518" s="115"/>
      <c r="J518" s="117"/>
      <c r="K518" s="115"/>
      <c r="L518" s="115"/>
      <c r="M518" s="115"/>
      <c r="N518" s="115"/>
      <c r="O518" s="118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 spans="1:26" ht="15.75" customHeight="1" x14ac:dyDescent="0.2">
      <c r="A519" s="117"/>
      <c r="B519" s="115"/>
      <c r="C519" s="115"/>
      <c r="D519" s="115"/>
      <c r="E519" s="115"/>
      <c r="F519" s="118"/>
      <c r="G519" s="115"/>
      <c r="H519" s="115"/>
      <c r="I519" s="115"/>
      <c r="J519" s="117"/>
      <c r="K519" s="115"/>
      <c r="L519" s="115"/>
      <c r="M519" s="115"/>
      <c r="N519" s="115"/>
      <c r="O519" s="118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 spans="1:26" ht="15.75" customHeight="1" x14ac:dyDescent="0.2">
      <c r="A520" s="117"/>
      <c r="B520" s="115"/>
      <c r="C520" s="115"/>
      <c r="D520" s="115"/>
      <c r="E520" s="115"/>
      <c r="F520" s="118"/>
      <c r="G520" s="115"/>
      <c r="H520" s="115"/>
      <c r="I520" s="115"/>
      <c r="J520" s="117"/>
      <c r="K520" s="115"/>
      <c r="L520" s="115"/>
      <c r="M520" s="115"/>
      <c r="N520" s="115"/>
      <c r="O520" s="118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 spans="1:26" ht="15.75" customHeight="1" x14ac:dyDescent="0.2">
      <c r="A521" s="117"/>
      <c r="B521" s="115"/>
      <c r="C521" s="115"/>
      <c r="D521" s="115"/>
      <c r="E521" s="115"/>
      <c r="F521" s="118"/>
      <c r="G521" s="115"/>
      <c r="H521" s="115"/>
      <c r="I521" s="115"/>
      <c r="J521" s="117"/>
      <c r="K521" s="115"/>
      <c r="L521" s="115"/>
      <c r="M521" s="115"/>
      <c r="N521" s="115"/>
      <c r="O521" s="118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 spans="1:26" ht="15.75" customHeight="1" x14ac:dyDescent="0.2">
      <c r="A522" s="117"/>
      <c r="B522" s="115"/>
      <c r="C522" s="115"/>
      <c r="D522" s="115"/>
      <c r="E522" s="115"/>
      <c r="F522" s="118"/>
      <c r="G522" s="115"/>
      <c r="H522" s="115"/>
      <c r="I522" s="115"/>
      <c r="J522" s="117"/>
      <c r="K522" s="115"/>
      <c r="L522" s="115"/>
      <c r="M522" s="115"/>
      <c r="N522" s="115"/>
      <c r="O522" s="118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 spans="1:26" ht="15.75" customHeight="1" x14ac:dyDescent="0.2">
      <c r="A523" s="117"/>
      <c r="B523" s="115"/>
      <c r="C523" s="115"/>
      <c r="D523" s="115"/>
      <c r="E523" s="115"/>
      <c r="F523" s="118"/>
      <c r="G523" s="115"/>
      <c r="H523" s="115"/>
      <c r="I523" s="115"/>
      <c r="J523" s="117"/>
      <c r="K523" s="115"/>
      <c r="L523" s="115"/>
      <c r="M523" s="115"/>
      <c r="N523" s="115"/>
      <c r="O523" s="118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 spans="1:26" ht="15.75" customHeight="1" x14ac:dyDescent="0.2">
      <c r="A524" s="117"/>
      <c r="B524" s="115"/>
      <c r="C524" s="115"/>
      <c r="D524" s="115"/>
      <c r="E524" s="115"/>
      <c r="F524" s="118"/>
      <c r="G524" s="115"/>
      <c r="H524" s="115"/>
      <c r="I524" s="115"/>
      <c r="J524" s="117"/>
      <c r="K524" s="115"/>
      <c r="L524" s="115"/>
      <c r="M524" s="115"/>
      <c r="N524" s="115"/>
      <c r="O524" s="118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 spans="1:26" ht="15.75" customHeight="1" x14ac:dyDescent="0.2">
      <c r="A525" s="117"/>
      <c r="B525" s="115"/>
      <c r="C525" s="115"/>
      <c r="D525" s="115"/>
      <c r="E525" s="115"/>
      <c r="F525" s="118"/>
      <c r="G525" s="115"/>
      <c r="H525" s="115"/>
      <c r="I525" s="115"/>
      <c r="J525" s="117"/>
      <c r="K525" s="115"/>
      <c r="L525" s="115"/>
      <c r="M525" s="115"/>
      <c r="N525" s="115"/>
      <c r="O525" s="118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 spans="1:26" ht="15.75" customHeight="1" x14ac:dyDescent="0.2">
      <c r="A526" s="117"/>
      <c r="B526" s="115"/>
      <c r="C526" s="115"/>
      <c r="D526" s="115"/>
      <c r="E526" s="115"/>
      <c r="F526" s="118"/>
      <c r="G526" s="115"/>
      <c r="H526" s="115"/>
      <c r="I526" s="115"/>
      <c r="J526" s="117"/>
      <c r="K526" s="115"/>
      <c r="L526" s="115"/>
      <c r="M526" s="115"/>
      <c r="N526" s="115"/>
      <c r="O526" s="118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 spans="1:26" ht="15.75" customHeight="1" x14ac:dyDescent="0.2">
      <c r="A527" s="117"/>
      <c r="B527" s="115"/>
      <c r="C527" s="115"/>
      <c r="D527" s="115"/>
      <c r="E527" s="115"/>
      <c r="F527" s="118"/>
      <c r="G527" s="115"/>
      <c r="H527" s="115"/>
      <c r="I527" s="115"/>
      <c r="J527" s="117"/>
      <c r="K527" s="115"/>
      <c r="L527" s="115"/>
      <c r="M527" s="115"/>
      <c r="N527" s="115"/>
      <c r="O527" s="118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 spans="1:26" ht="15.75" customHeight="1" x14ac:dyDescent="0.2">
      <c r="A528" s="117"/>
      <c r="B528" s="115"/>
      <c r="C528" s="115"/>
      <c r="D528" s="115"/>
      <c r="E528" s="115"/>
      <c r="F528" s="118"/>
      <c r="G528" s="115"/>
      <c r="H528" s="115"/>
      <c r="I528" s="115"/>
      <c r="J528" s="117"/>
      <c r="K528" s="115"/>
      <c r="L528" s="115"/>
      <c r="M528" s="115"/>
      <c r="N528" s="115"/>
      <c r="O528" s="118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 spans="1:26" ht="15.75" customHeight="1" x14ac:dyDescent="0.2">
      <c r="A529" s="117"/>
      <c r="B529" s="115"/>
      <c r="C529" s="115"/>
      <c r="D529" s="115"/>
      <c r="E529" s="115"/>
      <c r="F529" s="118"/>
      <c r="G529" s="115"/>
      <c r="H529" s="115"/>
      <c r="I529" s="115"/>
      <c r="J529" s="117"/>
      <c r="K529" s="115"/>
      <c r="L529" s="115"/>
      <c r="M529" s="115"/>
      <c r="N529" s="115"/>
      <c r="O529" s="118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 spans="1:26" ht="15.75" customHeight="1" x14ac:dyDescent="0.2">
      <c r="A530" s="117"/>
      <c r="B530" s="115"/>
      <c r="C530" s="115"/>
      <c r="D530" s="115"/>
      <c r="E530" s="115"/>
      <c r="F530" s="118"/>
      <c r="G530" s="115"/>
      <c r="H530" s="115"/>
      <c r="I530" s="115"/>
      <c r="J530" s="117"/>
      <c r="K530" s="115"/>
      <c r="L530" s="115"/>
      <c r="M530" s="115"/>
      <c r="N530" s="115"/>
      <c r="O530" s="118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 spans="1:26" ht="15.75" customHeight="1" x14ac:dyDescent="0.2">
      <c r="A531" s="117"/>
      <c r="B531" s="115"/>
      <c r="C531" s="115"/>
      <c r="D531" s="115"/>
      <c r="E531" s="115"/>
      <c r="F531" s="118"/>
      <c r="G531" s="115"/>
      <c r="H531" s="115"/>
      <c r="I531" s="115"/>
      <c r="J531" s="117"/>
      <c r="K531" s="115"/>
      <c r="L531" s="115"/>
      <c r="M531" s="115"/>
      <c r="N531" s="115"/>
      <c r="O531" s="118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 spans="1:26" ht="15.75" customHeight="1" x14ac:dyDescent="0.2">
      <c r="A532" s="117"/>
      <c r="B532" s="115"/>
      <c r="C532" s="115"/>
      <c r="D532" s="115"/>
      <c r="E532" s="115"/>
      <c r="F532" s="118"/>
      <c r="G532" s="115"/>
      <c r="H532" s="115"/>
      <c r="I532" s="115"/>
      <c r="J532" s="117"/>
      <c r="K532" s="115"/>
      <c r="L532" s="115"/>
      <c r="M532" s="115"/>
      <c r="N532" s="115"/>
      <c r="O532" s="118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 spans="1:26" ht="15.75" customHeight="1" x14ac:dyDescent="0.2">
      <c r="A533" s="117"/>
      <c r="B533" s="115"/>
      <c r="C533" s="115"/>
      <c r="D533" s="115"/>
      <c r="E533" s="115"/>
      <c r="F533" s="118"/>
      <c r="G533" s="115"/>
      <c r="H533" s="115"/>
      <c r="I533" s="115"/>
      <c r="J533" s="117"/>
      <c r="K533" s="115"/>
      <c r="L533" s="115"/>
      <c r="M533" s="115"/>
      <c r="N533" s="115"/>
      <c r="O533" s="118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 spans="1:26" ht="15.75" customHeight="1" x14ac:dyDescent="0.2">
      <c r="A534" s="117"/>
      <c r="B534" s="115"/>
      <c r="C534" s="115"/>
      <c r="D534" s="115"/>
      <c r="E534" s="115"/>
      <c r="F534" s="118"/>
      <c r="G534" s="115"/>
      <c r="H534" s="115"/>
      <c r="I534" s="115"/>
      <c r="J534" s="117"/>
      <c r="K534" s="115"/>
      <c r="L534" s="115"/>
      <c r="M534" s="115"/>
      <c r="N534" s="115"/>
      <c r="O534" s="118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 spans="1:26" ht="15.75" customHeight="1" x14ac:dyDescent="0.2">
      <c r="A535" s="117"/>
      <c r="B535" s="115"/>
      <c r="C535" s="115"/>
      <c r="D535" s="115"/>
      <c r="E535" s="115"/>
      <c r="F535" s="118"/>
      <c r="G535" s="115"/>
      <c r="H535" s="115"/>
      <c r="I535" s="115"/>
      <c r="J535" s="117"/>
      <c r="K535" s="115"/>
      <c r="L535" s="115"/>
      <c r="M535" s="115"/>
      <c r="N535" s="115"/>
      <c r="O535" s="118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 spans="1:26" ht="15.75" customHeight="1" x14ac:dyDescent="0.2">
      <c r="A536" s="117"/>
      <c r="B536" s="115"/>
      <c r="C536" s="115"/>
      <c r="D536" s="115"/>
      <c r="E536" s="115"/>
      <c r="F536" s="118"/>
      <c r="G536" s="115"/>
      <c r="H536" s="115"/>
      <c r="I536" s="115"/>
      <c r="J536" s="117"/>
      <c r="K536" s="115"/>
      <c r="L536" s="115"/>
      <c r="M536" s="115"/>
      <c r="N536" s="115"/>
      <c r="O536" s="118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 spans="1:26" ht="15.75" customHeight="1" x14ac:dyDescent="0.2">
      <c r="A537" s="117"/>
      <c r="B537" s="115"/>
      <c r="C537" s="115"/>
      <c r="D537" s="115"/>
      <c r="E537" s="115"/>
      <c r="F537" s="118"/>
      <c r="G537" s="115"/>
      <c r="H537" s="115"/>
      <c r="I537" s="115"/>
      <c r="J537" s="117"/>
      <c r="K537" s="115"/>
      <c r="L537" s="115"/>
      <c r="M537" s="115"/>
      <c r="N537" s="115"/>
      <c r="O537" s="118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 spans="1:26" ht="15.75" customHeight="1" x14ac:dyDescent="0.2">
      <c r="A538" s="117"/>
      <c r="B538" s="115"/>
      <c r="C538" s="115"/>
      <c r="D538" s="115"/>
      <c r="E538" s="115"/>
      <c r="F538" s="118"/>
      <c r="G538" s="115"/>
      <c r="H538" s="115"/>
      <c r="I538" s="115"/>
      <c r="J538" s="117"/>
      <c r="K538" s="115"/>
      <c r="L538" s="115"/>
      <c r="M538" s="115"/>
      <c r="N538" s="115"/>
      <c r="O538" s="118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 spans="1:26" ht="15.75" customHeight="1" x14ac:dyDescent="0.2">
      <c r="A539" s="117"/>
      <c r="B539" s="115"/>
      <c r="C539" s="115"/>
      <c r="D539" s="115"/>
      <c r="E539" s="115"/>
      <c r="F539" s="118"/>
      <c r="G539" s="115"/>
      <c r="H539" s="115"/>
      <c r="I539" s="115"/>
      <c r="J539" s="117"/>
      <c r="K539" s="115"/>
      <c r="L539" s="115"/>
      <c r="M539" s="115"/>
      <c r="N539" s="115"/>
      <c r="O539" s="118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 spans="1:26" ht="15.75" customHeight="1" x14ac:dyDescent="0.2">
      <c r="A540" s="117"/>
      <c r="B540" s="115"/>
      <c r="C540" s="115"/>
      <c r="D540" s="115"/>
      <c r="E540" s="115"/>
      <c r="F540" s="118"/>
      <c r="G540" s="115"/>
      <c r="H540" s="115"/>
      <c r="I540" s="115"/>
      <c r="J540" s="117"/>
      <c r="K540" s="115"/>
      <c r="L540" s="115"/>
      <c r="M540" s="115"/>
      <c r="N540" s="115"/>
      <c r="O540" s="118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 spans="1:26" ht="15.75" customHeight="1" x14ac:dyDescent="0.2">
      <c r="A541" s="117"/>
      <c r="B541" s="115"/>
      <c r="C541" s="115"/>
      <c r="D541" s="115"/>
      <c r="E541" s="115"/>
      <c r="F541" s="118"/>
      <c r="G541" s="115"/>
      <c r="H541" s="115"/>
      <c r="I541" s="115"/>
      <c r="J541" s="117"/>
      <c r="K541" s="115"/>
      <c r="L541" s="115"/>
      <c r="M541" s="115"/>
      <c r="N541" s="115"/>
      <c r="O541" s="118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 spans="1:26" ht="15.75" customHeight="1" x14ac:dyDescent="0.2">
      <c r="A542" s="117"/>
      <c r="B542" s="115"/>
      <c r="C542" s="115"/>
      <c r="D542" s="115"/>
      <c r="E542" s="115"/>
      <c r="F542" s="118"/>
      <c r="G542" s="115"/>
      <c r="H542" s="115"/>
      <c r="I542" s="115"/>
      <c r="J542" s="117"/>
      <c r="K542" s="115"/>
      <c r="L542" s="115"/>
      <c r="M542" s="115"/>
      <c r="N542" s="115"/>
      <c r="O542" s="118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 spans="1:26" ht="15.75" customHeight="1" x14ac:dyDescent="0.2">
      <c r="A543" s="117"/>
      <c r="B543" s="115"/>
      <c r="C543" s="115"/>
      <c r="D543" s="115"/>
      <c r="E543" s="115"/>
      <c r="F543" s="118"/>
      <c r="G543" s="115"/>
      <c r="H543" s="115"/>
      <c r="I543" s="115"/>
      <c r="J543" s="117"/>
      <c r="K543" s="115"/>
      <c r="L543" s="115"/>
      <c r="M543" s="115"/>
      <c r="N543" s="115"/>
      <c r="O543" s="118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 spans="1:26" ht="15.75" customHeight="1" x14ac:dyDescent="0.2">
      <c r="A544" s="117"/>
      <c r="B544" s="115"/>
      <c r="C544" s="115"/>
      <c r="D544" s="115"/>
      <c r="E544" s="115"/>
      <c r="F544" s="118"/>
      <c r="G544" s="115"/>
      <c r="H544" s="115"/>
      <c r="I544" s="115"/>
      <c r="J544" s="117"/>
      <c r="K544" s="115"/>
      <c r="L544" s="115"/>
      <c r="M544" s="115"/>
      <c r="N544" s="115"/>
      <c r="O544" s="118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 spans="1:26" ht="15.75" customHeight="1" x14ac:dyDescent="0.2">
      <c r="A545" s="117"/>
      <c r="B545" s="115"/>
      <c r="C545" s="115"/>
      <c r="D545" s="115"/>
      <c r="E545" s="115"/>
      <c r="F545" s="118"/>
      <c r="G545" s="115"/>
      <c r="H545" s="115"/>
      <c r="I545" s="115"/>
      <c r="J545" s="117"/>
      <c r="K545" s="115"/>
      <c r="L545" s="115"/>
      <c r="M545" s="115"/>
      <c r="N545" s="115"/>
      <c r="O545" s="118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 spans="1:26" ht="15.75" customHeight="1" x14ac:dyDescent="0.2">
      <c r="A546" s="117"/>
      <c r="B546" s="115"/>
      <c r="C546" s="115"/>
      <c r="D546" s="115"/>
      <c r="E546" s="115"/>
      <c r="F546" s="118"/>
      <c r="G546" s="115"/>
      <c r="H546" s="115"/>
      <c r="I546" s="115"/>
      <c r="J546" s="117"/>
      <c r="K546" s="115"/>
      <c r="L546" s="115"/>
      <c r="M546" s="115"/>
      <c r="N546" s="115"/>
      <c r="O546" s="118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 spans="1:26" ht="15.75" customHeight="1" x14ac:dyDescent="0.2">
      <c r="A547" s="117"/>
      <c r="B547" s="115"/>
      <c r="C547" s="115"/>
      <c r="D547" s="115"/>
      <c r="E547" s="115"/>
      <c r="F547" s="118"/>
      <c r="G547" s="115"/>
      <c r="H547" s="115"/>
      <c r="I547" s="115"/>
      <c r="J547" s="117"/>
      <c r="K547" s="115"/>
      <c r="L547" s="115"/>
      <c r="M547" s="115"/>
      <c r="N547" s="115"/>
      <c r="O547" s="118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 spans="1:26" ht="15.75" customHeight="1" x14ac:dyDescent="0.2">
      <c r="A548" s="117"/>
      <c r="B548" s="115"/>
      <c r="C548" s="115"/>
      <c r="D548" s="115"/>
      <c r="E548" s="115"/>
      <c r="F548" s="118"/>
      <c r="G548" s="115"/>
      <c r="H548" s="115"/>
      <c r="I548" s="115"/>
      <c r="J548" s="117"/>
      <c r="K548" s="115"/>
      <c r="L548" s="115"/>
      <c r="M548" s="115"/>
      <c r="N548" s="115"/>
      <c r="O548" s="118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 spans="1:26" ht="15.75" customHeight="1" x14ac:dyDescent="0.2">
      <c r="A549" s="117"/>
      <c r="B549" s="115"/>
      <c r="C549" s="115"/>
      <c r="D549" s="115"/>
      <c r="E549" s="115"/>
      <c r="F549" s="118"/>
      <c r="G549" s="115"/>
      <c r="H549" s="115"/>
      <c r="I549" s="115"/>
      <c r="J549" s="117"/>
      <c r="K549" s="115"/>
      <c r="L549" s="115"/>
      <c r="M549" s="115"/>
      <c r="N549" s="115"/>
      <c r="O549" s="118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 spans="1:26" ht="15.75" customHeight="1" x14ac:dyDescent="0.2">
      <c r="A550" s="117"/>
      <c r="B550" s="115"/>
      <c r="C550" s="115"/>
      <c r="D550" s="115"/>
      <c r="E550" s="115"/>
      <c r="F550" s="118"/>
      <c r="G550" s="115"/>
      <c r="H550" s="115"/>
      <c r="I550" s="115"/>
      <c r="J550" s="117"/>
      <c r="K550" s="115"/>
      <c r="L550" s="115"/>
      <c r="M550" s="115"/>
      <c r="N550" s="115"/>
      <c r="O550" s="118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 spans="1:26" ht="15.75" customHeight="1" x14ac:dyDescent="0.2">
      <c r="A551" s="117"/>
      <c r="B551" s="115"/>
      <c r="C551" s="115"/>
      <c r="D551" s="115"/>
      <c r="E551" s="115"/>
      <c r="F551" s="118"/>
      <c r="G551" s="115"/>
      <c r="H551" s="115"/>
      <c r="I551" s="115"/>
      <c r="J551" s="117"/>
      <c r="K551" s="115"/>
      <c r="L551" s="115"/>
      <c r="M551" s="115"/>
      <c r="N551" s="115"/>
      <c r="O551" s="118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 spans="1:26" ht="15.75" customHeight="1" x14ac:dyDescent="0.2">
      <c r="A552" s="117"/>
      <c r="B552" s="115"/>
      <c r="C552" s="115"/>
      <c r="D552" s="115"/>
      <c r="E552" s="115"/>
      <c r="F552" s="118"/>
      <c r="G552" s="115"/>
      <c r="H552" s="115"/>
      <c r="I552" s="115"/>
      <c r="J552" s="117"/>
      <c r="K552" s="115"/>
      <c r="L552" s="115"/>
      <c r="M552" s="115"/>
      <c r="N552" s="115"/>
      <c r="O552" s="118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 spans="1:26" ht="15.75" customHeight="1" x14ac:dyDescent="0.2">
      <c r="A553" s="117"/>
      <c r="B553" s="115"/>
      <c r="C553" s="115"/>
      <c r="D553" s="115"/>
      <c r="E553" s="115"/>
      <c r="F553" s="118"/>
      <c r="G553" s="115"/>
      <c r="H553" s="115"/>
      <c r="I553" s="115"/>
      <c r="J553" s="117"/>
      <c r="K553" s="115"/>
      <c r="L553" s="115"/>
      <c r="M553" s="115"/>
      <c r="N553" s="115"/>
      <c r="O553" s="118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 spans="1:26" ht="15.75" customHeight="1" x14ac:dyDescent="0.2">
      <c r="A554" s="117"/>
      <c r="B554" s="115"/>
      <c r="C554" s="115"/>
      <c r="D554" s="115"/>
      <c r="E554" s="115"/>
      <c r="F554" s="118"/>
      <c r="G554" s="115"/>
      <c r="H554" s="115"/>
      <c r="I554" s="115"/>
      <c r="J554" s="117"/>
      <c r="K554" s="115"/>
      <c r="L554" s="115"/>
      <c r="M554" s="115"/>
      <c r="N554" s="115"/>
      <c r="O554" s="118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 spans="1:26" ht="15.75" customHeight="1" x14ac:dyDescent="0.2">
      <c r="A555" s="117"/>
      <c r="B555" s="115"/>
      <c r="C555" s="115"/>
      <c r="D555" s="115"/>
      <c r="E555" s="115"/>
      <c r="F555" s="118"/>
      <c r="G555" s="115"/>
      <c r="H555" s="115"/>
      <c r="I555" s="115"/>
      <c r="J555" s="117"/>
      <c r="K555" s="115"/>
      <c r="L555" s="115"/>
      <c r="M555" s="115"/>
      <c r="N555" s="115"/>
      <c r="O555" s="118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 spans="1:26" ht="15.75" customHeight="1" x14ac:dyDescent="0.2">
      <c r="A556" s="117"/>
      <c r="B556" s="115"/>
      <c r="C556" s="115"/>
      <c r="D556" s="115"/>
      <c r="E556" s="115"/>
      <c r="F556" s="118"/>
      <c r="G556" s="115"/>
      <c r="H556" s="115"/>
      <c r="I556" s="115"/>
      <c r="J556" s="117"/>
      <c r="K556" s="115"/>
      <c r="L556" s="115"/>
      <c r="M556" s="115"/>
      <c r="N556" s="115"/>
      <c r="O556" s="118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 spans="1:26" ht="15.75" customHeight="1" x14ac:dyDescent="0.2">
      <c r="A557" s="117"/>
      <c r="B557" s="115"/>
      <c r="C557" s="115"/>
      <c r="D557" s="115"/>
      <c r="E557" s="115"/>
      <c r="F557" s="118"/>
      <c r="G557" s="115"/>
      <c r="H557" s="115"/>
      <c r="I557" s="115"/>
      <c r="J557" s="117"/>
      <c r="K557" s="115"/>
      <c r="L557" s="115"/>
      <c r="M557" s="115"/>
      <c r="N557" s="115"/>
      <c r="O557" s="118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 spans="1:26" ht="15.75" customHeight="1" x14ac:dyDescent="0.2">
      <c r="A558" s="117"/>
      <c r="B558" s="115"/>
      <c r="C558" s="115"/>
      <c r="D558" s="115"/>
      <c r="E558" s="115"/>
      <c r="F558" s="118"/>
      <c r="G558" s="115"/>
      <c r="H558" s="115"/>
      <c r="I558" s="115"/>
      <c r="J558" s="117"/>
      <c r="K558" s="115"/>
      <c r="L558" s="115"/>
      <c r="M558" s="115"/>
      <c r="N558" s="115"/>
      <c r="O558" s="118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 spans="1:26" ht="15.75" customHeight="1" x14ac:dyDescent="0.2">
      <c r="A559" s="117"/>
      <c r="B559" s="115"/>
      <c r="C559" s="115"/>
      <c r="D559" s="115"/>
      <c r="E559" s="115"/>
      <c r="F559" s="118"/>
      <c r="G559" s="115"/>
      <c r="H559" s="115"/>
      <c r="I559" s="115"/>
      <c r="J559" s="117"/>
      <c r="K559" s="115"/>
      <c r="L559" s="115"/>
      <c r="M559" s="115"/>
      <c r="N559" s="115"/>
      <c r="O559" s="118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 spans="1:26" ht="15.75" customHeight="1" x14ac:dyDescent="0.2">
      <c r="A560" s="117"/>
      <c r="B560" s="115"/>
      <c r="C560" s="115"/>
      <c r="D560" s="115"/>
      <c r="E560" s="115"/>
      <c r="F560" s="118"/>
      <c r="G560" s="115"/>
      <c r="H560" s="115"/>
      <c r="I560" s="115"/>
      <c r="J560" s="117"/>
      <c r="K560" s="115"/>
      <c r="L560" s="115"/>
      <c r="M560" s="115"/>
      <c r="N560" s="115"/>
      <c r="O560" s="118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 spans="1:26" ht="15.75" customHeight="1" x14ac:dyDescent="0.2">
      <c r="A561" s="117"/>
      <c r="B561" s="115"/>
      <c r="C561" s="115"/>
      <c r="D561" s="115"/>
      <c r="E561" s="115"/>
      <c r="F561" s="118"/>
      <c r="G561" s="115"/>
      <c r="H561" s="115"/>
      <c r="I561" s="115"/>
      <c r="J561" s="117"/>
      <c r="K561" s="115"/>
      <c r="L561" s="115"/>
      <c r="M561" s="115"/>
      <c r="N561" s="115"/>
      <c r="O561" s="118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 spans="1:26" ht="15.75" customHeight="1" x14ac:dyDescent="0.2">
      <c r="A562" s="117"/>
      <c r="B562" s="115"/>
      <c r="C562" s="115"/>
      <c r="D562" s="115"/>
      <c r="E562" s="115"/>
      <c r="F562" s="118"/>
      <c r="G562" s="115"/>
      <c r="H562" s="115"/>
      <c r="I562" s="115"/>
      <c r="J562" s="117"/>
      <c r="K562" s="115"/>
      <c r="L562" s="115"/>
      <c r="M562" s="115"/>
      <c r="N562" s="115"/>
      <c r="O562" s="118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 spans="1:26" ht="15.75" customHeight="1" x14ac:dyDescent="0.2">
      <c r="A563" s="117"/>
      <c r="B563" s="115"/>
      <c r="C563" s="115"/>
      <c r="D563" s="115"/>
      <c r="E563" s="115"/>
      <c r="F563" s="118"/>
      <c r="G563" s="115"/>
      <c r="H563" s="115"/>
      <c r="I563" s="115"/>
      <c r="J563" s="117"/>
      <c r="K563" s="115"/>
      <c r="L563" s="115"/>
      <c r="M563" s="115"/>
      <c r="N563" s="115"/>
      <c r="O563" s="118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 spans="1:26" ht="15.75" customHeight="1" x14ac:dyDescent="0.2">
      <c r="A564" s="117"/>
      <c r="B564" s="115"/>
      <c r="C564" s="115"/>
      <c r="D564" s="115"/>
      <c r="E564" s="115"/>
      <c r="F564" s="118"/>
      <c r="G564" s="115"/>
      <c r="H564" s="115"/>
      <c r="I564" s="115"/>
      <c r="J564" s="117"/>
      <c r="K564" s="115"/>
      <c r="L564" s="115"/>
      <c r="M564" s="115"/>
      <c r="N564" s="115"/>
      <c r="O564" s="118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 spans="1:26" ht="15.75" customHeight="1" x14ac:dyDescent="0.2">
      <c r="A565" s="117"/>
      <c r="B565" s="115"/>
      <c r="C565" s="115"/>
      <c r="D565" s="115"/>
      <c r="E565" s="115"/>
      <c r="F565" s="118"/>
      <c r="G565" s="115"/>
      <c r="H565" s="115"/>
      <c r="I565" s="115"/>
      <c r="J565" s="117"/>
      <c r="K565" s="115"/>
      <c r="L565" s="115"/>
      <c r="M565" s="115"/>
      <c r="N565" s="115"/>
      <c r="O565" s="118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 spans="1:26" ht="15.75" customHeight="1" x14ac:dyDescent="0.2">
      <c r="A566" s="117"/>
      <c r="B566" s="115"/>
      <c r="C566" s="115"/>
      <c r="D566" s="115"/>
      <c r="E566" s="115"/>
      <c r="F566" s="118"/>
      <c r="G566" s="115"/>
      <c r="H566" s="115"/>
      <c r="I566" s="115"/>
      <c r="J566" s="117"/>
      <c r="K566" s="115"/>
      <c r="L566" s="115"/>
      <c r="M566" s="115"/>
      <c r="N566" s="115"/>
      <c r="O566" s="118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 spans="1:26" ht="15.75" customHeight="1" x14ac:dyDescent="0.2">
      <c r="A567" s="117"/>
      <c r="B567" s="115"/>
      <c r="C567" s="115"/>
      <c r="D567" s="115"/>
      <c r="E567" s="115"/>
      <c r="F567" s="118"/>
      <c r="G567" s="115"/>
      <c r="H567" s="115"/>
      <c r="I567" s="115"/>
      <c r="J567" s="117"/>
      <c r="K567" s="115"/>
      <c r="L567" s="115"/>
      <c r="M567" s="115"/>
      <c r="N567" s="115"/>
      <c r="O567" s="118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 spans="1:26" ht="15.75" customHeight="1" x14ac:dyDescent="0.2">
      <c r="A568" s="117"/>
      <c r="B568" s="115"/>
      <c r="C568" s="115"/>
      <c r="D568" s="115"/>
      <c r="E568" s="115"/>
      <c r="F568" s="118"/>
      <c r="G568" s="115"/>
      <c r="H568" s="115"/>
      <c r="I568" s="115"/>
      <c r="J568" s="117"/>
      <c r="K568" s="115"/>
      <c r="L568" s="115"/>
      <c r="M568" s="115"/>
      <c r="N568" s="115"/>
      <c r="O568" s="118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 spans="1:26" ht="15.75" customHeight="1" x14ac:dyDescent="0.2">
      <c r="A569" s="117"/>
      <c r="B569" s="115"/>
      <c r="C569" s="115"/>
      <c r="D569" s="115"/>
      <c r="E569" s="115"/>
      <c r="F569" s="118"/>
      <c r="G569" s="115"/>
      <c r="H569" s="115"/>
      <c r="I569" s="115"/>
      <c r="J569" s="117"/>
      <c r="K569" s="115"/>
      <c r="L569" s="115"/>
      <c r="M569" s="115"/>
      <c r="N569" s="115"/>
      <c r="O569" s="118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 spans="1:26" ht="15.75" customHeight="1" x14ac:dyDescent="0.2">
      <c r="A570" s="117"/>
      <c r="B570" s="115"/>
      <c r="C570" s="115"/>
      <c r="D570" s="115"/>
      <c r="E570" s="115"/>
      <c r="F570" s="118"/>
      <c r="G570" s="115"/>
      <c r="H570" s="115"/>
      <c r="I570" s="115"/>
      <c r="J570" s="117"/>
      <c r="K570" s="115"/>
      <c r="L570" s="115"/>
      <c r="M570" s="115"/>
      <c r="N570" s="115"/>
      <c r="O570" s="118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 spans="1:26" ht="15.75" customHeight="1" x14ac:dyDescent="0.2">
      <c r="A571" s="117"/>
      <c r="B571" s="115"/>
      <c r="C571" s="115"/>
      <c r="D571" s="115"/>
      <c r="E571" s="115"/>
      <c r="F571" s="118"/>
      <c r="G571" s="115"/>
      <c r="H571" s="115"/>
      <c r="I571" s="115"/>
      <c r="J571" s="117"/>
      <c r="K571" s="115"/>
      <c r="L571" s="115"/>
      <c r="M571" s="115"/>
      <c r="N571" s="115"/>
      <c r="O571" s="118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 spans="1:26" ht="15.75" customHeight="1" x14ac:dyDescent="0.2">
      <c r="A572" s="117"/>
      <c r="B572" s="115"/>
      <c r="C572" s="115"/>
      <c r="D572" s="115"/>
      <c r="E572" s="115"/>
      <c r="F572" s="118"/>
      <c r="G572" s="115"/>
      <c r="H572" s="115"/>
      <c r="I572" s="115"/>
      <c r="J572" s="117"/>
      <c r="K572" s="115"/>
      <c r="L572" s="115"/>
      <c r="M572" s="115"/>
      <c r="N572" s="115"/>
      <c r="O572" s="118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 spans="1:26" ht="15.75" customHeight="1" x14ac:dyDescent="0.2">
      <c r="A573" s="117"/>
      <c r="B573" s="115"/>
      <c r="C573" s="115"/>
      <c r="D573" s="115"/>
      <c r="E573" s="115"/>
      <c r="F573" s="118"/>
      <c r="G573" s="115"/>
      <c r="H573" s="115"/>
      <c r="I573" s="115"/>
      <c r="J573" s="117"/>
      <c r="K573" s="115"/>
      <c r="L573" s="115"/>
      <c r="M573" s="115"/>
      <c r="N573" s="115"/>
      <c r="O573" s="118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 spans="1:26" ht="15.75" customHeight="1" x14ac:dyDescent="0.2">
      <c r="A574" s="117"/>
      <c r="B574" s="115"/>
      <c r="C574" s="115"/>
      <c r="D574" s="115"/>
      <c r="E574" s="115"/>
      <c r="F574" s="118"/>
      <c r="G574" s="115"/>
      <c r="H574" s="115"/>
      <c r="I574" s="115"/>
      <c r="J574" s="117"/>
      <c r="K574" s="115"/>
      <c r="L574" s="115"/>
      <c r="M574" s="115"/>
      <c r="N574" s="115"/>
      <c r="O574" s="118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 spans="1:26" ht="15.75" customHeight="1" x14ac:dyDescent="0.2">
      <c r="A575" s="117"/>
      <c r="B575" s="115"/>
      <c r="C575" s="115"/>
      <c r="D575" s="115"/>
      <c r="E575" s="115"/>
      <c r="F575" s="118"/>
      <c r="G575" s="115"/>
      <c r="H575" s="115"/>
      <c r="I575" s="115"/>
      <c r="J575" s="117"/>
      <c r="K575" s="115"/>
      <c r="L575" s="115"/>
      <c r="M575" s="115"/>
      <c r="N575" s="115"/>
      <c r="O575" s="118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 spans="1:26" ht="15.75" customHeight="1" x14ac:dyDescent="0.2">
      <c r="A576" s="117"/>
      <c r="B576" s="115"/>
      <c r="C576" s="115"/>
      <c r="D576" s="115"/>
      <c r="E576" s="115"/>
      <c r="F576" s="118"/>
      <c r="G576" s="115"/>
      <c r="H576" s="115"/>
      <c r="I576" s="115"/>
      <c r="J576" s="117"/>
      <c r="K576" s="115"/>
      <c r="L576" s="115"/>
      <c r="M576" s="115"/>
      <c r="N576" s="115"/>
      <c r="O576" s="118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 spans="1:26" ht="15.75" customHeight="1" x14ac:dyDescent="0.2">
      <c r="A577" s="117"/>
      <c r="B577" s="115"/>
      <c r="C577" s="115"/>
      <c r="D577" s="115"/>
      <c r="E577" s="115"/>
      <c r="F577" s="118"/>
      <c r="G577" s="115"/>
      <c r="H577" s="115"/>
      <c r="I577" s="115"/>
      <c r="J577" s="117"/>
      <c r="K577" s="115"/>
      <c r="L577" s="115"/>
      <c r="M577" s="115"/>
      <c r="N577" s="115"/>
      <c r="O577" s="118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 spans="1:26" ht="15.75" customHeight="1" x14ac:dyDescent="0.2">
      <c r="A578" s="117"/>
      <c r="B578" s="115"/>
      <c r="C578" s="115"/>
      <c r="D578" s="115"/>
      <c r="E578" s="115"/>
      <c r="F578" s="118"/>
      <c r="G578" s="115"/>
      <c r="H578" s="115"/>
      <c r="I578" s="115"/>
      <c r="J578" s="117"/>
      <c r="K578" s="115"/>
      <c r="L578" s="115"/>
      <c r="M578" s="115"/>
      <c r="N578" s="115"/>
      <c r="O578" s="118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 spans="1:26" ht="15.75" customHeight="1" x14ac:dyDescent="0.2">
      <c r="A579" s="117"/>
      <c r="B579" s="115"/>
      <c r="C579" s="115"/>
      <c r="D579" s="115"/>
      <c r="E579" s="115"/>
      <c r="F579" s="118"/>
      <c r="G579" s="115"/>
      <c r="H579" s="115"/>
      <c r="I579" s="115"/>
      <c r="J579" s="117"/>
      <c r="K579" s="115"/>
      <c r="L579" s="115"/>
      <c r="M579" s="115"/>
      <c r="N579" s="115"/>
      <c r="O579" s="118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 spans="1:26" ht="15.75" customHeight="1" x14ac:dyDescent="0.2">
      <c r="A580" s="117"/>
      <c r="B580" s="115"/>
      <c r="C580" s="115"/>
      <c r="D580" s="115"/>
      <c r="E580" s="115"/>
      <c r="F580" s="118"/>
      <c r="G580" s="115"/>
      <c r="H580" s="115"/>
      <c r="I580" s="115"/>
      <c r="J580" s="117"/>
      <c r="K580" s="115"/>
      <c r="L580" s="115"/>
      <c r="M580" s="115"/>
      <c r="N580" s="115"/>
      <c r="O580" s="118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 spans="1:26" ht="15.75" customHeight="1" x14ac:dyDescent="0.2">
      <c r="A581" s="117"/>
      <c r="B581" s="115"/>
      <c r="C581" s="115"/>
      <c r="D581" s="115"/>
      <c r="E581" s="115"/>
      <c r="F581" s="118"/>
      <c r="G581" s="115"/>
      <c r="H581" s="115"/>
      <c r="I581" s="115"/>
      <c r="J581" s="117"/>
      <c r="K581" s="115"/>
      <c r="L581" s="115"/>
      <c r="M581" s="115"/>
      <c r="N581" s="115"/>
      <c r="O581" s="118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 spans="1:26" ht="15.75" customHeight="1" x14ac:dyDescent="0.2">
      <c r="A582" s="117"/>
      <c r="B582" s="115"/>
      <c r="C582" s="115"/>
      <c r="D582" s="115"/>
      <c r="E582" s="115"/>
      <c r="F582" s="118"/>
      <c r="G582" s="115"/>
      <c r="H582" s="115"/>
      <c r="I582" s="115"/>
      <c r="J582" s="117"/>
      <c r="K582" s="115"/>
      <c r="L582" s="115"/>
      <c r="M582" s="115"/>
      <c r="N582" s="115"/>
      <c r="O582" s="118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 spans="1:26" ht="15.75" customHeight="1" x14ac:dyDescent="0.2">
      <c r="A583" s="117"/>
      <c r="B583" s="115"/>
      <c r="C583" s="115"/>
      <c r="D583" s="115"/>
      <c r="E583" s="115"/>
      <c r="F583" s="118"/>
      <c r="G583" s="115"/>
      <c r="H583" s="115"/>
      <c r="I583" s="115"/>
      <c r="J583" s="117"/>
      <c r="K583" s="115"/>
      <c r="L583" s="115"/>
      <c r="M583" s="115"/>
      <c r="N583" s="115"/>
      <c r="O583" s="118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 spans="1:26" ht="15.75" customHeight="1" x14ac:dyDescent="0.2">
      <c r="A584" s="117"/>
      <c r="B584" s="115"/>
      <c r="C584" s="115"/>
      <c r="D584" s="115"/>
      <c r="E584" s="115"/>
      <c r="F584" s="118"/>
      <c r="G584" s="115"/>
      <c r="H584" s="115"/>
      <c r="I584" s="115"/>
      <c r="J584" s="117"/>
      <c r="K584" s="115"/>
      <c r="L584" s="115"/>
      <c r="M584" s="115"/>
      <c r="N584" s="115"/>
      <c r="O584" s="118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 spans="1:26" ht="15.75" customHeight="1" x14ac:dyDescent="0.2">
      <c r="A585" s="117"/>
      <c r="B585" s="115"/>
      <c r="C585" s="115"/>
      <c r="D585" s="115"/>
      <c r="E585" s="115"/>
      <c r="F585" s="118"/>
      <c r="G585" s="115"/>
      <c r="H585" s="115"/>
      <c r="I585" s="115"/>
      <c r="J585" s="117"/>
      <c r="K585" s="115"/>
      <c r="L585" s="115"/>
      <c r="M585" s="115"/>
      <c r="N585" s="115"/>
      <c r="O585" s="118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 spans="1:26" ht="15.75" customHeight="1" x14ac:dyDescent="0.2">
      <c r="A586" s="117"/>
      <c r="B586" s="115"/>
      <c r="C586" s="115"/>
      <c r="D586" s="115"/>
      <c r="E586" s="115"/>
      <c r="F586" s="118"/>
      <c r="G586" s="115"/>
      <c r="H586" s="115"/>
      <c r="I586" s="115"/>
      <c r="J586" s="117"/>
      <c r="K586" s="115"/>
      <c r="L586" s="115"/>
      <c r="M586" s="115"/>
      <c r="N586" s="115"/>
      <c r="O586" s="118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 spans="1:26" ht="15.75" customHeight="1" x14ac:dyDescent="0.2">
      <c r="A587" s="117"/>
      <c r="B587" s="115"/>
      <c r="C587" s="115"/>
      <c r="D587" s="115"/>
      <c r="E587" s="115"/>
      <c r="F587" s="118"/>
      <c r="G587" s="115"/>
      <c r="H587" s="115"/>
      <c r="I587" s="115"/>
      <c r="J587" s="117"/>
      <c r="K587" s="115"/>
      <c r="L587" s="115"/>
      <c r="M587" s="115"/>
      <c r="N587" s="115"/>
      <c r="O587" s="118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 spans="1:26" ht="15.75" customHeight="1" x14ac:dyDescent="0.2">
      <c r="A588" s="117"/>
      <c r="B588" s="115"/>
      <c r="C588" s="115"/>
      <c r="D588" s="115"/>
      <c r="E588" s="115"/>
      <c r="F588" s="118"/>
      <c r="G588" s="115"/>
      <c r="H588" s="115"/>
      <c r="I588" s="115"/>
      <c r="J588" s="117"/>
      <c r="K588" s="115"/>
      <c r="L588" s="115"/>
      <c r="M588" s="115"/>
      <c r="N588" s="115"/>
      <c r="O588" s="118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 spans="1:26" ht="15.75" customHeight="1" x14ac:dyDescent="0.2">
      <c r="A589" s="117"/>
      <c r="B589" s="115"/>
      <c r="C589" s="115"/>
      <c r="D589" s="115"/>
      <c r="E589" s="115"/>
      <c r="F589" s="118"/>
      <c r="G589" s="115"/>
      <c r="H589" s="115"/>
      <c r="I589" s="115"/>
      <c r="J589" s="117"/>
      <c r="K589" s="115"/>
      <c r="L589" s="115"/>
      <c r="M589" s="115"/>
      <c r="N589" s="115"/>
      <c r="O589" s="118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 spans="1:26" ht="15.75" customHeight="1" x14ac:dyDescent="0.2">
      <c r="A590" s="117"/>
      <c r="B590" s="115"/>
      <c r="C590" s="115"/>
      <c r="D590" s="115"/>
      <c r="E590" s="115"/>
      <c r="F590" s="118"/>
      <c r="G590" s="115"/>
      <c r="H590" s="115"/>
      <c r="I590" s="115"/>
      <c r="J590" s="117"/>
      <c r="K590" s="115"/>
      <c r="L590" s="115"/>
      <c r="M590" s="115"/>
      <c r="N590" s="115"/>
      <c r="O590" s="118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 spans="1:26" ht="15.75" customHeight="1" x14ac:dyDescent="0.2">
      <c r="A591" s="117"/>
      <c r="B591" s="115"/>
      <c r="C591" s="115"/>
      <c r="D591" s="115"/>
      <c r="E591" s="115"/>
      <c r="F591" s="118"/>
      <c r="G591" s="115"/>
      <c r="H591" s="115"/>
      <c r="I591" s="115"/>
      <c r="J591" s="117"/>
      <c r="K591" s="115"/>
      <c r="L591" s="115"/>
      <c r="M591" s="115"/>
      <c r="N591" s="115"/>
      <c r="O591" s="118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 spans="1:26" ht="15.75" customHeight="1" x14ac:dyDescent="0.2">
      <c r="A592" s="117"/>
      <c r="B592" s="115"/>
      <c r="C592" s="115"/>
      <c r="D592" s="115"/>
      <c r="E592" s="115"/>
      <c r="F592" s="118"/>
      <c r="G592" s="115"/>
      <c r="H592" s="115"/>
      <c r="I592" s="115"/>
      <c r="J592" s="117"/>
      <c r="K592" s="115"/>
      <c r="L592" s="115"/>
      <c r="M592" s="115"/>
      <c r="N592" s="115"/>
      <c r="O592" s="118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 spans="1:26" ht="15.75" customHeight="1" x14ac:dyDescent="0.2">
      <c r="A593" s="117"/>
      <c r="B593" s="115"/>
      <c r="C593" s="115"/>
      <c r="D593" s="115"/>
      <c r="E593" s="115"/>
      <c r="F593" s="118"/>
      <c r="G593" s="115"/>
      <c r="H593" s="115"/>
      <c r="I593" s="115"/>
      <c r="J593" s="117"/>
      <c r="K593" s="115"/>
      <c r="L593" s="115"/>
      <c r="M593" s="115"/>
      <c r="N593" s="115"/>
      <c r="O593" s="118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 spans="1:26" ht="15.75" customHeight="1" x14ac:dyDescent="0.2">
      <c r="A594" s="117"/>
      <c r="B594" s="115"/>
      <c r="C594" s="115"/>
      <c r="D594" s="115"/>
      <c r="E594" s="115"/>
      <c r="F594" s="118"/>
      <c r="G594" s="115"/>
      <c r="H594" s="115"/>
      <c r="I594" s="115"/>
      <c r="J594" s="117"/>
      <c r="K594" s="115"/>
      <c r="L594" s="115"/>
      <c r="M594" s="115"/>
      <c r="N594" s="115"/>
      <c r="O594" s="118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 spans="1:26" ht="15.75" customHeight="1" x14ac:dyDescent="0.2">
      <c r="A595" s="117"/>
      <c r="B595" s="115"/>
      <c r="C595" s="115"/>
      <c r="D595" s="115"/>
      <c r="E595" s="115"/>
      <c r="F595" s="118"/>
      <c r="G595" s="115"/>
      <c r="H595" s="115"/>
      <c r="I595" s="115"/>
      <c r="J595" s="117"/>
      <c r="K595" s="115"/>
      <c r="L595" s="115"/>
      <c r="M595" s="115"/>
      <c r="N595" s="115"/>
      <c r="O595" s="118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 spans="1:26" ht="15.75" customHeight="1" x14ac:dyDescent="0.2">
      <c r="A596" s="117"/>
      <c r="B596" s="115"/>
      <c r="C596" s="115"/>
      <c r="D596" s="115"/>
      <c r="E596" s="115"/>
      <c r="F596" s="118"/>
      <c r="G596" s="115"/>
      <c r="H596" s="115"/>
      <c r="I596" s="115"/>
      <c r="J596" s="117"/>
      <c r="K596" s="115"/>
      <c r="L596" s="115"/>
      <c r="M596" s="115"/>
      <c r="N596" s="115"/>
      <c r="O596" s="118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 spans="1:26" ht="15.75" customHeight="1" x14ac:dyDescent="0.2">
      <c r="A597" s="117"/>
      <c r="B597" s="115"/>
      <c r="C597" s="115"/>
      <c r="D597" s="115"/>
      <c r="E597" s="115"/>
      <c r="F597" s="118"/>
      <c r="G597" s="115"/>
      <c r="H597" s="115"/>
      <c r="I597" s="115"/>
      <c r="J597" s="117"/>
      <c r="K597" s="115"/>
      <c r="L597" s="115"/>
      <c r="M597" s="115"/>
      <c r="N597" s="115"/>
      <c r="O597" s="118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 spans="1:26" ht="15.75" customHeight="1" x14ac:dyDescent="0.2">
      <c r="A598" s="117"/>
      <c r="B598" s="115"/>
      <c r="C598" s="115"/>
      <c r="D598" s="115"/>
      <c r="E598" s="115"/>
      <c r="F598" s="118"/>
      <c r="G598" s="115"/>
      <c r="H598" s="115"/>
      <c r="I598" s="115"/>
      <c r="J598" s="117"/>
      <c r="K598" s="115"/>
      <c r="L598" s="115"/>
      <c r="M598" s="115"/>
      <c r="N598" s="115"/>
      <c r="O598" s="118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 spans="1:26" ht="15.75" customHeight="1" x14ac:dyDescent="0.2">
      <c r="A599" s="117"/>
      <c r="B599" s="115"/>
      <c r="C599" s="115"/>
      <c r="D599" s="115"/>
      <c r="E599" s="115"/>
      <c r="F599" s="118"/>
      <c r="G599" s="115"/>
      <c r="H599" s="115"/>
      <c r="I599" s="115"/>
      <c r="J599" s="117"/>
      <c r="K599" s="115"/>
      <c r="L599" s="115"/>
      <c r="M599" s="115"/>
      <c r="N599" s="115"/>
      <c r="O599" s="118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 spans="1:26" ht="15.75" customHeight="1" x14ac:dyDescent="0.2">
      <c r="A600" s="117"/>
      <c r="B600" s="115"/>
      <c r="C600" s="115"/>
      <c r="D600" s="115"/>
      <c r="E600" s="115"/>
      <c r="F600" s="118"/>
      <c r="G600" s="115"/>
      <c r="H600" s="115"/>
      <c r="I600" s="115"/>
      <c r="J600" s="117"/>
      <c r="K600" s="115"/>
      <c r="L600" s="115"/>
      <c r="M600" s="115"/>
      <c r="N600" s="115"/>
      <c r="O600" s="118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 spans="1:26" ht="15.75" customHeight="1" x14ac:dyDescent="0.2">
      <c r="A601" s="117"/>
      <c r="B601" s="115"/>
      <c r="C601" s="115"/>
      <c r="D601" s="115"/>
      <c r="E601" s="115"/>
      <c r="F601" s="118"/>
      <c r="G601" s="115"/>
      <c r="H601" s="115"/>
      <c r="I601" s="115"/>
      <c r="J601" s="117"/>
      <c r="K601" s="115"/>
      <c r="L601" s="115"/>
      <c r="M601" s="115"/>
      <c r="N601" s="115"/>
      <c r="O601" s="118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 spans="1:26" ht="15.75" customHeight="1" x14ac:dyDescent="0.2">
      <c r="A602" s="117"/>
      <c r="B602" s="115"/>
      <c r="C602" s="115"/>
      <c r="D602" s="115"/>
      <c r="E602" s="115"/>
      <c r="F602" s="118"/>
      <c r="G602" s="115"/>
      <c r="H602" s="115"/>
      <c r="I602" s="115"/>
      <c r="J602" s="117"/>
      <c r="K602" s="115"/>
      <c r="L602" s="115"/>
      <c r="M602" s="115"/>
      <c r="N602" s="115"/>
      <c r="O602" s="118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 spans="1:26" ht="15.75" customHeight="1" x14ac:dyDescent="0.2">
      <c r="A603" s="117"/>
      <c r="B603" s="115"/>
      <c r="C603" s="115"/>
      <c r="D603" s="115"/>
      <c r="E603" s="115"/>
      <c r="F603" s="118"/>
      <c r="G603" s="115"/>
      <c r="H603" s="115"/>
      <c r="I603" s="115"/>
      <c r="J603" s="117"/>
      <c r="K603" s="115"/>
      <c r="L603" s="115"/>
      <c r="M603" s="115"/>
      <c r="N603" s="115"/>
      <c r="O603" s="118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 spans="1:26" ht="15.75" customHeight="1" x14ac:dyDescent="0.2">
      <c r="A604" s="117"/>
      <c r="B604" s="115"/>
      <c r="C604" s="115"/>
      <c r="D604" s="115"/>
      <c r="E604" s="115"/>
      <c r="F604" s="118"/>
      <c r="G604" s="115"/>
      <c r="H604" s="115"/>
      <c r="I604" s="115"/>
      <c r="J604" s="117"/>
      <c r="K604" s="115"/>
      <c r="L604" s="115"/>
      <c r="M604" s="115"/>
      <c r="N604" s="115"/>
      <c r="O604" s="118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 spans="1:26" ht="15.75" customHeight="1" x14ac:dyDescent="0.2">
      <c r="A605" s="117"/>
      <c r="B605" s="115"/>
      <c r="C605" s="115"/>
      <c r="D605" s="115"/>
      <c r="E605" s="115"/>
      <c r="F605" s="118"/>
      <c r="G605" s="115"/>
      <c r="H605" s="115"/>
      <c r="I605" s="115"/>
      <c r="J605" s="117"/>
      <c r="K605" s="115"/>
      <c r="L605" s="115"/>
      <c r="M605" s="115"/>
      <c r="N605" s="115"/>
      <c r="O605" s="118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 spans="1:26" ht="15.75" customHeight="1" x14ac:dyDescent="0.2">
      <c r="A606" s="117"/>
      <c r="B606" s="115"/>
      <c r="C606" s="115"/>
      <c r="D606" s="115"/>
      <c r="E606" s="115"/>
      <c r="F606" s="118"/>
      <c r="G606" s="115"/>
      <c r="H606" s="115"/>
      <c r="I606" s="115"/>
      <c r="J606" s="117"/>
      <c r="K606" s="115"/>
      <c r="L606" s="115"/>
      <c r="M606" s="115"/>
      <c r="N606" s="115"/>
      <c r="O606" s="118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 spans="1:26" ht="15.75" customHeight="1" x14ac:dyDescent="0.2">
      <c r="A607" s="117"/>
      <c r="B607" s="115"/>
      <c r="C607" s="115"/>
      <c r="D607" s="115"/>
      <c r="E607" s="115"/>
      <c r="F607" s="118"/>
      <c r="G607" s="115"/>
      <c r="H607" s="115"/>
      <c r="I607" s="115"/>
      <c r="J607" s="117"/>
      <c r="K607" s="115"/>
      <c r="L607" s="115"/>
      <c r="M607" s="115"/>
      <c r="N607" s="115"/>
      <c r="O607" s="118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 spans="1:26" ht="15.75" customHeight="1" x14ac:dyDescent="0.2">
      <c r="A608" s="117"/>
      <c r="B608" s="115"/>
      <c r="C608" s="115"/>
      <c r="D608" s="115"/>
      <c r="E608" s="115"/>
      <c r="F608" s="118"/>
      <c r="G608" s="115"/>
      <c r="H608" s="115"/>
      <c r="I608" s="115"/>
      <c r="J608" s="117"/>
      <c r="K608" s="115"/>
      <c r="L608" s="115"/>
      <c r="M608" s="115"/>
      <c r="N608" s="115"/>
      <c r="O608" s="118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 spans="1:26" ht="15.75" customHeight="1" x14ac:dyDescent="0.2">
      <c r="A609" s="117"/>
      <c r="B609" s="115"/>
      <c r="C609" s="115"/>
      <c r="D609" s="115"/>
      <c r="E609" s="115"/>
      <c r="F609" s="118"/>
      <c r="G609" s="115"/>
      <c r="H609" s="115"/>
      <c r="I609" s="115"/>
      <c r="J609" s="117"/>
      <c r="K609" s="115"/>
      <c r="L609" s="115"/>
      <c r="M609" s="115"/>
      <c r="N609" s="115"/>
      <c r="O609" s="118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 spans="1:26" ht="15.75" customHeight="1" x14ac:dyDescent="0.2">
      <c r="A610" s="117"/>
      <c r="B610" s="115"/>
      <c r="C610" s="115"/>
      <c r="D610" s="115"/>
      <c r="E610" s="115"/>
      <c r="F610" s="118"/>
      <c r="G610" s="115"/>
      <c r="H610" s="115"/>
      <c r="I610" s="115"/>
      <c r="J610" s="117"/>
      <c r="K610" s="115"/>
      <c r="L610" s="115"/>
      <c r="M610" s="115"/>
      <c r="N610" s="115"/>
      <c r="O610" s="118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 spans="1:26" ht="15.75" customHeight="1" x14ac:dyDescent="0.2">
      <c r="A611" s="117"/>
      <c r="B611" s="115"/>
      <c r="C611" s="115"/>
      <c r="D611" s="115"/>
      <c r="E611" s="115"/>
      <c r="F611" s="118"/>
      <c r="G611" s="115"/>
      <c r="H611" s="115"/>
      <c r="I611" s="115"/>
      <c r="J611" s="117"/>
      <c r="K611" s="115"/>
      <c r="L611" s="115"/>
      <c r="M611" s="115"/>
      <c r="N611" s="115"/>
      <c r="O611" s="118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 spans="1:26" ht="15.75" customHeight="1" x14ac:dyDescent="0.2">
      <c r="A612" s="117"/>
      <c r="B612" s="115"/>
      <c r="C612" s="115"/>
      <c r="D612" s="115"/>
      <c r="E612" s="115"/>
      <c r="F612" s="118"/>
      <c r="G612" s="115"/>
      <c r="H612" s="115"/>
      <c r="I612" s="115"/>
      <c r="J612" s="117"/>
      <c r="K612" s="115"/>
      <c r="L612" s="115"/>
      <c r="M612" s="115"/>
      <c r="N612" s="115"/>
      <c r="O612" s="118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 spans="1:26" ht="15.75" customHeight="1" x14ac:dyDescent="0.2">
      <c r="A613" s="117"/>
      <c r="B613" s="115"/>
      <c r="C613" s="115"/>
      <c r="D613" s="115"/>
      <c r="E613" s="115"/>
      <c r="F613" s="118"/>
      <c r="G613" s="115"/>
      <c r="H613" s="115"/>
      <c r="I613" s="115"/>
      <c r="J613" s="117"/>
      <c r="K613" s="115"/>
      <c r="L613" s="115"/>
      <c r="M613" s="115"/>
      <c r="N613" s="115"/>
      <c r="O613" s="118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 spans="1:26" ht="15.75" customHeight="1" x14ac:dyDescent="0.2">
      <c r="A614" s="117"/>
      <c r="B614" s="115"/>
      <c r="C614" s="115"/>
      <c r="D614" s="115"/>
      <c r="E614" s="115"/>
      <c r="F614" s="118"/>
      <c r="G614" s="115"/>
      <c r="H614" s="115"/>
      <c r="I614" s="115"/>
      <c r="J614" s="117"/>
      <c r="K614" s="115"/>
      <c r="L614" s="115"/>
      <c r="M614" s="115"/>
      <c r="N614" s="115"/>
      <c r="O614" s="118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 spans="1:26" ht="15.75" customHeight="1" x14ac:dyDescent="0.2">
      <c r="A615" s="117"/>
      <c r="B615" s="115"/>
      <c r="C615" s="115"/>
      <c r="D615" s="115"/>
      <c r="E615" s="115"/>
      <c r="F615" s="118"/>
      <c r="G615" s="115"/>
      <c r="H615" s="115"/>
      <c r="I615" s="115"/>
      <c r="J615" s="117"/>
      <c r="K615" s="115"/>
      <c r="L615" s="115"/>
      <c r="M615" s="115"/>
      <c r="N615" s="115"/>
      <c r="O615" s="118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 spans="1:26" ht="15.75" customHeight="1" x14ac:dyDescent="0.2">
      <c r="A616" s="117"/>
      <c r="B616" s="115"/>
      <c r="C616" s="115"/>
      <c r="D616" s="115"/>
      <c r="E616" s="115"/>
      <c r="F616" s="118"/>
      <c r="G616" s="115"/>
      <c r="H616" s="115"/>
      <c r="I616" s="115"/>
      <c r="J616" s="117"/>
      <c r="K616" s="115"/>
      <c r="L616" s="115"/>
      <c r="M616" s="115"/>
      <c r="N616" s="115"/>
      <c r="O616" s="118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 spans="1:26" ht="15.75" customHeight="1" x14ac:dyDescent="0.2">
      <c r="A617" s="117"/>
      <c r="B617" s="115"/>
      <c r="C617" s="115"/>
      <c r="D617" s="115"/>
      <c r="E617" s="115"/>
      <c r="F617" s="118"/>
      <c r="G617" s="115"/>
      <c r="H617" s="115"/>
      <c r="I617" s="115"/>
      <c r="J617" s="117"/>
      <c r="K617" s="115"/>
      <c r="L617" s="115"/>
      <c r="M617" s="115"/>
      <c r="N617" s="115"/>
      <c r="O617" s="118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 spans="1:26" ht="15.75" customHeight="1" x14ac:dyDescent="0.2">
      <c r="A618" s="117"/>
      <c r="B618" s="115"/>
      <c r="C618" s="115"/>
      <c r="D618" s="115"/>
      <c r="E618" s="115"/>
      <c r="F618" s="118"/>
      <c r="G618" s="115"/>
      <c r="H618" s="115"/>
      <c r="I618" s="115"/>
      <c r="J618" s="117"/>
      <c r="K618" s="115"/>
      <c r="L618" s="115"/>
      <c r="M618" s="115"/>
      <c r="N618" s="115"/>
      <c r="O618" s="118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 spans="1:26" ht="15.75" customHeight="1" x14ac:dyDescent="0.2">
      <c r="A619" s="117"/>
      <c r="B619" s="115"/>
      <c r="C619" s="115"/>
      <c r="D619" s="115"/>
      <c r="E619" s="115"/>
      <c r="F619" s="118"/>
      <c r="G619" s="115"/>
      <c r="H619" s="115"/>
      <c r="I619" s="115"/>
      <c r="J619" s="117"/>
      <c r="K619" s="115"/>
      <c r="L619" s="115"/>
      <c r="M619" s="115"/>
      <c r="N619" s="115"/>
      <c r="O619" s="118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 spans="1:26" ht="15.75" customHeight="1" x14ac:dyDescent="0.2">
      <c r="A620" s="117"/>
      <c r="B620" s="115"/>
      <c r="C620" s="115"/>
      <c r="D620" s="115"/>
      <c r="E620" s="115"/>
      <c r="F620" s="118"/>
      <c r="G620" s="115"/>
      <c r="H620" s="115"/>
      <c r="I620" s="115"/>
      <c r="J620" s="117"/>
      <c r="K620" s="115"/>
      <c r="L620" s="115"/>
      <c r="M620" s="115"/>
      <c r="N620" s="115"/>
      <c r="O620" s="118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 spans="1:26" ht="15.75" customHeight="1" x14ac:dyDescent="0.2">
      <c r="A621" s="117"/>
      <c r="B621" s="115"/>
      <c r="C621" s="115"/>
      <c r="D621" s="115"/>
      <c r="E621" s="115"/>
      <c r="F621" s="118"/>
      <c r="G621" s="115"/>
      <c r="H621" s="115"/>
      <c r="I621" s="115"/>
      <c r="J621" s="117"/>
      <c r="K621" s="115"/>
      <c r="L621" s="115"/>
      <c r="M621" s="115"/>
      <c r="N621" s="115"/>
      <c r="O621" s="118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 spans="1:26" ht="15.75" customHeight="1" x14ac:dyDescent="0.2">
      <c r="A622" s="117"/>
      <c r="B622" s="115"/>
      <c r="C622" s="115"/>
      <c r="D622" s="115"/>
      <c r="E622" s="115"/>
      <c r="F622" s="118"/>
      <c r="G622" s="115"/>
      <c r="H622" s="115"/>
      <c r="I622" s="115"/>
      <c r="J622" s="117"/>
      <c r="K622" s="115"/>
      <c r="L622" s="115"/>
      <c r="M622" s="115"/>
      <c r="N622" s="115"/>
      <c r="O622" s="118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 spans="1:26" ht="15.75" customHeight="1" x14ac:dyDescent="0.2">
      <c r="A623" s="117"/>
      <c r="B623" s="115"/>
      <c r="C623" s="115"/>
      <c r="D623" s="115"/>
      <c r="E623" s="115"/>
      <c r="F623" s="118"/>
      <c r="G623" s="115"/>
      <c r="H623" s="115"/>
      <c r="I623" s="115"/>
      <c r="J623" s="117"/>
      <c r="K623" s="115"/>
      <c r="L623" s="115"/>
      <c r="M623" s="115"/>
      <c r="N623" s="115"/>
      <c r="O623" s="118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 spans="1:26" ht="15.75" customHeight="1" x14ac:dyDescent="0.2">
      <c r="A624" s="117"/>
      <c r="B624" s="115"/>
      <c r="C624" s="115"/>
      <c r="D624" s="115"/>
      <c r="E624" s="115"/>
      <c r="F624" s="118"/>
      <c r="G624" s="115"/>
      <c r="H624" s="115"/>
      <c r="I624" s="115"/>
      <c r="J624" s="117"/>
      <c r="K624" s="115"/>
      <c r="L624" s="115"/>
      <c r="M624" s="115"/>
      <c r="N624" s="115"/>
      <c r="O624" s="118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 spans="1:26" ht="15.75" customHeight="1" x14ac:dyDescent="0.2">
      <c r="A625" s="117"/>
      <c r="B625" s="115"/>
      <c r="C625" s="115"/>
      <c r="D625" s="115"/>
      <c r="E625" s="115"/>
      <c r="F625" s="118"/>
      <c r="G625" s="115"/>
      <c r="H625" s="115"/>
      <c r="I625" s="115"/>
      <c r="J625" s="117"/>
      <c r="K625" s="115"/>
      <c r="L625" s="115"/>
      <c r="M625" s="115"/>
      <c r="N625" s="115"/>
      <c r="O625" s="118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 spans="1:26" ht="15.75" customHeight="1" x14ac:dyDescent="0.2">
      <c r="A626" s="117"/>
      <c r="B626" s="115"/>
      <c r="C626" s="115"/>
      <c r="D626" s="115"/>
      <c r="E626" s="115"/>
      <c r="F626" s="118"/>
      <c r="G626" s="115"/>
      <c r="H626" s="115"/>
      <c r="I626" s="115"/>
      <c r="J626" s="117"/>
      <c r="K626" s="115"/>
      <c r="L626" s="115"/>
      <c r="M626" s="115"/>
      <c r="N626" s="115"/>
      <c r="O626" s="118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 spans="1:26" ht="15.75" customHeight="1" x14ac:dyDescent="0.2">
      <c r="A627" s="117"/>
      <c r="B627" s="115"/>
      <c r="C627" s="115"/>
      <c r="D627" s="115"/>
      <c r="E627" s="115"/>
      <c r="F627" s="118"/>
      <c r="G627" s="115"/>
      <c r="H627" s="115"/>
      <c r="I627" s="115"/>
      <c r="J627" s="117"/>
      <c r="K627" s="115"/>
      <c r="L627" s="115"/>
      <c r="M627" s="115"/>
      <c r="N627" s="115"/>
      <c r="O627" s="118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 spans="1:26" ht="15.75" customHeight="1" x14ac:dyDescent="0.2">
      <c r="A628" s="117"/>
      <c r="B628" s="115"/>
      <c r="C628" s="115"/>
      <c r="D628" s="115"/>
      <c r="E628" s="115"/>
      <c r="F628" s="118"/>
      <c r="G628" s="115"/>
      <c r="H628" s="115"/>
      <c r="I628" s="115"/>
      <c r="J628" s="117"/>
      <c r="K628" s="115"/>
      <c r="L628" s="115"/>
      <c r="M628" s="115"/>
      <c r="N628" s="115"/>
      <c r="O628" s="118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 spans="1:26" ht="15.75" customHeight="1" x14ac:dyDescent="0.2">
      <c r="A629" s="117"/>
      <c r="B629" s="115"/>
      <c r="C629" s="115"/>
      <c r="D629" s="115"/>
      <c r="E629" s="115"/>
      <c r="F629" s="118"/>
      <c r="G629" s="115"/>
      <c r="H629" s="115"/>
      <c r="I629" s="115"/>
      <c r="J629" s="117"/>
      <c r="K629" s="115"/>
      <c r="L629" s="115"/>
      <c r="M629" s="115"/>
      <c r="N629" s="115"/>
      <c r="O629" s="118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 spans="1:26" ht="15.75" customHeight="1" x14ac:dyDescent="0.2">
      <c r="A630" s="117"/>
      <c r="B630" s="115"/>
      <c r="C630" s="115"/>
      <c r="D630" s="115"/>
      <c r="E630" s="115"/>
      <c r="F630" s="118"/>
      <c r="G630" s="115"/>
      <c r="H630" s="115"/>
      <c r="I630" s="115"/>
      <c r="J630" s="117"/>
      <c r="K630" s="115"/>
      <c r="L630" s="115"/>
      <c r="M630" s="115"/>
      <c r="N630" s="115"/>
      <c r="O630" s="118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 spans="1:26" ht="15.75" customHeight="1" x14ac:dyDescent="0.2">
      <c r="A631" s="117"/>
      <c r="B631" s="115"/>
      <c r="C631" s="115"/>
      <c r="D631" s="115"/>
      <c r="E631" s="115"/>
      <c r="F631" s="118"/>
      <c r="G631" s="115"/>
      <c r="H631" s="115"/>
      <c r="I631" s="115"/>
      <c r="J631" s="117"/>
      <c r="K631" s="115"/>
      <c r="L631" s="115"/>
      <c r="M631" s="115"/>
      <c r="N631" s="115"/>
      <c r="O631" s="118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 spans="1:26" ht="15.75" customHeight="1" x14ac:dyDescent="0.2">
      <c r="A632" s="117"/>
      <c r="B632" s="115"/>
      <c r="C632" s="115"/>
      <c r="D632" s="115"/>
      <c r="E632" s="115"/>
      <c r="F632" s="118"/>
      <c r="G632" s="115"/>
      <c r="H632" s="115"/>
      <c r="I632" s="115"/>
      <c r="J632" s="117"/>
      <c r="K632" s="115"/>
      <c r="L632" s="115"/>
      <c r="M632" s="115"/>
      <c r="N632" s="115"/>
      <c r="O632" s="118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 spans="1:26" ht="15.75" customHeight="1" x14ac:dyDescent="0.2">
      <c r="A633" s="117"/>
      <c r="B633" s="115"/>
      <c r="C633" s="115"/>
      <c r="D633" s="115"/>
      <c r="E633" s="115"/>
      <c r="F633" s="118"/>
      <c r="G633" s="115"/>
      <c r="H633" s="115"/>
      <c r="I633" s="115"/>
      <c r="J633" s="117"/>
      <c r="K633" s="115"/>
      <c r="L633" s="115"/>
      <c r="M633" s="115"/>
      <c r="N633" s="115"/>
      <c r="O633" s="118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 spans="1:26" ht="15.75" customHeight="1" x14ac:dyDescent="0.2">
      <c r="A634" s="117"/>
      <c r="B634" s="115"/>
      <c r="C634" s="115"/>
      <c r="D634" s="115"/>
      <c r="E634" s="115"/>
      <c r="F634" s="118"/>
      <c r="G634" s="115"/>
      <c r="H634" s="115"/>
      <c r="I634" s="115"/>
      <c r="J634" s="117"/>
      <c r="K634" s="115"/>
      <c r="L634" s="115"/>
      <c r="M634" s="115"/>
      <c r="N634" s="115"/>
      <c r="O634" s="118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 spans="1:26" ht="15.75" customHeight="1" x14ac:dyDescent="0.2">
      <c r="A635" s="117"/>
      <c r="B635" s="115"/>
      <c r="C635" s="115"/>
      <c r="D635" s="115"/>
      <c r="E635" s="115"/>
      <c r="F635" s="118"/>
      <c r="G635" s="115"/>
      <c r="H635" s="115"/>
      <c r="I635" s="115"/>
      <c r="J635" s="117"/>
      <c r="K635" s="115"/>
      <c r="L635" s="115"/>
      <c r="M635" s="115"/>
      <c r="N635" s="115"/>
      <c r="O635" s="118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 spans="1:26" ht="15.75" customHeight="1" x14ac:dyDescent="0.2">
      <c r="A636" s="117"/>
      <c r="B636" s="115"/>
      <c r="C636" s="115"/>
      <c r="D636" s="115"/>
      <c r="E636" s="115"/>
      <c r="F636" s="118"/>
      <c r="G636" s="115"/>
      <c r="H636" s="115"/>
      <c r="I636" s="115"/>
      <c r="J636" s="117"/>
      <c r="K636" s="115"/>
      <c r="L636" s="115"/>
      <c r="M636" s="115"/>
      <c r="N636" s="115"/>
      <c r="O636" s="118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 spans="1:26" ht="15.75" customHeight="1" x14ac:dyDescent="0.2">
      <c r="A637" s="117"/>
      <c r="B637" s="115"/>
      <c r="C637" s="115"/>
      <c r="D637" s="115"/>
      <c r="E637" s="115"/>
      <c r="F637" s="118"/>
      <c r="G637" s="115"/>
      <c r="H637" s="115"/>
      <c r="I637" s="115"/>
      <c r="J637" s="117"/>
      <c r="K637" s="115"/>
      <c r="L637" s="115"/>
      <c r="M637" s="115"/>
      <c r="N637" s="115"/>
      <c r="O637" s="118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 spans="1:26" ht="15.75" customHeight="1" x14ac:dyDescent="0.2">
      <c r="A638" s="117"/>
      <c r="B638" s="115"/>
      <c r="C638" s="115"/>
      <c r="D638" s="115"/>
      <c r="E638" s="115"/>
      <c r="F638" s="118"/>
      <c r="G638" s="115"/>
      <c r="H638" s="115"/>
      <c r="I638" s="115"/>
      <c r="J638" s="117"/>
      <c r="K638" s="115"/>
      <c r="L638" s="115"/>
      <c r="M638" s="115"/>
      <c r="N638" s="115"/>
      <c r="O638" s="118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 spans="1:26" ht="15.75" customHeight="1" x14ac:dyDescent="0.2">
      <c r="A639" s="117"/>
      <c r="B639" s="115"/>
      <c r="C639" s="115"/>
      <c r="D639" s="115"/>
      <c r="E639" s="115"/>
      <c r="F639" s="118"/>
      <c r="G639" s="115"/>
      <c r="H639" s="115"/>
      <c r="I639" s="115"/>
      <c r="J639" s="117"/>
      <c r="K639" s="115"/>
      <c r="L639" s="115"/>
      <c r="M639" s="115"/>
      <c r="N639" s="115"/>
      <c r="O639" s="118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 spans="1:26" ht="15.75" customHeight="1" x14ac:dyDescent="0.2">
      <c r="A640" s="117"/>
      <c r="B640" s="115"/>
      <c r="C640" s="115"/>
      <c r="D640" s="115"/>
      <c r="E640" s="115"/>
      <c r="F640" s="118"/>
      <c r="G640" s="115"/>
      <c r="H640" s="115"/>
      <c r="I640" s="115"/>
      <c r="J640" s="117"/>
      <c r="K640" s="115"/>
      <c r="L640" s="115"/>
      <c r="M640" s="115"/>
      <c r="N640" s="115"/>
      <c r="O640" s="118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 spans="1:26" ht="15.75" customHeight="1" x14ac:dyDescent="0.2">
      <c r="A641" s="117"/>
      <c r="B641" s="115"/>
      <c r="C641" s="115"/>
      <c r="D641" s="115"/>
      <c r="E641" s="115"/>
      <c r="F641" s="118"/>
      <c r="G641" s="115"/>
      <c r="H641" s="115"/>
      <c r="I641" s="115"/>
      <c r="J641" s="117"/>
      <c r="K641" s="115"/>
      <c r="L641" s="115"/>
      <c r="M641" s="115"/>
      <c r="N641" s="115"/>
      <c r="O641" s="118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 spans="1:26" ht="15.75" customHeight="1" x14ac:dyDescent="0.2">
      <c r="A642" s="117"/>
      <c r="B642" s="115"/>
      <c r="C642" s="115"/>
      <c r="D642" s="115"/>
      <c r="E642" s="115"/>
      <c r="F642" s="118"/>
      <c r="G642" s="115"/>
      <c r="H642" s="115"/>
      <c r="I642" s="115"/>
      <c r="J642" s="117"/>
      <c r="K642" s="115"/>
      <c r="L642" s="115"/>
      <c r="M642" s="115"/>
      <c r="N642" s="115"/>
      <c r="O642" s="118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 spans="1:26" ht="15.75" customHeight="1" x14ac:dyDescent="0.2">
      <c r="A643" s="117"/>
      <c r="B643" s="115"/>
      <c r="C643" s="115"/>
      <c r="D643" s="115"/>
      <c r="E643" s="115"/>
      <c r="F643" s="118"/>
      <c r="G643" s="115"/>
      <c r="H643" s="115"/>
      <c r="I643" s="115"/>
      <c r="J643" s="117"/>
      <c r="K643" s="115"/>
      <c r="L643" s="115"/>
      <c r="M643" s="115"/>
      <c r="N643" s="115"/>
      <c r="O643" s="118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 spans="1:26" ht="15.75" customHeight="1" x14ac:dyDescent="0.2">
      <c r="A644" s="117"/>
      <c r="B644" s="115"/>
      <c r="C644" s="115"/>
      <c r="D644" s="115"/>
      <c r="E644" s="115"/>
      <c r="F644" s="118"/>
      <c r="G644" s="115"/>
      <c r="H644" s="115"/>
      <c r="I644" s="115"/>
      <c r="J644" s="117"/>
      <c r="K644" s="115"/>
      <c r="L644" s="115"/>
      <c r="M644" s="115"/>
      <c r="N644" s="115"/>
      <c r="O644" s="118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 spans="1:26" ht="15.75" customHeight="1" x14ac:dyDescent="0.2">
      <c r="A645" s="117"/>
      <c r="B645" s="115"/>
      <c r="C645" s="115"/>
      <c r="D645" s="115"/>
      <c r="E645" s="115"/>
      <c r="F645" s="118"/>
      <c r="G645" s="115"/>
      <c r="H645" s="115"/>
      <c r="I645" s="115"/>
      <c r="J645" s="117"/>
      <c r="K645" s="115"/>
      <c r="L645" s="115"/>
      <c r="M645" s="115"/>
      <c r="N645" s="115"/>
      <c r="O645" s="118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 spans="1:26" ht="15.75" customHeight="1" x14ac:dyDescent="0.2">
      <c r="A646" s="117"/>
      <c r="B646" s="115"/>
      <c r="C646" s="115"/>
      <c r="D646" s="115"/>
      <c r="E646" s="115"/>
      <c r="F646" s="118"/>
      <c r="G646" s="115"/>
      <c r="H646" s="115"/>
      <c r="I646" s="115"/>
      <c r="J646" s="117"/>
      <c r="K646" s="115"/>
      <c r="L646" s="115"/>
      <c r="M646" s="115"/>
      <c r="N646" s="115"/>
      <c r="O646" s="118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 spans="1:26" ht="15.75" customHeight="1" x14ac:dyDescent="0.2">
      <c r="A647" s="117"/>
      <c r="B647" s="115"/>
      <c r="C647" s="115"/>
      <c r="D647" s="115"/>
      <c r="E647" s="115"/>
      <c r="F647" s="118"/>
      <c r="G647" s="115"/>
      <c r="H647" s="115"/>
      <c r="I647" s="115"/>
      <c r="J647" s="117"/>
      <c r="K647" s="115"/>
      <c r="L647" s="115"/>
      <c r="M647" s="115"/>
      <c r="N647" s="115"/>
      <c r="O647" s="118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 spans="1:26" ht="15.75" customHeight="1" x14ac:dyDescent="0.2">
      <c r="A648" s="117"/>
      <c r="B648" s="115"/>
      <c r="C648" s="115"/>
      <c r="D648" s="115"/>
      <c r="E648" s="115"/>
      <c r="F648" s="118"/>
      <c r="G648" s="115"/>
      <c r="H648" s="115"/>
      <c r="I648" s="115"/>
      <c r="J648" s="117"/>
      <c r="K648" s="115"/>
      <c r="L648" s="115"/>
      <c r="M648" s="115"/>
      <c r="N648" s="115"/>
      <c r="O648" s="118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 spans="1:26" ht="15.75" customHeight="1" x14ac:dyDescent="0.2">
      <c r="A649" s="117"/>
      <c r="B649" s="115"/>
      <c r="C649" s="115"/>
      <c r="D649" s="115"/>
      <c r="E649" s="115"/>
      <c r="F649" s="118"/>
      <c r="G649" s="115"/>
      <c r="H649" s="115"/>
      <c r="I649" s="115"/>
      <c r="J649" s="117"/>
      <c r="K649" s="115"/>
      <c r="L649" s="115"/>
      <c r="M649" s="115"/>
      <c r="N649" s="115"/>
      <c r="O649" s="118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 spans="1:26" ht="15.75" customHeight="1" x14ac:dyDescent="0.2">
      <c r="A650" s="117"/>
      <c r="B650" s="115"/>
      <c r="C650" s="115"/>
      <c r="D650" s="115"/>
      <c r="E650" s="115"/>
      <c r="F650" s="118"/>
      <c r="G650" s="115"/>
      <c r="H650" s="115"/>
      <c r="I650" s="115"/>
      <c r="J650" s="117"/>
      <c r="K650" s="115"/>
      <c r="L650" s="115"/>
      <c r="M650" s="115"/>
      <c r="N650" s="115"/>
      <c r="O650" s="118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 spans="1:26" ht="15.75" customHeight="1" x14ac:dyDescent="0.2">
      <c r="A651" s="117"/>
      <c r="B651" s="115"/>
      <c r="C651" s="115"/>
      <c r="D651" s="115"/>
      <c r="E651" s="115"/>
      <c r="F651" s="118"/>
      <c r="G651" s="115"/>
      <c r="H651" s="115"/>
      <c r="I651" s="115"/>
      <c r="J651" s="117"/>
      <c r="K651" s="115"/>
      <c r="L651" s="115"/>
      <c r="M651" s="115"/>
      <c r="N651" s="115"/>
      <c r="O651" s="118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 spans="1:26" ht="15.75" customHeight="1" x14ac:dyDescent="0.2">
      <c r="A652" s="117"/>
      <c r="B652" s="115"/>
      <c r="C652" s="115"/>
      <c r="D652" s="115"/>
      <c r="E652" s="115"/>
      <c r="F652" s="118"/>
      <c r="G652" s="115"/>
      <c r="H652" s="115"/>
      <c r="I652" s="115"/>
      <c r="J652" s="117"/>
      <c r="K652" s="115"/>
      <c r="L652" s="115"/>
      <c r="M652" s="115"/>
      <c r="N652" s="115"/>
      <c r="O652" s="118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 spans="1:26" ht="15.75" customHeight="1" x14ac:dyDescent="0.2">
      <c r="A653" s="117"/>
      <c r="B653" s="115"/>
      <c r="C653" s="115"/>
      <c r="D653" s="115"/>
      <c r="E653" s="115"/>
      <c r="F653" s="118"/>
      <c r="G653" s="115"/>
      <c r="H653" s="115"/>
      <c r="I653" s="115"/>
      <c r="J653" s="117"/>
      <c r="K653" s="115"/>
      <c r="L653" s="115"/>
      <c r="M653" s="115"/>
      <c r="N653" s="115"/>
      <c r="O653" s="118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 spans="1:26" ht="15.75" customHeight="1" x14ac:dyDescent="0.2">
      <c r="A654" s="117"/>
      <c r="B654" s="115"/>
      <c r="C654" s="115"/>
      <c r="D654" s="115"/>
      <c r="E654" s="115"/>
      <c r="F654" s="118"/>
      <c r="G654" s="115"/>
      <c r="H654" s="115"/>
      <c r="I654" s="115"/>
      <c r="J654" s="117"/>
      <c r="K654" s="115"/>
      <c r="L654" s="115"/>
      <c r="M654" s="115"/>
      <c r="N654" s="115"/>
      <c r="O654" s="118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 spans="1:26" ht="15.75" customHeight="1" x14ac:dyDescent="0.2">
      <c r="A655" s="117"/>
      <c r="B655" s="115"/>
      <c r="C655" s="115"/>
      <c r="D655" s="115"/>
      <c r="E655" s="115"/>
      <c r="F655" s="118"/>
      <c r="G655" s="115"/>
      <c r="H655" s="115"/>
      <c r="I655" s="115"/>
      <c r="J655" s="117"/>
      <c r="K655" s="115"/>
      <c r="L655" s="115"/>
      <c r="M655" s="115"/>
      <c r="N655" s="115"/>
      <c r="O655" s="118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 spans="1:26" ht="15.75" customHeight="1" x14ac:dyDescent="0.2">
      <c r="A656" s="117"/>
      <c r="B656" s="115"/>
      <c r="C656" s="115"/>
      <c r="D656" s="115"/>
      <c r="E656" s="115"/>
      <c r="F656" s="118"/>
      <c r="G656" s="115"/>
      <c r="H656" s="115"/>
      <c r="I656" s="115"/>
      <c r="J656" s="117"/>
      <c r="K656" s="115"/>
      <c r="L656" s="115"/>
      <c r="M656" s="115"/>
      <c r="N656" s="115"/>
      <c r="O656" s="118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 spans="1:26" ht="15.75" customHeight="1" x14ac:dyDescent="0.2">
      <c r="A657" s="117"/>
      <c r="B657" s="115"/>
      <c r="C657" s="115"/>
      <c r="D657" s="115"/>
      <c r="E657" s="115"/>
      <c r="F657" s="118"/>
      <c r="G657" s="115"/>
      <c r="H657" s="115"/>
      <c r="I657" s="115"/>
      <c r="J657" s="117"/>
      <c r="K657" s="115"/>
      <c r="L657" s="115"/>
      <c r="M657" s="115"/>
      <c r="N657" s="115"/>
      <c r="O657" s="118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 spans="1:26" ht="15.75" customHeight="1" x14ac:dyDescent="0.2">
      <c r="A658" s="117"/>
      <c r="B658" s="115"/>
      <c r="C658" s="115"/>
      <c r="D658" s="115"/>
      <c r="E658" s="115"/>
      <c r="F658" s="118"/>
      <c r="G658" s="115"/>
      <c r="H658" s="115"/>
      <c r="I658" s="115"/>
      <c r="J658" s="117"/>
      <c r="K658" s="115"/>
      <c r="L658" s="115"/>
      <c r="M658" s="115"/>
      <c r="N658" s="115"/>
      <c r="O658" s="118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 spans="1:26" ht="15.75" customHeight="1" x14ac:dyDescent="0.2">
      <c r="A659" s="117"/>
      <c r="B659" s="115"/>
      <c r="C659" s="115"/>
      <c r="D659" s="115"/>
      <c r="E659" s="115"/>
      <c r="F659" s="118"/>
      <c r="G659" s="115"/>
      <c r="H659" s="115"/>
      <c r="I659" s="115"/>
      <c r="J659" s="117"/>
      <c r="K659" s="115"/>
      <c r="L659" s="115"/>
      <c r="M659" s="115"/>
      <c r="N659" s="115"/>
      <c r="O659" s="118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 spans="1:26" ht="15.75" customHeight="1" x14ac:dyDescent="0.2">
      <c r="A660" s="117"/>
      <c r="B660" s="115"/>
      <c r="C660" s="115"/>
      <c r="D660" s="115"/>
      <c r="E660" s="115"/>
      <c r="F660" s="118"/>
      <c r="G660" s="115"/>
      <c r="H660" s="115"/>
      <c r="I660" s="115"/>
      <c r="J660" s="117"/>
      <c r="K660" s="115"/>
      <c r="L660" s="115"/>
      <c r="M660" s="115"/>
      <c r="N660" s="115"/>
      <c r="O660" s="118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 spans="1:26" ht="15.75" customHeight="1" x14ac:dyDescent="0.2">
      <c r="A661" s="117"/>
      <c r="B661" s="115"/>
      <c r="C661" s="115"/>
      <c r="D661" s="115"/>
      <c r="E661" s="115"/>
      <c r="F661" s="118"/>
      <c r="G661" s="115"/>
      <c r="H661" s="115"/>
      <c r="I661" s="115"/>
      <c r="J661" s="117"/>
      <c r="K661" s="115"/>
      <c r="L661" s="115"/>
      <c r="M661" s="115"/>
      <c r="N661" s="115"/>
      <c r="O661" s="118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 spans="1:26" ht="15.75" customHeight="1" x14ac:dyDescent="0.2">
      <c r="A662" s="117"/>
      <c r="B662" s="115"/>
      <c r="C662" s="115"/>
      <c r="D662" s="115"/>
      <c r="E662" s="115"/>
      <c r="F662" s="118"/>
      <c r="G662" s="115"/>
      <c r="H662" s="115"/>
      <c r="I662" s="115"/>
      <c r="J662" s="117"/>
      <c r="K662" s="115"/>
      <c r="L662" s="115"/>
      <c r="M662" s="115"/>
      <c r="N662" s="115"/>
      <c r="O662" s="118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 spans="1:26" ht="15.75" customHeight="1" x14ac:dyDescent="0.2">
      <c r="A663" s="117"/>
      <c r="B663" s="115"/>
      <c r="C663" s="115"/>
      <c r="D663" s="115"/>
      <c r="E663" s="115"/>
      <c r="F663" s="118"/>
      <c r="G663" s="115"/>
      <c r="H663" s="115"/>
      <c r="I663" s="115"/>
      <c r="J663" s="117"/>
      <c r="K663" s="115"/>
      <c r="L663" s="115"/>
      <c r="M663" s="115"/>
      <c r="N663" s="115"/>
      <c r="O663" s="118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 spans="1:26" ht="15.75" customHeight="1" x14ac:dyDescent="0.2">
      <c r="A664" s="117"/>
      <c r="B664" s="115"/>
      <c r="C664" s="115"/>
      <c r="D664" s="115"/>
      <c r="E664" s="115"/>
      <c r="F664" s="118"/>
      <c r="G664" s="115"/>
      <c r="H664" s="115"/>
      <c r="I664" s="115"/>
      <c r="J664" s="117"/>
      <c r="K664" s="115"/>
      <c r="L664" s="115"/>
      <c r="M664" s="115"/>
      <c r="N664" s="115"/>
      <c r="O664" s="118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 spans="1:26" ht="15.75" customHeight="1" x14ac:dyDescent="0.2">
      <c r="A665" s="117"/>
      <c r="B665" s="115"/>
      <c r="C665" s="115"/>
      <c r="D665" s="115"/>
      <c r="E665" s="115"/>
      <c r="F665" s="118"/>
      <c r="G665" s="115"/>
      <c r="H665" s="115"/>
      <c r="I665" s="115"/>
      <c r="J665" s="117"/>
      <c r="K665" s="115"/>
      <c r="L665" s="115"/>
      <c r="M665" s="115"/>
      <c r="N665" s="115"/>
      <c r="O665" s="118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 spans="1:26" ht="15.75" customHeight="1" x14ac:dyDescent="0.2">
      <c r="A666" s="117"/>
      <c r="B666" s="115"/>
      <c r="C666" s="115"/>
      <c r="D666" s="115"/>
      <c r="E666" s="115"/>
      <c r="F666" s="118"/>
      <c r="G666" s="115"/>
      <c r="H666" s="115"/>
      <c r="I666" s="115"/>
      <c r="J666" s="117"/>
      <c r="K666" s="115"/>
      <c r="L666" s="115"/>
      <c r="M666" s="115"/>
      <c r="N666" s="115"/>
      <c r="O666" s="118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 spans="1:26" ht="15.75" customHeight="1" x14ac:dyDescent="0.2">
      <c r="A667" s="117"/>
      <c r="B667" s="115"/>
      <c r="C667" s="115"/>
      <c r="D667" s="115"/>
      <c r="E667" s="115"/>
      <c r="F667" s="118"/>
      <c r="G667" s="115"/>
      <c r="H667" s="115"/>
      <c r="I667" s="115"/>
      <c r="J667" s="117"/>
      <c r="K667" s="115"/>
      <c r="L667" s="115"/>
      <c r="M667" s="115"/>
      <c r="N667" s="115"/>
      <c r="O667" s="118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 spans="1:26" ht="15.75" customHeight="1" x14ac:dyDescent="0.2">
      <c r="A668" s="117"/>
      <c r="B668" s="115"/>
      <c r="C668" s="115"/>
      <c r="D668" s="115"/>
      <c r="E668" s="115"/>
      <c r="F668" s="118"/>
      <c r="G668" s="115"/>
      <c r="H668" s="115"/>
      <c r="I668" s="115"/>
      <c r="J668" s="117"/>
      <c r="K668" s="115"/>
      <c r="L668" s="115"/>
      <c r="M668" s="115"/>
      <c r="N668" s="115"/>
      <c r="O668" s="118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 spans="1:26" ht="15.75" customHeight="1" x14ac:dyDescent="0.2">
      <c r="A669" s="117"/>
      <c r="B669" s="115"/>
      <c r="C669" s="115"/>
      <c r="D669" s="115"/>
      <c r="E669" s="115"/>
      <c r="F669" s="118"/>
      <c r="G669" s="115"/>
      <c r="H669" s="115"/>
      <c r="I669" s="115"/>
      <c r="J669" s="117"/>
      <c r="K669" s="115"/>
      <c r="L669" s="115"/>
      <c r="M669" s="115"/>
      <c r="N669" s="115"/>
      <c r="O669" s="118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 spans="1:26" ht="15.75" customHeight="1" x14ac:dyDescent="0.2">
      <c r="A670" s="117"/>
      <c r="B670" s="115"/>
      <c r="C670" s="115"/>
      <c r="D670" s="115"/>
      <c r="E670" s="115"/>
      <c r="F670" s="118"/>
      <c r="G670" s="115"/>
      <c r="H670" s="115"/>
      <c r="I670" s="115"/>
      <c r="J670" s="117"/>
      <c r="K670" s="115"/>
      <c r="L670" s="115"/>
      <c r="M670" s="115"/>
      <c r="N670" s="115"/>
      <c r="O670" s="118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 spans="1:26" ht="15.75" customHeight="1" x14ac:dyDescent="0.2">
      <c r="A671" s="117"/>
      <c r="B671" s="115"/>
      <c r="C671" s="115"/>
      <c r="D671" s="115"/>
      <c r="E671" s="115"/>
      <c r="F671" s="118"/>
      <c r="G671" s="115"/>
      <c r="H671" s="115"/>
      <c r="I671" s="115"/>
      <c r="J671" s="117"/>
      <c r="K671" s="115"/>
      <c r="L671" s="115"/>
      <c r="M671" s="115"/>
      <c r="N671" s="115"/>
      <c r="O671" s="118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 spans="1:26" ht="15.75" customHeight="1" x14ac:dyDescent="0.2">
      <c r="A672" s="117"/>
      <c r="B672" s="115"/>
      <c r="C672" s="115"/>
      <c r="D672" s="115"/>
      <c r="E672" s="115"/>
      <c r="F672" s="118"/>
      <c r="G672" s="115"/>
      <c r="H672" s="115"/>
      <c r="I672" s="115"/>
      <c r="J672" s="117"/>
      <c r="K672" s="115"/>
      <c r="L672" s="115"/>
      <c r="M672" s="115"/>
      <c r="N672" s="115"/>
      <c r="O672" s="118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 spans="1:26" ht="15.75" customHeight="1" x14ac:dyDescent="0.2">
      <c r="A673" s="117"/>
      <c r="B673" s="115"/>
      <c r="C673" s="115"/>
      <c r="D673" s="115"/>
      <c r="E673" s="115"/>
      <c r="F673" s="118"/>
      <c r="G673" s="115"/>
      <c r="H673" s="115"/>
      <c r="I673" s="115"/>
      <c r="J673" s="117"/>
      <c r="K673" s="115"/>
      <c r="L673" s="115"/>
      <c r="M673" s="115"/>
      <c r="N673" s="115"/>
      <c r="O673" s="118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 spans="1:26" ht="15.75" customHeight="1" x14ac:dyDescent="0.2">
      <c r="A674" s="117"/>
      <c r="B674" s="115"/>
      <c r="C674" s="115"/>
      <c r="D674" s="115"/>
      <c r="E674" s="115"/>
      <c r="F674" s="118"/>
      <c r="G674" s="115"/>
      <c r="H674" s="115"/>
      <c r="I674" s="115"/>
      <c r="J674" s="117"/>
      <c r="K674" s="115"/>
      <c r="L674" s="115"/>
      <c r="M674" s="115"/>
      <c r="N674" s="115"/>
      <c r="O674" s="118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 spans="1:26" ht="15.75" customHeight="1" x14ac:dyDescent="0.2">
      <c r="A675" s="117"/>
      <c r="B675" s="115"/>
      <c r="C675" s="115"/>
      <c r="D675" s="115"/>
      <c r="E675" s="115"/>
      <c r="F675" s="118"/>
      <c r="G675" s="115"/>
      <c r="H675" s="115"/>
      <c r="I675" s="115"/>
      <c r="J675" s="117"/>
      <c r="K675" s="115"/>
      <c r="L675" s="115"/>
      <c r="M675" s="115"/>
      <c r="N675" s="115"/>
      <c r="O675" s="118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 spans="1:26" ht="15.75" customHeight="1" x14ac:dyDescent="0.2">
      <c r="A676" s="117"/>
      <c r="B676" s="115"/>
      <c r="C676" s="115"/>
      <c r="D676" s="115"/>
      <c r="E676" s="115"/>
      <c r="F676" s="118"/>
      <c r="G676" s="115"/>
      <c r="H676" s="115"/>
      <c r="I676" s="115"/>
      <c r="J676" s="117"/>
      <c r="K676" s="115"/>
      <c r="L676" s="115"/>
      <c r="M676" s="115"/>
      <c r="N676" s="115"/>
      <c r="O676" s="118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 spans="1:26" ht="15.75" customHeight="1" x14ac:dyDescent="0.2">
      <c r="A677" s="117"/>
      <c r="B677" s="115"/>
      <c r="C677" s="115"/>
      <c r="D677" s="115"/>
      <c r="E677" s="115"/>
      <c r="F677" s="118"/>
      <c r="G677" s="115"/>
      <c r="H677" s="115"/>
      <c r="I677" s="115"/>
      <c r="J677" s="117"/>
      <c r="K677" s="115"/>
      <c r="L677" s="115"/>
      <c r="M677" s="115"/>
      <c r="N677" s="115"/>
      <c r="O677" s="118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 spans="1:26" ht="15.75" customHeight="1" x14ac:dyDescent="0.2">
      <c r="A678" s="117"/>
      <c r="B678" s="115"/>
      <c r="C678" s="115"/>
      <c r="D678" s="115"/>
      <c r="E678" s="115"/>
      <c r="F678" s="118"/>
      <c r="G678" s="115"/>
      <c r="H678" s="115"/>
      <c r="I678" s="115"/>
      <c r="J678" s="117"/>
      <c r="K678" s="115"/>
      <c r="L678" s="115"/>
      <c r="M678" s="115"/>
      <c r="N678" s="115"/>
      <c r="O678" s="118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 spans="1:26" ht="15.75" customHeight="1" x14ac:dyDescent="0.2">
      <c r="A679" s="117"/>
      <c r="B679" s="115"/>
      <c r="C679" s="115"/>
      <c r="D679" s="115"/>
      <c r="E679" s="115"/>
      <c r="F679" s="118"/>
      <c r="G679" s="115"/>
      <c r="H679" s="115"/>
      <c r="I679" s="115"/>
      <c r="J679" s="117"/>
      <c r="K679" s="115"/>
      <c r="L679" s="115"/>
      <c r="M679" s="115"/>
      <c r="N679" s="115"/>
      <c r="O679" s="118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 spans="1:26" ht="15.75" customHeight="1" x14ac:dyDescent="0.2">
      <c r="A680" s="117"/>
      <c r="B680" s="115"/>
      <c r="C680" s="115"/>
      <c r="D680" s="115"/>
      <c r="E680" s="115"/>
      <c r="F680" s="118"/>
      <c r="G680" s="115"/>
      <c r="H680" s="115"/>
      <c r="I680" s="115"/>
      <c r="J680" s="117"/>
      <c r="K680" s="115"/>
      <c r="L680" s="115"/>
      <c r="M680" s="115"/>
      <c r="N680" s="115"/>
      <c r="O680" s="118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 spans="1:26" ht="15.75" customHeight="1" x14ac:dyDescent="0.2">
      <c r="A681" s="117"/>
      <c r="B681" s="115"/>
      <c r="C681" s="115"/>
      <c r="D681" s="115"/>
      <c r="E681" s="115"/>
      <c r="F681" s="118"/>
      <c r="G681" s="115"/>
      <c r="H681" s="115"/>
      <c r="I681" s="115"/>
      <c r="J681" s="117"/>
      <c r="K681" s="115"/>
      <c r="L681" s="115"/>
      <c r="M681" s="115"/>
      <c r="N681" s="115"/>
      <c r="O681" s="118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 spans="1:26" ht="15.75" customHeight="1" x14ac:dyDescent="0.2">
      <c r="A682" s="117"/>
      <c r="B682" s="115"/>
      <c r="C682" s="115"/>
      <c r="D682" s="115"/>
      <c r="E682" s="115"/>
      <c r="F682" s="118"/>
      <c r="G682" s="115"/>
      <c r="H682" s="115"/>
      <c r="I682" s="115"/>
      <c r="J682" s="117"/>
      <c r="K682" s="115"/>
      <c r="L682" s="115"/>
      <c r="M682" s="115"/>
      <c r="N682" s="115"/>
      <c r="O682" s="118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 spans="1:26" ht="15.75" customHeight="1" x14ac:dyDescent="0.2">
      <c r="A683" s="117"/>
      <c r="B683" s="115"/>
      <c r="C683" s="115"/>
      <c r="D683" s="115"/>
      <c r="E683" s="115"/>
      <c r="F683" s="118"/>
      <c r="G683" s="115"/>
      <c r="H683" s="115"/>
      <c r="I683" s="115"/>
      <c r="J683" s="117"/>
      <c r="K683" s="115"/>
      <c r="L683" s="115"/>
      <c r="M683" s="115"/>
      <c r="N683" s="115"/>
      <c r="O683" s="118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 spans="1:26" ht="15.75" customHeight="1" x14ac:dyDescent="0.2">
      <c r="A684" s="117"/>
      <c r="B684" s="115"/>
      <c r="C684" s="115"/>
      <c r="D684" s="115"/>
      <c r="E684" s="115"/>
      <c r="F684" s="118"/>
      <c r="G684" s="115"/>
      <c r="H684" s="115"/>
      <c r="I684" s="115"/>
      <c r="J684" s="117"/>
      <c r="K684" s="115"/>
      <c r="L684" s="115"/>
      <c r="M684" s="115"/>
      <c r="N684" s="115"/>
      <c r="O684" s="118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 spans="1:26" ht="15.75" customHeight="1" x14ac:dyDescent="0.2">
      <c r="A685" s="117"/>
      <c r="B685" s="115"/>
      <c r="C685" s="115"/>
      <c r="D685" s="115"/>
      <c r="E685" s="115"/>
      <c r="F685" s="118"/>
      <c r="G685" s="115"/>
      <c r="H685" s="115"/>
      <c r="I685" s="115"/>
      <c r="J685" s="117"/>
      <c r="K685" s="115"/>
      <c r="L685" s="115"/>
      <c r="M685" s="115"/>
      <c r="N685" s="115"/>
      <c r="O685" s="118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 spans="1:26" ht="15.75" customHeight="1" x14ac:dyDescent="0.2">
      <c r="A686" s="117"/>
      <c r="B686" s="115"/>
      <c r="C686" s="115"/>
      <c r="D686" s="115"/>
      <c r="E686" s="115"/>
      <c r="F686" s="118"/>
      <c r="G686" s="115"/>
      <c r="H686" s="115"/>
      <c r="I686" s="115"/>
      <c r="J686" s="117"/>
      <c r="K686" s="115"/>
      <c r="L686" s="115"/>
      <c r="M686" s="115"/>
      <c r="N686" s="115"/>
      <c r="O686" s="118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 spans="1:26" ht="15.75" customHeight="1" x14ac:dyDescent="0.2">
      <c r="A687" s="117"/>
      <c r="B687" s="115"/>
      <c r="C687" s="115"/>
      <c r="D687" s="115"/>
      <c r="E687" s="115"/>
      <c r="F687" s="118"/>
      <c r="G687" s="115"/>
      <c r="H687" s="115"/>
      <c r="I687" s="115"/>
      <c r="J687" s="117"/>
      <c r="K687" s="115"/>
      <c r="L687" s="115"/>
      <c r="M687" s="115"/>
      <c r="N687" s="115"/>
      <c r="O687" s="118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 spans="1:26" ht="15.75" customHeight="1" x14ac:dyDescent="0.2">
      <c r="A688" s="117"/>
      <c r="B688" s="115"/>
      <c r="C688" s="115"/>
      <c r="D688" s="115"/>
      <c r="E688" s="115"/>
      <c r="F688" s="118"/>
      <c r="G688" s="115"/>
      <c r="H688" s="115"/>
      <c r="I688" s="115"/>
      <c r="J688" s="117"/>
      <c r="K688" s="115"/>
      <c r="L688" s="115"/>
      <c r="M688" s="115"/>
      <c r="N688" s="115"/>
      <c r="O688" s="118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 spans="1:26" ht="15.75" customHeight="1" x14ac:dyDescent="0.2">
      <c r="A689" s="117"/>
      <c r="B689" s="115"/>
      <c r="C689" s="115"/>
      <c r="D689" s="115"/>
      <c r="E689" s="115"/>
      <c r="F689" s="118"/>
      <c r="G689" s="115"/>
      <c r="H689" s="115"/>
      <c r="I689" s="115"/>
      <c r="J689" s="117"/>
      <c r="K689" s="115"/>
      <c r="L689" s="115"/>
      <c r="M689" s="115"/>
      <c r="N689" s="115"/>
      <c r="O689" s="118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 spans="1:26" ht="15.75" customHeight="1" x14ac:dyDescent="0.2">
      <c r="A690" s="117"/>
      <c r="B690" s="115"/>
      <c r="C690" s="115"/>
      <c r="D690" s="115"/>
      <c r="E690" s="115"/>
      <c r="F690" s="118"/>
      <c r="G690" s="115"/>
      <c r="H690" s="115"/>
      <c r="I690" s="115"/>
      <c r="J690" s="117"/>
      <c r="K690" s="115"/>
      <c r="L690" s="115"/>
      <c r="M690" s="115"/>
      <c r="N690" s="115"/>
      <c r="O690" s="118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 spans="1:26" ht="15.75" customHeight="1" x14ac:dyDescent="0.2">
      <c r="A691" s="117"/>
      <c r="B691" s="115"/>
      <c r="C691" s="115"/>
      <c r="D691" s="115"/>
      <c r="E691" s="115"/>
      <c r="F691" s="118"/>
      <c r="G691" s="115"/>
      <c r="H691" s="115"/>
      <c r="I691" s="115"/>
      <c r="J691" s="117"/>
      <c r="K691" s="115"/>
      <c r="L691" s="115"/>
      <c r="M691" s="115"/>
      <c r="N691" s="115"/>
      <c r="O691" s="118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 spans="1:26" ht="15.75" customHeight="1" x14ac:dyDescent="0.2">
      <c r="A692" s="117"/>
      <c r="B692" s="115"/>
      <c r="C692" s="115"/>
      <c r="D692" s="115"/>
      <c r="E692" s="115"/>
      <c r="F692" s="118"/>
      <c r="G692" s="115"/>
      <c r="H692" s="115"/>
      <c r="I692" s="115"/>
      <c r="J692" s="117"/>
      <c r="K692" s="115"/>
      <c r="L692" s="115"/>
      <c r="M692" s="115"/>
      <c r="N692" s="115"/>
      <c r="O692" s="118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 spans="1:26" ht="15.75" customHeight="1" x14ac:dyDescent="0.2">
      <c r="A693" s="117"/>
      <c r="B693" s="115"/>
      <c r="C693" s="115"/>
      <c r="D693" s="115"/>
      <c r="E693" s="115"/>
      <c r="F693" s="118"/>
      <c r="G693" s="115"/>
      <c r="H693" s="115"/>
      <c r="I693" s="115"/>
      <c r="J693" s="117"/>
      <c r="K693" s="115"/>
      <c r="L693" s="115"/>
      <c r="M693" s="115"/>
      <c r="N693" s="115"/>
      <c r="O693" s="118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 spans="1:26" ht="15.75" customHeight="1" x14ac:dyDescent="0.2">
      <c r="A694" s="117"/>
      <c r="B694" s="115"/>
      <c r="C694" s="115"/>
      <c r="D694" s="115"/>
      <c r="E694" s="115"/>
      <c r="F694" s="118"/>
      <c r="G694" s="115"/>
      <c r="H694" s="115"/>
      <c r="I694" s="115"/>
      <c r="J694" s="117"/>
      <c r="K694" s="115"/>
      <c r="L694" s="115"/>
      <c r="M694" s="115"/>
      <c r="N694" s="115"/>
      <c r="O694" s="118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 spans="1:26" ht="15.75" customHeight="1" x14ac:dyDescent="0.2">
      <c r="A695" s="117"/>
      <c r="B695" s="115"/>
      <c r="C695" s="115"/>
      <c r="D695" s="115"/>
      <c r="E695" s="115"/>
      <c r="F695" s="118"/>
      <c r="G695" s="115"/>
      <c r="H695" s="115"/>
      <c r="I695" s="115"/>
      <c r="J695" s="117"/>
      <c r="K695" s="115"/>
      <c r="L695" s="115"/>
      <c r="M695" s="115"/>
      <c r="N695" s="115"/>
      <c r="O695" s="118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 spans="1:26" ht="15.75" customHeight="1" x14ac:dyDescent="0.2">
      <c r="A696" s="117"/>
      <c r="B696" s="115"/>
      <c r="C696" s="115"/>
      <c r="D696" s="115"/>
      <c r="E696" s="115"/>
      <c r="F696" s="118"/>
      <c r="G696" s="115"/>
      <c r="H696" s="115"/>
      <c r="I696" s="115"/>
      <c r="J696" s="117"/>
      <c r="K696" s="115"/>
      <c r="L696" s="115"/>
      <c r="M696" s="115"/>
      <c r="N696" s="115"/>
      <c r="O696" s="118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 spans="1:26" ht="15.75" customHeight="1" x14ac:dyDescent="0.2">
      <c r="A697" s="117"/>
      <c r="B697" s="115"/>
      <c r="C697" s="115"/>
      <c r="D697" s="115"/>
      <c r="E697" s="115"/>
      <c r="F697" s="118"/>
      <c r="G697" s="115"/>
      <c r="H697" s="115"/>
      <c r="I697" s="115"/>
      <c r="J697" s="117"/>
      <c r="K697" s="115"/>
      <c r="L697" s="115"/>
      <c r="M697" s="115"/>
      <c r="N697" s="115"/>
      <c r="O697" s="118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 spans="1:26" ht="15.75" customHeight="1" x14ac:dyDescent="0.2">
      <c r="A698" s="117"/>
      <c r="B698" s="115"/>
      <c r="C698" s="115"/>
      <c r="D698" s="115"/>
      <c r="E698" s="115"/>
      <c r="F698" s="118"/>
      <c r="G698" s="115"/>
      <c r="H698" s="115"/>
      <c r="I698" s="115"/>
      <c r="J698" s="117"/>
      <c r="K698" s="115"/>
      <c r="L698" s="115"/>
      <c r="M698" s="115"/>
      <c r="N698" s="115"/>
      <c r="O698" s="118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 spans="1:26" ht="15.75" customHeight="1" x14ac:dyDescent="0.2">
      <c r="A699" s="117"/>
      <c r="B699" s="115"/>
      <c r="C699" s="115"/>
      <c r="D699" s="115"/>
      <c r="E699" s="115"/>
      <c r="F699" s="118"/>
      <c r="G699" s="115"/>
      <c r="H699" s="115"/>
      <c r="I699" s="115"/>
      <c r="J699" s="117"/>
      <c r="K699" s="115"/>
      <c r="L699" s="115"/>
      <c r="M699" s="115"/>
      <c r="N699" s="115"/>
      <c r="O699" s="118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 spans="1:26" ht="15.75" customHeight="1" x14ac:dyDescent="0.2">
      <c r="A700" s="117"/>
      <c r="B700" s="115"/>
      <c r="C700" s="115"/>
      <c r="D700" s="115"/>
      <c r="E700" s="115"/>
      <c r="F700" s="118"/>
      <c r="G700" s="115"/>
      <c r="H700" s="115"/>
      <c r="I700" s="115"/>
      <c r="J700" s="117"/>
      <c r="K700" s="115"/>
      <c r="L700" s="115"/>
      <c r="M700" s="115"/>
      <c r="N700" s="115"/>
      <c r="O700" s="118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 spans="1:26" ht="15.75" customHeight="1" x14ac:dyDescent="0.2">
      <c r="A701" s="117"/>
      <c r="B701" s="115"/>
      <c r="C701" s="115"/>
      <c r="D701" s="115"/>
      <c r="E701" s="115"/>
      <c r="F701" s="118"/>
      <c r="G701" s="115"/>
      <c r="H701" s="115"/>
      <c r="I701" s="115"/>
      <c r="J701" s="117"/>
      <c r="K701" s="115"/>
      <c r="L701" s="115"/>
      <c r="M701" s="115"/>
      <c r="N701" s="115"/>
      <c r="O701" s="118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 spans="1:26" ht="15.75" customHeight="1" x14ac:dyDescent="0.2">
      <c r="A702" s="117"/>
      <c r="B702" s="115"/>
      <c r="C702" s="115"/>
      <c r="D702" s="115"/>
      <c r="E702" s="115"/>
      <c r="F702" s="118"/>
      <c r="G702" s="115"/>
      <c r="H702" s="115"/>
      <c r="I702" s="115"/>
      <c r="J702" s="117"/>
      <c r="K702" s="115"/>
      <c r="L702" s="115"/>
      <c r="M702" s="115"/>
      <c r="N702" s="115"/>
      <c r="O702" s="118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 spans="1:26" ht="15.75" customHeight="1" x14ac:dyDescent="0.2">
      <c r="A703" s="117"/>
      <c r="B703" s="115"/>
      <c r="C703" s="115"/>
      <c r="D703" s="115"/>
      <c r="E703" s="115"/>
      <c r="F703" s="118"/>
      <c r="G703" s="115"/>
      <c r="H703" s="115"/>
      <c r="I703" s="115"/>
      <c r="J703" s="117"/>
      <c r="K703" s="115"/>
      <c r="L703" s="115"/>
      <c r="M703" s="115"/>
      <c r="N703" s="115"/>
      <c r="O703" s="118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 spans="1:26" ht="15.75" customHeight="1" x14ac:dyDescent="0.2">
      <c r="A704" s="117"/>
      <c r="B704" s="115"/>
      <c r="C704" s="115"/>
      <c r="D704" s="115"/>
      <c r="E704" s="115"/>
      <c r="F704" s="118"/>
      <c r="G704" s="115"/>
      <c r="H704" s="115"/>
      <c r="I704" s="115"/>
      <c r="J704" s="117"/>
      <c r="K704" s="115"/>
      <c r="L704" s="115"/>
      <c r="M704" s="115"/>
      <c r="N704" s="115"/>
      <c r="O704" s="118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 spans="1:26" ht="15.75" customHeight="1" x14ac:dyDescent="0.2">
      <c r="A705" s="117"/>
      <c r="B705" s="115"/>
      <c r="C705" s="115"/>
      <c r="D705" s="115"/>
      <c r="E705" s="115"/>
      <c r="F705" s="118"/>
      <c r="G705" s="115"/>
      <c r="H705" s="115"/>
      <c r="I705" s="115"/>
      <c r="J705" s="117"/>
      <c r="K705" s="115"/>
      <c r="L705" s="115"/>
      <c r="M705" s="115"/>
      <c r="N705" s="115"/>
      <c r="O705" s="118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 spans="1:26" ht="15.75" customHeight="1" x14ac:dyDescent="0.2">
      <c r="A706" s="117"/>
      <c r="B706" s="115"/>
      <c r="C706" s="115"/>
      <c r="D706" s="115"/>
      <c r="E706" s="115"/>
      <c r="F706" s="118"/>
      <c r="G706" s="115"/>
      <c r="H706" s="115"/>
      <c r="I706" s="115"/>
      <c r="J706" s="117"/>
      <c r="K706" s="115"/>
      <c r="L706" s="115"/>
      <c r="M706" s="115"/>
      <c r="N706" s="115"/>
      <c r="O706" s="118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 spans="1:26" ht="15.75" customHeight="1" x14ac:dyDescent="0.2">
      <c r="A707" s="117"/>
      <c r="B707" s="115"/>
      <c r="C707" s="115"/>
      <c r="D707" s="115"/>
      <c r="E707" s="115"/>
      <c r="F707" s="118"/>
      <c r="G707" s="115"/>
      <c r="H707" s="115"/>
      <c r="I707" s="115"/>
      <c r="J707" s="117"/>
      <c r="K707" s="115"/>
      <c r="L707" s="115"/>
      <c r="M707" s="115"/>
      <c r="N707" s="115"/>
      <c r="O707" s="118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 spans="1:26" ht="15.75" customHeight="1" x14ac:dyDescent="0.2">
      <c r="A708" s="117"/>
      <c r="B708" s="115"/>
      <c r="C708" s="115"/>
      <c r="D708" s="115"/>
      <c r="E708" s="115"/>
      <c r="F708" s="118"/>
      <c r="G708" s="115"/>
      <c r="H708" s="115"/>
      <c r="I708" s="115"/>
      <c r="J708" s="117"/>
      <c r="K708" s="115"/>
      <c r="L708" s="115"/>
      <c r="M708" s="115"/>
      <c r="N708" s="115"/>
      <c r="O708" s="118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 spans="1:26" ht="15.75" customHeight="1" x14ac:dyDescent="0.2">
      <c r="A709" s="117"/>
      <c r="B709" s="115"/>
      <c r="C709" s="115"/>
      <c r="D709" s="115"/>
      <c r="E709" s="115"/>
      <c r="F709" s="118"/>
      <c r="G709" s="115"/>
      <c r="H709" s="115"/>
      <c r="I709" s="115"/>
      <c r="J709" s="117"/>
      <c r="K709" s="115"/>
      <c r="L709" s="115"/>
      <c r="M709" s="115"/>
      <c r="N709" s="115"/>
      <c r="O709" s="118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 spans="1:26" ht="15.75" customHeight="1" x14ac:dyDescent="0.2">
      <c r="A710" s="117"/>
      <c r="B710" s="115"/>
      <c r="C710" s="115"/>
      <c r="D710" s="115"/>
      <c r="E710" s="115"/>
      <c r="F710" s="118"/>
      <c r="G710" s="115"/>
      <c r="H710" s="115"/>
      <c r="I710" s="115"/>
      <c r="J710" s="117"/>
      <c r="K710" s="115"/>
      <c r="L710" s="115"/>
      <c r="M710" s="115"/>
      <c r="N710" s="115"/>
      <c r="O710" s="118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 spans="1:26" ht="15.75" customHeight="1" x14ac:dyDescent="0.2">
      <c r="A711" s="117"/>
      <c r="B711" s="115"/>
      <c r="C711" s="115"/>
      <c r="D711" s="115"/>
      <c r="E711" s="115"/>
      <c r="F711" s="118"/>
      <c r="G711" s="115"/>
      <c r="H711" s="115"/>
      <c r="I711" s="115"/>
      <c r="J711" s="117"/>
      <c r="K711" s="115"/>
      <c r="L711" s="115"/>
      <c r="M711" s="115"/>
      <c r="N711" s="115"/>
      <c r="O711" s="118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 spans="1:26" ht="15.75" customHeight="1" x14ac:dyDescent="0.2">
      <c r="A712" s="117"/>
      <c r="B712" s="115"/>
      <c r="C712" s="115"/>
      <c r="D712" s="115"/>
      <c r="E712" s="115"/>
      <c r="F712" s="118"/>
      <c r="G712" s="115"/>
      <c r="H712" s="115"/>
      <c r="I712" s="115"/>
      <c r="J712" s="117"/>
      <c r="K712" s="115"/>
      <c r="L712" s="115"/>
      <c r="M712" s="115"/>
      <c r="N712" s="115"/>
      <c r="O712" s="118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 spans="1:26" ht="15.75" customHeight="1" x14ac:dyDescent="0.2">
      <c r="A713" s="117"/>
      <c r="B713" s="115"/>
      <c r="C713" s="115"/>
      <c r="D713" s="115"/>
      <c r="E713" s="115"/>
      <c r="F713" s="118"/>
      <c r="G713" s="115"/>
      <c r="H713" s="115"/>
      <c r="I713" s="115"/>
      <c r="J713" s="117"/>
      <c r="K713" s="115"/>
      <c r="L713" s="115"/>
      <c r="M713" s="115"/>
      <c r="N713" s="115"/>
      <c r="O713" s="118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 spans="1:26" ht="15.75" customHeight="1" x14ac:dyDescent="0.2">
      <c r="A714" s="117"/>
      <c r="B714" s="115"/>
      <c r="C714" s="115"/>
      <c r="D714" s="115"/>
      <c r="E714" s="115"/>
      <c r="F714" s="118"/>
      <c r="G714" s="115"/>
      <c r="H714" s="115"/>
      <c r="I714" s="115"/>
      <c r="J714" s="117"/>
      <c r="K714" s="115"/>
      <c r="L714" s="115"/>
      <c r="M714" s="115"/>
      <c r="N714" s="115"/>
      <c r="O714" s="118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 spans="1:26" ht="15.75" customHeight="1" x14ac:dyDescent="0.2">
      <c r="A715" s="117"/>
      <c r="B715" s="115"/>
      <c r="C715" s="115"/>
      <c r="D715" s="115"/>
      <c r="E715" s="115"/>
      <c r="F715" s="118"/>
      <c r="G715" s="115"/>
      <c r="H715" s="115"/>
      <c r="I715" s="115"/>
      <c r="J715" s="117"/>
      <c r="K715" s="115"/>
      <c r="L715" s="115"/>
      <c r="M715" s="115"/>
      <c r="N715" s="115"/>
      <c r="O715" s="118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 spans="1:26" ht="15.75" customHeight="1" x14ac:dyDescent="0.2">
      <c r="A716" s="117"/>
      <c r="B716" s="115"/>
      <c r="C716" s="115"/>
      <c r="D716" s="115"/>
      <c r="E716" s="115"/>
      <c r="F716" s="118"/>
      <c r="G716" s="115"/>
      <c r="H716" s="115"/>
      <c r="I716" s="115"/>
      <c r="J716" s="117"/>
      <c r="K716" s="115"/>
      <c r="L716" s="115"/>
      <c r="M716" s="115"/>
      <c r="N716" s="115"/>
      <c r="O716" s="118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 spans="1:26" ht="15.75" customHeight="1" x14ac:dyDescent="0.2">
      <c r="A717" s="117"/>
      <c r="B717" s="115"/>
      <c r="C717" s="115"/>
      <c r="D717" s="115"/>
      <c r="E717" s="115"/>
      <c r="F717" s="118"/>
      <c r="G717" s="115"/>
      <c r="H717" s="115"/>
      <c r="I717" s="115"/>
      <c r="J717" s="117"/>
      <c r="K717" s="115"/>
      <c r="L717" s="115"/>
      <c r="M717" s="115"/>
      <c r="N717" s="115"/>
      <c r="O717" s="118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 spans="1:26" ht="15.75" customHeight="1" x14ac:dyDescent="0.2">
      <c r="A718" s="117"/>
      <c r="B718" s="115"/>
      <c r="C718" s="115"/>
      <c r="D718" s="115"/>
      <c r="E718" s="115"/>
      <c r="F718" s="118"/>
      <c r="G718" s="115"/>
      <c r="H718" s="115"/>
      <c r="I718" s="115"/>
      <c r="J718" s="117"/>
      <c r="K718" s="115"/>
      <c r="L718" s="115"/>
      <c r="M718" s="115"/>
      <c r="N718" s="115"/>
      <c r="O718" s="118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 spans="1:26" ht="15.75" customHeight="1" x14ac:dyDescent="0.2">
      <c r="A719" s="117"/>
      <c r="B719" s="115"/>
      <c r="C719" s="115"/>
      <c r="D719" s="115"/>
      <c r="E719" s="115"/>
      <c r="F719" s="118"/>
      <c r="G719" s="115"/>
      <c r="H719" s="115"/>
      <c r="I719" s="115"/>
      <c r="J719" s="117"/>
      <c r="K719" s="115"/>
      <c r="L719" s="115"/>
      <c r="M719" s="115"/>
      <c r="N719" s="115"/>
      <c r="O719" s="118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 spans="1:26" ht="15.75" customHeight="1" x14ac:dyDescent="0.2">
      <c r="A720" s="117"/>
      <c r="B720" s="115"/>
      <c r="C720" s="115"/>
      <c r="D720" s="115"/>
      <c r="E720" s="115"/>
      <c r="F720" s="118"/>
      <c r="G720" s="115"/>
      <c r="H720" s="115"/>
      <c r="I720" s="115"/>
      <c r="J720" s="117"/>
      <c r="K720" s="115"/>
      <c r="L720" s="115"/>
      <c r="M720" s="115"/>
      <c r="N720" s="115"/>
      <c r="O720" s="118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 spans="1:26" ht="15.75" customHeight="1" x14ac:dyDescent="0.2">
      <c r="A721" s="117"/>
      <c r="B721" s="115"/>
      <c r="C721" s="115"/>
      <c r="D721" s="115"/>
      <c r="E721" s="115"/>
      <c r="F721" s="118"/>
      <c r="G721" s="115"/>
      <c r="H721" s="115"/>
      <c r="I721" s="115"/>
      <c r="J721" s="117"/>
      <c r="K721" s="115"/>
      <c r="L721" s="115"/>
      <c r="M721" s="115"/>
      <c r="N721" s="115"/>
      <c r="O721" s="118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 spans="1:26" ht="15.75" customHeight="1" x14ac:dyDescent="0.2">
      <c r="A722" s="117"/>
      <c r="B722" s="115"/>
      <c r="C722" s="115"/>
      <c r="D722" s="115"/>
      <c r="E722" s="115"/>
      <c r="F722" s="118"/>
      <c r="G722" s="115"/>
      <c r="H722" s="115"/>
      <c r="I722" s="115"/>
      <c r="J722" s="117"/>
      <c r="K722" s="115"/>
      <c r="L722" s="115"/>
      <c r="M722" s="115"/>
      <c r="N722" s="115"/>
      <c r="O722" s="118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 spans="1:26" ht="15.75" customHeight="1" x14ac:dyDescent="0.2">
      <c r="A723" s="117"/>
      <c r="B723" s="115"/>
      <c r="C723" s="115"/>
      <c r="D723" s="115"/>
      <c r="E723" s="115"/>
      <c r="F723" s="118"/>
      <c r="G723" s="115"/>
      <c r="H723" s="115"/>
      <c r="I723" s="115"/>
      <c r="J723" s="117"/>
      <c r="K723" s="115"/>
      <c r="L723" s="115"/>
      <c r="M723" s="115"/>
      <c r="N723" s="115"/>
      <c r="O723" s="118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 spans="1:26" ht="15.75" customHeight="1" x14ac:dyDescent="0.2">
      <c r="A724" s="117"/>
      <c r="B724" s="115"/>
      <c r="C724" s="115"/>
      <c r="D724" s="115"/>
      <c r="E724" s="115"/>
      <c r="F724" s="118"/>
      <c r="G724" s="115"/>
      <c r="H724" s="115"/>
      <c r="I724" s="115"/>
      <c r="J724" s="117"/>
      <c r="K724" s="115"/>
      <c r="L724" s="115"/>
      <c r="M724" s="115"/>
      <c r="N724" s="115"/>
      <c r="O724" s="118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 spans="1:26" ht="15.75" customHeight="1" x14ac:dyDescent="0.2">
      <c r="A725" s="117"/>
      <c r="B725" s="115"/>
      <c r="C725" s="115"/>
      <c r="D725" s="115"/>
      <c r="E725" s="115"/>
      <c r="F725" s="118"/>
      <c r="G725" s="115"/>
      <c r="H725" s="115"/>
      <c r="I725" s="115"/>
      <c r="J725" s="117"/>
      <c r="K725" s="115"/>
      <c r="L725" s="115"/>
      <c r="M725" s="115"/>
      <c r="N725" s="115"/>
      <c r="O725" s="118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 spans="1:26" ht="15.75" customHeight="1" x14ac:dyDescent="0.2">
      <c r="A726" s="117"/>
      <c r="B726" s="115"/>
      <c r="C726" s="115"/>
      <c r="D726" s="115"/>
      <c r="E726" s="115"/>
      <c r="F726" s="118"/>
      <c r="G726" s="115"/>
      <c r="H726" s="115"/>
      <c r="I726" s="115"/>
      <c r="J726" s="117"/>
      <c r="K726" s="115"/>
      <c r="L726" s="115"/>
      <c r="M726" s="115"/>
      <c r="N726" s="115"/>
      <c r="O726" s="118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 spans="1:26" ht="15.75" customHeight="1" x14ac:dyDescent="0.2">
      <c r="A727" s="117"/>
      <c r="B727" s="115"/>
      <c r="C727" s="115"/>
      <c r="D727" s="115"/>
      <c r="E727" s="115"/>
      <c r="F727" s="118"/>
      <c r="G727" s="115"/>
      <c r="H727" s="115"/>
      <c r="I727" s="115"/>
      <c r="J727" s="117"/>
      <c r="K727" s="115"/>
      <c r="L727" s="115"/>
      <c r="M727" s="115"/>
      <c r="N727" s="115"/>
      <c r="O727" s="118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 spans="1:26" ht="15.75" customHeight="1" x14ac:dyDescent="0.2">
      <c r="A728" s="117"/>
      <c r="B728" s="115"/>
      <c r="C728" s="115"/>
      <c r="D728" s="115"/>
      <c r="E728" s="115"/>
      <c r="F728" s="118"/>
      <c r="G728" s="115"/>
      <c r="H728" s="115"/>
      <c r="I728" s="115"/>
      <c r="J728" s="117"/>
      <c r="K728" s="115"/>
      <c r="L728" s="115"/>
      <c r="M728" s="115"/>
      <c r="N728" s="115"/>
      <c r="O728" s="118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 spans="1:26" ht="15.75" customHeight="1" x14ac:dyDescent="0.2">
      <c r="A729" s="117"/>
      <c r="B729" s="115"/>
      <c r="C729" s="115"/>
      <c r="D729" s="115"/>
      <c r="E729" s="115"/>
      <c r="F729" s="118"/>
      <c r="G729" s="115"/>
      <c r="H729" s="115"/>
      <c r="I729" s="115"/>
      <c r="J729" s="117"/>
      <c r="K729" s="115"/>
      <c r="L729" s="115"/>
      <c r="M729" s="115"/>
      <c r="N729" s="115"/>
      <c r="O729" s="118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 spans="1:26" ht="15.75" customHeight="1" x14ac:dyDescent="0.2">
      <c r="A730" s="117"/>
      <c r="B730" s="115"/>
      <c r="C730" s="115"/>
      <c r="D730" s="115"/>
      <c r="E730" s="115"/>
      <c r="F730" s="118"/>
      <c r="G730" s="115"/>
      <c r="H730" s="115"/>
      <c r="I730" s="115"/>
      <c r="J730" s="117"/>
      <c r="K730" s="115"/>
      <c r="L730" s="115"/>
      <c r="M730" s="115"/>
      <c r="N730" s="115"/>
      <c r="O730" s="118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 spans="1:26" ht="15.75" customHeight="1" x14ac:dyDescent="0.2">
      <c r="A731" s="117"/>
      <c r="B731" s="115"/>
      <c r="C731" s="115"/>
      <c r="D731" s="115"/>
      <c r="E731" s="115"/>
      <c r="F731" s="118"/>
      <c r="G731" s="115"/>
      <c r="H731" s="115"/>
      <c r="I731" s="115"/>
      <c r="J731" s="117"/>
      <c r="K731" s="115"/>
      <c r="L731" s="115"/>
      <c r="M731" s="115"/>
      <c r="N731" s="115"/>
      <c r="O731" s="118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 spans="1:26" ht="15.75" customHeight="1" x14ac:dyDescent="0.2">
      <c r="A732" s="117"/>
      <c r="B732" s="115"/>
      <c r="C732" s="115"/>
      <c r="D732" s="115"/>
      <c r="E732" s="115"/>
      <c r="F732" s="118"/>
      <c r="G732" s="115"/>
      <c r="H732" s="115"/>
      <c r="I732" s="115"/>
      <c r="J732" s="117"/>
      <c r="K732" s="115"/>
      <c r="L732" s="115"/>
      <c r="M732" s="115"/>
      <c r="N732" s="115"/>
      <c r="O732" s="118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 spans="1:26" ht="15.75" customHeight="1" x14ac:dyDescent="0.2">
      <c r="A733" s="117"/>
      <c r="B733" s="115"/>
      <c r="C733" s="115"/>
      <c r="D733" s="115"/>
      <c r="E733" s="115"/>
      <c r="F733" s="118"/>
      <c r="G733" s="115"/>
      <c r="H733" s="115"/>
      <c r="I733" s="115"/>
      <c r="J733" s="117"/>
      <c r="K733" s="115"/>
      <c r="L733" s="115"/>
      <c r="M733" s="115"/>
      <c r="N733" s="115"/>
      <c r="O733" s="118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 spans="1:26" ht="15.75" customHeight="1" x14ac:dyDescent="0.2">
      <c r="A734" s="117"/>
      <c r="B734" s="115"/>
      <c r="C734" s="115"/>
      <c r="D734" s="115"/>
      <c r="E734" s="115"/>
      <c r="F734" s="118"/>
      <c r="G734" s="115"/>
      <c r="H734" s="115"/>
      <c r="I734" s="115"/>
      <c r="J734" s="117"/>
      <c r="K734" s="115"/>
      <c r="L734" s="115"/>
      <c r="M734" s="115"/>
      <c r="N734" s="115"/>
      <c r="O734" s="118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 spans="1:26" ht="15.75" customHeight="1" x14ac:dyDescent="0.2">
      <c r="A735" s="117"/>
      <c r="B735" s="115"/>
      <c r="C735" s="115"/>
      <c r="D735" s="115"/>
      <c r="E735" s="115"/>
      <c r="F735" s="118"/>
      <c r="G735" s="115"/>
      <c r="H735" s="115"/>
      <c r="I735" s="115"/>
      <c r="J735" s="117"/>
      <c r="K735" s="115"/>
      <c r="L735" s="115"/>
      <c r="M735" s="115"/>
      <c r="N735" s="115"/>
      <c r="O735" s="118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 spans="1:26" ht="15.75" customHeight="1" x14ac:dyDescent="0.2">
      <c r="A736" s="117"/>
      <c r="B736" s="115"/>
      <c r="C736" s="115"/>
      <c r="D736" s="115"/>
      <c r="E736" s="115"/>
      <c r="F736" s="118"/>
      <c r="G736" s="115"/>
      <c r="H736" s="115"/>
      <c r="I736" s="115"/>
      <c r="J736" s="117"/>
      <c r="K736" s="115"/>
      <c r="L736" s="115"/>
      <c r="M736" s="115"/>
      <c r="N736" s="115"/>
      <c r="O736" s="118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 spans="1:26" ht="15.75" customHeight="1" x14ac:dyDescent="0.2">
      <c r="A737" s="117"/>
      <c r="B737" s="115"/>
      <c r="C737" s="115"/>
      <c r="D737" s="115"/>
      <c r="E737" s="115"/>
      <c r="F737" s="118"/>
      <c r="G737" s="115"/>
      <c r="H737" s="115"/>
      <c r="I737" s="115"/>
      <c r="J737" s="117"/>
      <c r="K737" s="115"/>
      <c r="L737" s="115"/>
      <c r="M737" s="115"/>
      <c r="N737" s="115"/>
      <c r="O737" s="118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 spans="1:26" ht="15.75" customHeight="1" x14ac:dyDescent="0.2">
      <c r="A738" s="117"/>
      <c r="B738" s="115"/>
      <c r="C738" s="115"/>
      <c r="D738" s="115"/>
      <c r="E738" s="115"/>
      <c r="F738" s="118"/>
      <c r="G738" s="115"/>
      <c r="H738" s="115"/>
      <c r="I738" s="115"/>
      <c r="J738" s="117"/>
      <c r="K738" s="115"/>
      <c r="L738" s="115"/>
      <c r="M738" s="115"/>
      <c r="N738" s="115"/>
      <c r="O738" s="118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 spans="1:26" ht="15.75" customHeight="1" x14ac:dyDescent="0.2">
      <c r="A739" s="117"/>
      <c r="B739" s="115"/>
      <c r="C739" s="115"/>
      <c r="D739" s="115"/>
      <c r="E739" s="115"/>
      <c r="F739" s="118"/>
      <c r="G739" s="115"/>
      <c r="H739" s="115"/>
      <c r="I739" s="115"/>
      <c r="J739" s="117"/>
      <c r="K739" s="115"/>
      <c r="L739" s="115"/>
      <c r="M739" s="115"/>
      <c r="N739" s="115"/>
      <c r="O739" s="118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 spans="1:26" ht="15.75" customHeight="1" x14ac:dyDescent="0.2">
      <c r="A740" s="117"/>
      <c r="B740" s="115"/>
      <c r="C740" s="115"/>
      <c r="D740" s="115"/>
      <c r="E740" s="115"/>
      <c r="F740" s="118"/>
      <c r="G740" s="115"/>
      <c r="H740" s="115"/>
      <c r="I740" s="115"/>
      <c r="J740" s="117"/>
      <c r="K740" s="115"/>
      <c r="L740" s="115"/>
      <c r="M740" s="115"/>
      <c r="N740" s="115"/>
      <c r="O740" s="118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 spans="1:26" ht="15.75" customHeight="1" x14ac:dyDescent="0.2">
      <c r="A741" s="117"/>
      <c r="B741" s="115"/>
      <c r="C741" s="115"/>
      <c r="D741" s="115"/>
      <c r="E741" s="115"/>
      <c r="F741" s="118"/>
      <c r="G741" s="115"/>
      <c r="H741" s="115"/>
      <c r="I741" s="115"/>
      <c r="J741" s="117"/>
      <c r="K741" s="115"/>
      <c r="L741" s="115"/>
      <c r="M741" s="115"/>
      <c r="N741" s="115"/>
      <c r="O741" s="118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 spans="1:26" ht="15.75" customHeight="1" x14ac:dyDescent="0.2">
      <c r="A742" s="117"/>
      <c r="B742" s="115"/>
      <c r="C742" s="115"/>
      <c r="D742" s="115"/>
      <c r="E742" s="115"/>
      <c r="F742" s="118"/>
      <c r="G742" s="115"/>
      <c r="H742" s="115"/>
      <c r="I742" s="115"/>
      <c r="J742" s="117"/>
      <c r="K742" s="115"/>
      <c r="L742" s="115"/>
      <c r="M742" s="115"/>
      <c r="N742" s="115"/>
      <c r="O742" s="118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 spans="1:26" ht="15.75" customHeight="1" x14ac:dyDescent="0.2">
      <c r="A743" s="117"/>
      <c r="B743" s="115"/>
      <c r="C743" s="115"/>
      <c r="D743" s="115"/>
      <c r="E743" s="115"/>
      <c r="F743" s="118"/>
      <c r="G743" s="115"/>
      <c r="H743" s="115"/>
      <c r="I743" s="115"/>
      <c r="J743" s="117"/>
      <c r="K743" s="115"/>
      <c r="L743" s="115"/>
      <c r="M743" s="115"/>
      <c r="N743" s="115"/>
      <c r="O743" s="118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 spans="1:26" ht="15.75" customHeight="1" x14ac:dyDescent="0.2">
      <c r="A744" s="117"/>
      <c r="B744" s="115"/>
      <c r="C744" s="115"/>
      <c r="D744" s="115"/>
      <c r="E744" s="115"/>
      <c r="F744" s="118"/>
      <c r="G744" s="115"/>
      <c r="H744" s="115"/>
      <c r="I744" s="115"/>
      <c r="J744" s="117"/>
      <c r="K744" s="115"/>
      <c r="L744" s="115"/>
      <c r="M744" s="115"/>
      <c r="N744" s="115"/>
      <c r="O744" s="118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 spans="1:26" ht="15.75" customHeight="1" x14ac:dyDescent="0.2">
      <c r="A745" s="117"/>
      <c r="B745" s="115"/>
      <c r="C745" s="115"/>
      <c r="D745" s="115"/>
      <c r="E745" s="115"/>
      <c r="F745" s="118"/>
      <c r="G745" s="115"/>
      <c r="H745" s="115"/>
      <c r="I745" s="115"/>
      <c r="J745" s="117"/>
      <c r="K745" s="115"/>
      <c r="L745" s="115"/>
      <c r="M745" s="115"/>
      <c r="N745" s="115"/>
      <c r="O745" s="118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 spans="1:26" ht="15.75" customHeight="1" x14ac:dyDescent="0.2">
      <c r="A746" s="117"/>
      <c r="B746" s="115"/>
      <c r="C746" s="115"/>
      <c r="D746" s="115"/>
      <c r="E746" s="115"/>
      <c r="F746" s="118"/>
      <c r="G746" s="115"/>
      <c r="H746" s="115"/>
      <c r="I746" s="115"/>
      <c r="J746" s="117"/>
      <c r="K746" s="115"/>
      <c r="L746" s="115"/>
      <c r="M746" s="115"/>
      <c r="N746" s="115"/>
      <c r="O746" s="118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 spans="1:26" ht="15.75" customHeight="1" x14ac:dyDescent="0.2">
      <c r="A747" s="117"/>
      <c r="B747" s="115"/>
      <c r="C747" s="115"/>
      <c r="D747" s="115"/>
      <c r="E747" s="115"/>
      <c r="F747" s="118"/>
      <c r="G747" s="115"/>
      <c r="H747" s="115"/>
      <c r="I747" s="115"/>
      <c r="J747" s="117"/>
      <c r="K747" s="115"/>
      <c r="L747" s="115"/>
      <c r="M747" s="115"/>
      <c r="N747" s="115"/>
      <c r="O747" s="118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 spans="1:26" ht="15.75" customHeight="1" x14ac:dyDescent="0.2">
      <c r="A748" s="117"/>
      <c r="B748" s="115"/>
      <c r="C748" s="115"/>
      <c r="D748" s="115"/>
      <c r="E748" s="115"/>
      <c r="F748" s="118"/>
      <c r="G748" s="115"/>
      <c r="H748" s="115"/>
      <c r="I748" s="115"/>
      <c r="J748" s="117"/>
      <c r="K748" s="115"/>
      <c r="L748" s="115"/>
      <c r="M748" s="115"/>
      <c r="N748" s="115"/>
      <c r="O748" s="118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 spans="1:26" ht="15.75" customHeight="1" x14ac:dyDescent="0.2">
      <c r="A749" s="117"/>
      <c r="B749" s="115"/>
      <c r="C749" s="115"/>
      <c r="D749" s="115"/>
      <c r="E749" s="115"/>
      <c r="F749" s="118"/>
      <c r="G749" s="115"/>
      <c r="H749" s="115"/>
      <c r="I749" s="115"/>
      <c r="J749" s="117"/>
      <c r="K749" s="115"/>
      <c r="L749" s="115"/>
      <c r="M749" s="115"/>
      <c r="N749" s="115"/>
      <c r="O749" s="118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 spans="1:26" ht="15.75" customHeight="1" x14ac:dyDescent="0.2">
      <c r="A750" s="117"/>
      <c r="B750" s="115"/>
      <c r="C750" s="115"/>
      <c r="D750" s="115"/>
      <c r="E750" s="115"/>
      <c r="F750" s="118"/>
      <c r="G750" s="115"/>
      <c r="H750" s="115"/>
      <c r="I750" s="115"/>
      <c r="J750" s="117"/>
      <c r="K750" s="115"/>
      <c r="L750" s="115"/>
      <c r="M750" s="115"/>
      <c r="N750" s="115"/>
      <c r="O750" s="118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 spans="1:26" ht="15.75" customHeight="1" x14ac:dyDescent="0.2">
      <c r="A751" s="117"/>
      <c r="B751" s="115"/>
      <c r="C751" s="115"/>
      <c r="D751" s="115"/>
      <c r="E751" s="115"/>
      <c r="F751" s="118"/>
      <c r="G751" s="115"/>
      <c r="H751" s="115"/>
      <c r="I751" s="115"/>
      <c r="J751" s="117"/>
      <c r="K751" s="115"/>
      <c r="L751" s="115"/>
      <c r="M751" s="115"/>
      <c r="N751" s="115"/>
      <c r="O751" s="118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 spans="1:26" ht="15.75" customHeight="1" x14ac:dyDescent="0.2">
      <c r="A752" s="117"/>
      <c r="B752" s="115"/>
      <c r="C752" s="115"/>
      <c r="D752" s="115"/>
      <c r="E752" s="115"/>
      <c r="F752" s="118"/>
      <c r="G752" s="115"/>
      <c r="H752" s="115"/>
      <c r="I752" s="115"/>
      <c r="J752" s="117"/>
      <c r="K752" s="115"/>
      <c r="L752" s="115"/>
      <c r="M752" s="115"/>
      <c r="N752" s="115"/>
      <c r="O752" s="118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 spans="1:26" ht="15.75" customHeight="1" x14ac:dyDescent="0.2">
      <c r="A753" s="117"/>
      <c r="B753" s="115"/>
      <c r="C753" s="115"/>
      <c r="D753" s="115"/>
      <c r="E753" s="115"/>
      <c r="F753" s="118"/>
      <c r="G753" s="115"/>
      <c r="H753" s="115"/>
      <c r="I753" s="115"/>
      <c r="J753" s="117"/>
      <c r="K753" s="115"/>
      <c r="L753" s="115"/>
      <c r="M753" s="115"/>
      <c r="N753" s="115"/>
      <c r="O753" s="118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 spans="1:26" ht="15.75" customHeight="1" x14ac:dyDescent="0.2">
      <c r="A754" s="117"/>
      <c r="B754" s="115"/>
      <c r="C754" s="115"/>
      <c r="D754" s="115"/>
      <c r="E754" s="115"/>
      <c r="F754" s="118"/>
      <c r="G754" s="115"/>
      <c r="H754" s="115"/>
      <c r="I754" s="115"/>
      <c r="J754" s="117"/>
      <c r="K754" s="115"/>
      <c r="L754" s="115"/>
      <c r="M754" s="115"/>
      <c r="N754" s="115"/>
      <c r="O754" s="118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 spans="1:26" ht="15.75" customHeight="1" x14ac:dyDescent="0.2">
      <c r="A755" s="117"/>
      <c r="B755" s="115"/>
      <c r="C755" s="115"/>
      <c r="D755" s="115"/>
      <c r="E755" s="115"/>
      <c r="F755" s="118"/>
      <c r="G755" s="115"/>
      <c r="H755" s="115"/>
      <c r="I755" s="115"/>
      <c r="J755" s="117"/>
      <c r="K755" s="115"/>
      <c r="L755" s="115"/>
      <c r="M755" s="115"/>
      <c r="N755" s="115"/>
      <c r="O755" s="118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 spans="1:26" ht="15.75" customHeight="1" x14ac:dyDescent="0.2">
      <c r="A756" s="117"/>
      <c r="B756" s="115"/>
      <c r="C756" s="115"/>
      <c r="D756" s="115"/>
      <c r="E756" s="115"/>
      <c r="F756" s="118"/>
      <c r="G756" s="115"/>
      <c r="H756" s="115"/>
      <c r="I756" s="115"/>
      <c r="J756" s="117"/>
      <c r="K756" s="115"/>
      <c r="L756" s="115"/>
      <c r="M756" s="115"/>
      <c r="N756" s="115"/>
      <c r="O756" s="118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 spans="1:26" ht="15.75" customHeight="1" x14ac:dyDescent="0.2">
      <c r="A757" s="117"/>
      <c r="B757" s="115"/>
      <c r="C757" s="115"/>
      <c r="D757" s="115"/>
      <c r="E757" s="115"/>
      <c r="F757" s="118"/>
      <c r="G757" s="115"/>
      <c r="H757" s="115"/>
      <c r="I757" s="115"/>
      <c r="J757" s="117"/>
      <c r="K757" s="115"/>
      <c r="L757" s="115"/>
      <c r="M757" s="115"/>
      <c r="N757" s="115"/>
      <c r="O757" s="118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 spans="1:26" ht="15.75" customHeight="1" x14ac:dyDescent="0.2">
      <c r="A758" s="117"/>
      <c r="B758" s="115"/>
      <c r="C758" s="115"/>
      <c r="D758" s="115"/>
      <c r="E758" s="115"/>
      <c r="F758" s="118"/>
      <c r="G758" s="115"/>
      <c r="H758" s="115"/>
      <c r="I758" s="115"/>
      <c r="J758" s="117"/>
      <c r="K758" s="115"/>
      <c r="L758" s="115"/>
      <c r="M758" s="115"/>
      <c r="N758" s="115"/>
      <c r="O758" s="118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 spans="1:26" ht="15.75" customHeight="1" x14ac:dyDescent="0.2">
      <c r="A759" s="117"/>
      <c r="B759" s="115"/>
      <c r="C759" s="115"/>
      <c r="D759" s="115"/>
      <c r="E759" s="115"/>
      <c r="F759" s="118"/>
      <c r="G759" s="115"/>
      <c r="H759" s="115"/>
      <c r="I759" s="115"/>
      <c r="J759" s="117"/>
      <c r="K759" s="115"/>
      <c r="L759" s="115"/>
      <c r="M759" s="115"/>
      <c r="N759" s="115"/>
      <c r="O759" s="118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 spans="1:26" ht="15.75" customHeight="1" x14ac:dyDescent="0.2">
      <c r="A760" s="117"/>
      <c r="B760" s="115"/>
      <c r="C760" s="115"/>
      <c r="D760" s="115"/>
      <c r="E760" s="115"/>
      <c r="F760" s="118"/>
      <c r="G760" s="115"/>
      <c r="H760" s="115"/>
      <c r="I760" s="115"/>
      <c r="J760" s="117"/>
      <c r="K760" s="115"/>
      <c r="L760" s="115"/>
      <c r="M760" s="115"/>
      <c r="N760" s="115"/>
      <c r="O760" s="118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 spans="1:26" ht="15.75" customHeight="1" x14ac:dyDescent="0.2">
      <c r="A761" s="117"/>
      <c r="B761" s="115"/>
      <c r="C761" s="115"/>
      <c r="D761" s="115"/>
      <c r="E761" s="115"/>
      <c r="F761" s="118"/>
      <c r="G761" s="115"/>
      <c r="H761" s="115"/>
      <c r="I761" s="115"/>
      <c r="J761" s="117"/>
      <c r="K761" s="115"/>
      <c r="L761" s="115"/>
      <c r="M761" s="115"/>
      <c r="N761" s="115"/>
      <c r="O761" s="118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 spans="1:26" ht="15.75" customHeight="1" x14ac:dyDescent="0.2">
      <c r="A762" s="117"/>
      <c r="B762" s="115"/>
      <c r="C762" s="115"/>
      <c r="D762" s="115"/>
      <c r="E762" s="115"/>
      <c r="F762" s="118"/>
      <c r="G762" s="115"/>
      <c r="H762" s="115"/>
      <c r="I762" s="115"/>
      <c r="J762" s="117"/>
      <c r="K762" s="115"/>
      <c r="L762" s="115"/>
      <c r="M762" s="115"/>
      <c r="N762" s="115"/>
      <c r="O762" s="118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 spans="1:26" ht="15.75" customHeight="1" x14ac:dyDescent="0.2">
      <c r="A763" s="117"/>
      <c r="B763" s="115"/>
      <c r="C763" s="115"/>
      <c r="D763" s="115"/>
      <c r="E763" s="115"/>
      <c r="F763" s="118"/>
      <c r="G763" s="115"/>
      <c r="H763" s="115"/>
      <c r="I763" s="115"/>
      <c r="J763" s="117"/>
      <c r="K763" s="115"/>
      <c r="L763" s="115"/>
      <c r="M763" s="115"/>
      <c r="N763" s="115"/>
      <c r="O763" s="118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 spans="1:26" ht="15.75" customHeight="1" x14ac:dyDescent="0.2">
      <c r="A764" s="117"/>
      <c r="B764" s="115"/>
      <c r="C764" s="115"/>
      <c r="D764" s="115"/>
      <c r="E764" s="115"/>
      <c r="F764" s="118"/>
      <c r="G764" s="115"/>
      <c r="H764" s="115"/>
      <c r="I764" s="115"/>
      <c r="J764" s="117"/>
      <c r="K764" s="115"/>
      <c r="L764" s="115"/>
      <c r="M764" s="115"/>
      <c r="N764" s="115"/>
      <c r="O764" s="118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 spans="1:26" ht="15.75" customHeight="1" x14ac:dyDescent="0.2">
      <c r="A765" s="117"/>
      <c r="B765" s="115"/>
      <c r="C765" s="115"/>
      <c r="D765" s="115"/>
      <c r="E765" s="115"/>
      <c r="F765" s="118"/>
      <c r="G765" s="115"/>
      <c r="H765" s="115"/>
      <c r="I765" s="115"/>
      <c r="J765" s="117"/>
      <c r="K765" s="115"/>
      <c r="L765" s="115"/>
      <c r="M765" s="115"/>
      <c r="N765" s="115"/>
      <c r="O765" s="118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 spans="1:26" ht="15.75" customHeight="1" x14ac:dyDescent="0.2">
      <c r="A766" s="117"/>
      <c r="B766" s="115"/>
      <c r="C766" s="115"/>
      <c r="D766" s="115"/>
      <c r="E766" s="115"/>
      <c r="F766" s="118"/>
      <c r="G766" s="115"/>
      <c r="H766" s="115"/>
      <c r="I766" s="115"/>
      <c r="J766" s="117"/>
      <c r="K766" s="115"/>
      <c r="L766" s="115"/>
      <c r="M766" s="115"/>
      <c r="N766" s="115"/>
      <c r="O766" s="118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 spans="1:26" ht="15.75" customHeight="1" x14ac:dyDescent="0.2">
      <c r="A767" s="117"/>
      <c r="B767" s="115"/>
      <c r="C767" s="115"/>
      <c r="D767" s="115"/>
      <c r="E767" s="115"/>
      <c r="F767" s="118"/>
      <c r="G767" s="115"/>
      <c r="H767" s="115"/>
      <c r="I767" s="115"/>
      <c r="J767" s="117"/>
      <c r="K767" s="115"/>
      <c r="L767" s="115"/>
      <c r="M767" s="115"/>
      <c r="N767" s="115"/>
      <c r="O767" s="118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 spans="1:26" ht="15.75" customHeight="1" x14ac:dyDescent="0.2">
      <c r="A768" s="117"/>
      <c r="B768" s="115"/>
      <c r="C768" s="115"/>
      <c r="D768" s="115"/>
      <c r="E768" s="115"/>
      <c r="F768" s="118"/>
      <c r="G768" s="115"/>
      <c r="H768" s="115"/>
      <c r="I768" s="115"/>
      <c r="J768" s="117"/>
      <c r="K768" s="115"/>
      <c r="L768" s="115"/>
      <c r="M768" s="115"/>
      <c r="N768" s="115"/>
      <c r="O768" s="118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 spans="1:26" ht="15.75" customHeight="1" x14ac:dyDescent="0.2">
      <c r="A769" s="117"/>
      <c r="B769" s="115"/>
      <c r="C769" s="115"/>
      <c r="D769" s="115"/>
      <c r="E769" s="115"/>
      <c r="F769" s="118"/>
      <c r="G769" s="115"/>
      <c r="H769" s="115"/>
      <c r="I769" s="115"/>
      <c r="J769" s="117"/>
      <c r="K769" s="115"/>
      <c r="L769" s="115"/>
      <c r="M769" s="115"/>
      <c r="N769" s="115"/>
      <c r="O769" s="118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 spans="1:26" ht="15.75" customHeight="1" x14ac:dyDescent="0.2">
      <c r="A770" s="117"/>
      <c r="B770" s="115"/>
      <c r="C770" s="115"/>
      <c r="D770" s="115"/>
      <c r="E770" s="115"/>
      <c r="F770" s="118"/>
      <c r="G770" s="115"/>
      <c r="H770" s="115"/>
      <c r="I770" s="115"/>
      <c r="J770" s="117"/>
      <c r="K770" s="115"/>
      <c r="L770" s="115"/>
      <c r="M770" s="115"/>
      <c r="N770" s="115"/>
      <c r="O770" s="118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 spans="1:26" ht="15.75" customHeight="1" x14ac:dyDescent="0.2">
      <c r="A771" s="117"/>
      <c r="B771" s="115"/>
      <c r="C771" s="115"/>
      <c r="D771" s="115"/>
      <c r="E771" s="115"/>
      <c r="F771" s="118"/>
      <c r="G771" s="115"/>
      <c r="H771" s="115"/>
      <c r="I771" s="115"/>
      <c r="J771" s="117"/>
      <c r="K771" s="115"/>
      <c r="L771" s="115"/>
      <c r="M771" s="115"/>
      <c r="N771" s="115"/>
      <c r="O771" s="118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 spans="1:26" ht="15.75" customHeight="1" x14ac:dyDescent="0.2">
      <c r="A772" s="117"/>
      <c r="B772" s="115"/>
      <c r="C772" s="115"/>
      <c r="D772" s="115"/>
      <c r="E772" s="115"/>
      <c r="F772" s="118"/>
      <c r="G772" s="115"/>
      <c r="H772" s="115"/>
      <c r="I772" s="115"/>
      <c r="J772" s="117"/>
      <c r="K772" s="115"/>
      <c r="L772" s="115"/>
      <c r="M772" s="115"/>
      <c r="N772" s="115"/>
      <c r="O772" s="118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 spans="1:26" ht="15.75" customHeight="1" x14ac:dyDescent="0.2">
      <c r="A773" s="117"/>
      <c r="B773" s="115"/>
      <c r="C773" s="115"/>
      <c r="D773" s="115"/>
      <c r="E773" s="115"/>
      <c r="F773" s="118"/>
      <c r="G773" s="115"/>
      <c r="H773" s="115"/>
      <c r="I773" s="115"/>
      <c r="J773" s="117"/>
      <c r="K773" s="115"/>
      <c r="L773" s="115"/>
      <c r="M773" s="115"/>
      <c r="N773" s="115"/>
      <c r="O773" s="118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 spans="1:26" ht="15.75" customHeight="1" x14ac:dyDescent="0.2">
      <c r="A774" s="117"/>
      <c r="B774" s="115"/>
      <c r="C774" s="115"/>
      <c r="D774" s="115"/>
      <c r="E774" s="115"/>
      <c r="F774" s="118"/>
      <c r="G774" s="115"/>
      <c r="H774" s="115"/>
      <c r="I774" s="115"/>
      <c r="J774" s="117"/>
      <c r="K774" s="115"/>
      <c r="L774" s="115"/>
      <c r="M774" s="115"/>
      <c r="N774" s="115"/>
      <c r="O774" s="118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 spans="1:26" ht="15.75" customHeight="1" x14ac:dyDescent="0.2">
      <c r="A775" s="117"/>
      <c r="B775" s="115"/>
      <c r="C775" s="115"/>
      <c r="D775" s="115"/>
      <c r="E775" s="115"/>
      <c r="F775" s="118"/>
      <c r="G775" s="115"/>
      <c r="H775" s="115"/>
      <c r="I775" s="115"/>
      <c r="J775" s="117"/>
      <c r="K775" s="115"/>
      <c r="L775" s="115"/>
      <c r="M775" s="115"/>
      <c r="N775" s="115"/>
      <c r="O775" s="118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 spans="1:26" ht="15.75" customHeight="1" x14ac:dyDescent="0.2">
      <c r="A776" s="117"/>
      <c r="B776" s="115"/>
      <c r="C776" s="115"/>
      <c r="D776" s="115"/>
      <c r="E776" s="115"/>
      <c r="F776" s="118"/>
      <c r="G776" s="115"/>
      <c r="H776" s="115"/>
      <c r="I776" s="115"/>
      <c r="J776" s="117"/>
      <c r="K776" s="115"/>
      <c r="L776" s="115"/>
      <c r="M776" s="115"/>
      <c r="N776" s="115"/>
      <c r="O776" s="118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 spans="1:26" ht="15.75" customHeight="1" x14ac:dyDescent="0.2">
      <c r="A777" s="117"/>
      <c r="B777" s="115"/>
      <c r="C777" s="115"/>
      <c r="D777" s="115"/>
      <c r="E777" s="115"/>
      <c r="F777" s="118"/>
      <c r="G777" s="115"/>
      <c r="H777" s="115"/>
      <c r="I777" s="115"/>
      <c r="J777" s="117"/>
      <c r="K777" s="115"/>
      <c r="L777" s="115"/>
      <c r="M777" s="115"/>
      <c r="N777" s="115"/>
      <c r="O777" s="118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 spans="1:26" ht="15.75" customHeight="1" x14ac:dyDescent="0.2">
      <c r="A778" s="117"/>
      <c r="B778" s="115"/>
      <c r="C778" s="115"/>
      <c r="D778" s="115"/>
      <c r="E778" s="115"/>
      <c r="F778" s="118"/>
      <c r="G778" s="115"/>
      <c r="H778" s="115"/>
      <c r="I778" s="115"/>
      <c r="J778" s="117"/>
      <c r="K778" s="115"/>
      <c r="L778" s="115"/>
      <c r="M778" s="115"/>
      <c r="N778" s="115"/>
      <c r="O778" s="118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 spans="1:26" ht="15.75" customHeight="1" x14ac:dyDescent="0.2">
      <c r="A779" s="117"/>
      <c r="B779" s="115"/>
      <c r="C779" s="115"/>
      <c r="D779" s="115"/>
      <c r="E779" s="115"/>
      <c r="F779" s="118"/>
      <c r="G779" s="115"/>
      <c r="H779" s="115"/>
      <c r="I779" s="115"/>
      <c r="J779" s="117"/>
      <c r="K779" s="115"/>
      <c r="L779" s="115"/>
      <c r="M779" s="115"/>
      <c r="N779" s="115"/>
      <c r="O779" s="118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 spans="1:26" ht="15.75" customHeight="1" x14ac:dyDescent="0.2">
      <c r="A780" s="117"/>
      <c r="B780" s="115"/>
      <c r="C780" s="115"/>
      <c r="D780" s="115"/>
      <c r="E780" s="115"/>
      <c r="F780" s="118"/>
      <c r="G780" s="115"/>
      <c r="H780" s="115"/>
      <c r="I780" s="115"/>
      <c r="J780" s="117"/>
      <c r="K780" s="115"/>
      <c r="L780" s="115"/>
      <c r="M780" s="115"/>
      <c r="N780" s="115"/>
      <c r="O780" s="118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 spans="1:26" ht="15.75" customHeight="1" x14ac:dyDescent="0.2">
      <c r="A781" s="117"/>
      <c r="B781" s="115"/>
      <c r="C781" s="115"/>
      <c r="D781" s="115"/>
      <c r="E781" s="115"/>
      <c r="F781" s="118"/>
      <c r="G781" s="115"/>
      <c r="H781" s="115"/>
      <c r="I781" s="115"/>
      <c r="J781" s="117"/>
      <c r="K781" s="115"/>
      <c r="L781" s="115"/>
      <c r="M781" s="115"/>
      <c r="N781" s="115"/>
      <c r="O781" s="118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 spans="1:26" ht="15.75" customHeight="1" x14ac:dyDescent="0.2">
      <c r="A782" s="117"/>
      <c r="B782" s="115"/>
      <c r="C782" s="115"/>
      <c r="D782" s="115"/>
      <c r="E782" s="115"/>
      <c r="F782" s="118"/>
      <c r="G782" s="115"/>
      <c r="H782" s="115"/>
      <c r="I782" s="115"/>
      <c r="J782" s="117"/>
      <c r="K782" s="115"/>
      <c r="L782" s="115"/>
      <c r="M782" s="115"/>
      <c r="N782" s="115"/>
      <c r="O782" s="118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 spans="1:26" ht="15.75" customHeight="1" x14ac:dyDescent="0.2">
      <c r="A783" s="117"/>
      <c r="B783" s="115"/>
      <c r="C783" s="115"/>
      <c r="D783" s="115"/>
      <c r="E783" s="115"/>
      <c r="F783" s="118"/>
      <c r="G783" s="115"/>
      <c r="H783" s="115"/>
      <c r="I783" s="115"/>
      <c r="J783" s="117"/>
      <c r="K783" s="115"/>
      <c r="L783" s="115"/>
      <c r="M783" s="115"/>
      <c r="N783" s="115"/>
      <c r="O783" s="118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 spans="1:26" ht="15.75" customHeight="1" x14ac:dyDescent="0.2">
      <c r="A784" s="117"/>
      <c r="B784" s="115"/>
      <c r="C784" s="115"/>
      <c r="D784" s="115"/>
      <c r="E784" s="115"/>
      <c r="F784" s="118"/>
      <c r="G784" s="115"/>
      <c r="H784" s="115"/>
      <c r="I784" s="115"/>
      <c r="J784" s="117"/>
      <c r="K784" s="115"/>
      <c r="L784" s="115"/>
      <c r="M784" s="115"/>
      <c r="N784" s="115"/>
      <c r="O784" s="118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 spans="1:26" ht="15.75" customHeight="1" x14ac:dyDescent="0.2">
      <c r="A785" s="117"/>
      <c r="B785" s="115"/>
      <c r="C785" s="115"/>
      <c r="D785" s="115"/>
      <c r="E785" s="115"/>
      <c r="F785" s="118"/>
      <c r="G785" s="115"/>
      <c r="H785" s="115"/>
      <c r="I785" s="115"/>
      <c r="J785" s="117"/>
      <c r="K785" s="115"/>
      <c r="L785" s="115"/>
      <c r="M785" s="115"/>
      <c r="N785" s="115"/>
      <c r="O785" s="118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 spans="1:26" ht="15.75" customHeight="1" x14ac:dyDescent="0.2">
      <c r="A786" s="117"/>
      <c r="B786" s="115"/>
      <c r="C786" s="115"/>
      <c r="D786" s="115"/>
      <c r="E786" s="115"/>
      <c r="F786" s="118"/>
      <c r="G786" s="115"/>
      <c r="H786" s="115"/>
      <c r="I786" s="115"/>
      <c r="J786" s="117"/>
      <c r="K786" s="115"/>
      <c r="L786" s="115"/>
      <c r="M786" s="115"/>
      <c r="N786" s="115"/>
      <c r="O786" s="118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 spans="1:26" ht="15.75" customHeight="1" x14ac:dyDescent="0.2">
      <c r="A787" s="117"/>
      <c r="B787" s="115"/>
      <c r="C787" s="115"/>
      <c r="D787" s="115"/>
      <c r="E787" s="115"/>
      <c r="F787" s="118"/>
      <c r="G787" s="115"/>
      <c r="H787" s="115"/>
      <c r="I787" s="115"/>
      <c r="J787" s="117"/>
      <c r="K787" s="115"/>
      <c r="L787" s="115"/>
      <c r="M787" s="115"/>
      <c r="N787" s="115"/>
      <c r="O787" s="118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 spans="1:26" ht="15.75" customHeight="1" x14ac:dyDescent="0.2">
      <c r="A788" s="117"/>
      <c r="B788" s="115"/>
      <c r="C788" s="115"/>
      <c r="D788" s="115"/>
      <c r="E788" s="115"/>
      <c r="F788" s="118"/>
      <c r="G788" s="115"/>
      <c r="H788" s="115"/>
      <c r="I788" s="115"/>
      <c r="J788" s="117"/>
      <c r="K788" s="115"/>
      <c r="L788" s="115"/>
      <c r="M788" s="115"/>
      <c r="N788" s="115"/>
      <c r="O788" s="118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 spans="1:26" ht="15.75" customHeight="1" x14ac:dyDescent="0.2">
      <c r="A789" s="117"/>
      <c r="B789" s="115"/>
      <c r="C789" s="115"/>
      <c r="D789" s="115"/>
      <c r="E789" s="115"/>
      <c r="F789" s="118"/>
      <c r="G789" s="115"/>
      <c r="H789" s="115"/>
      <c r="I789" s="115"/>
      <c r="J789" s="117"/>
      <c r="K789" s="115"/>
      <c r="L789" s="115"/>
      <c r="M789" s="115"/>
      <c r="N789" s="115"/>
      <c r="O789" s="118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 spans="1:26" ht="15.75" customHeight="1" x14ac:dyDescent="0.2">
      <c r="A790" s="117"/>
      <c r="B790" s="115"/>
      <c r="C790" s="115"/>
      <c r="D790" s="115"/>
      <c r="E790" s="115"/>
      <c r="F790" s="118"/>
      <c r="G790" s="115"/>
      <c r="H790" s="115"/>
      <c r="I790" s="115"/>
      <c r="J790" s="117"/>
      <c r="K790" s="115"/>
      <c r="L790" s="115"/>
      <c r="M790" s="115"/>
      <c r="N790" s="115"/>
      <c r="O790" s="118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 spans="1:26" ht="15.75" customHeight="1" x14ac:dyDescent="0.2">
      <c r="A791" s="117"/>
      <c r="B791" s="115"/>
      <c r="C791" s="115"/>
      <c r="D791" s="115"/>
      <c r="E791" s="115"/>
      <c r="F791" s="118"/>
      <c r="G791" s="115"/>
      <c r="H791" s="115"/>
      <c r="I791" s="115"/>
      <c r="J791" s="117"/>
      <c r="K791" s="115"/>
      <c r="L791" s="115"/>
      <c r="M791" s="115"/>
      <c r="N791" s="115"/>
      <c r="O791" s="118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 spans="1:26" ht="15.75" customHeight="1" x14ac:dyDescent="0.2">
      <c r="A792" s="117"/>
      <c r="B792" s="115"/>
      <c r="C792" s="115"/>
      <c r="D792" s="115"/>
      <c r="E792" s="115"/>
      <c r="F792" s="118"/>
      <c r="G792" s="115"/>
      <c r="H792" s="115"/>
      <c r="I792" s="115"/>
      <c r="J792" s="117"/>
      <c r="K792" s="115"/>
      <c r="L792" s="115"/>
      <c r="M792" s="115"/>
      <c r="N792" s="115"/>
      <c r="O792" s="118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 spans="1:26" ht="15.75" customHeight="1" x14ac:dyDescent="0.2">
      <c r="A793" s="117"/>
      <c r="B793" s="115"/>
      <c r="C793" s="115"/>
      <c r="D793" s="115"/>
      <c r="E793" s="115"/>
      <c r="F793" s="118"/>
      <c r="G793" s="115"/>
      <c r="H793" s="115"/>
      <c r="I793" s="115"/>
      <c r="J793" s="117"/>
      <c r="K793" s="115"/>
      <c r="L793" s="115"/>
      <c r="M793" s="115"/>
      <c r="N793" s="115"/>
      <c r="O793" s="118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 spans="1:26" ht="15.75" customHeight="1" x14ac:dyDescent="0.2">
      <c r="A794" s="117"/>
      <c r="B794" s="115"/>
      <c r="C794" s="115"/>
      <c r="D794" s="115"/>
      <c r="E794" s="115"/>
      <c r="F794" s="118"/>
      <c r="G794" s="115"/>
      <c r="H794" s="115"/>
      <c r="I794" s="115"/>
      <c r="J794" s="117"/>
      <c r="K794" s="115"/>
      <c r="L794" s="115"/>
      <c r="M794" s="115"/>
      <c r="N794" s="115"/>
      <c r="O794" s="118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 spans="1:26" ht="15.75" customHeight="1" x14ac:dyDescent="0.2">
      <c r="A795" s="117"/>
      <c r="B795" s="115"/>
      <c r="C795" s="115"/>
      <c r="D795" s="115"/>
      <c r="E795" s="115"/>
      <c r="F795" s="118"/>
      <c r="G795" s="115"/>
      <c r="H795" s="115"/>
      <c r="I795" s="115"/>
      <c r="J795" s="117"/>
      <c r="K795" s="115"/>
      <c r="L795" s="115"/>
      <c r="M795" s="115"/>
      <c r="N795" s="115"/>
      <c r="O795" s="118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 spans="1:26" ht="15.75" customHeight="1" x14ac:dyDescent="0.2">
      <c r="A796" s="117"/>
      <c r="B796" s="115"/>
      <c r="C796" s="115"/>
      <c r="D796" s="115"/>
      <c r="E796" s="115"/>
      <c r="F796" s="118"/>
      <c r="G796" s="115"/>
      <c r="H796" s="115"/>
      <c r="I796" s="115"/>
      <c r="J796" s="117"/>
      <c r="K796" s="115"/>
      <c r="L796" s="115"/>
      <c r="M796" s="115"/>
      <c r="N796" s="115"/>
      <c r="O796" s="118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 spans="1:26" ht="15.75" customHeight="1" x14ac:dyDescent="0.2">
      <c r="A797" s="117"/>
      <c r="B797" s="115"/>
      <c r="C797" s="115"/>
      <c r="D797" s="115"/>
      <c r="E797" s="115"/>
      <c r="F797" s="118"/>
      <c r="G797" s="115"/>
      <c r="H797" s="115"/>
      <c r="I797" s="115"/>
      <c r="J797" s="117"/>
      <c r="K797" s="115"/>
      <c r="L797" s="115"/>
      <c r="M797" s="115"/>
      <c r="N797" s="115"/>
      <c r="O797" s="118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 spans="1:26" ht="15.75" customHeight="1" x14ac:dyDescent="0.2">
      <c r="A798" s="117"/>
      <c r="B798" s="115"/>
      <c r="C798" s="115"/>
      <c r="D798" s="115"/>
      <c r="E798" s="115"/>
      <c r="F798" s="118"/>
      <c r="G798" s="115"/>
      <c r="H798" s="115"/>
      <c r="I798" s="115"/>
      <c r="J798" s="117"/>
      <c r="K798" s="115"/>
      <c r="L798" s="115"/>
      <c r="M798" s="115"/>
      <c r="N798" s="115"/>
      <c r="O798" s="118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 spans="1:26" ht="15.75" customHeight="1" x14ac:dyDescent="0.2">
      <c r="A799" s="117"/>
      <c r="B799" s="115"/>
      <c r="C799" s="115"/>
      <c r="D799" s="115"/>
      <c r="E799" s="115"/>
      <c r="F799" s="118"/>
      <c r="G799" s="115"/>
      <c r="H799" s="115"/>
      <c r="I799" s="115"/>
      <c r="J799" s="117"/>
      <c r="K799" s="115"/>
      <c r="L799" s="115"/>
      <c r="M799" s="115"/>
      <c r="N799" s="115"/>
      <c r="O799" s="118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 spans="1:26" ht="15.75" customHeight="1" x14ac:dyDescent="0.2">
      <c r="A800" s="117"/>
      <c r="B800" s="115"/>
      <c r="C800" s="115"/>
      <c r="D800" s="115"/>
      <c r="E800" s="115"/>
      <c r="F800" s="118"/>
      <c r="G800" s="115"/>
      <c r="H800" s="115"/>
      <c r="I800" s="115"/>
      <c r="J800" s="117"/>
      <c r="K800" s="115"/>
      <c r="L800" s="115"/>
      <c r="M800" s="115"/>
      <c r="N800" s="115"/>
      <c r="O800" s="118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 spans="1:26" ht="15.75" customHeight="1" x14ac:dyDescent="0.2">
      <c r="A801" s="117"/>
      <c r="B801" s="115"/>
      <c r="C801" s="115"/>
      <c r="D801" s="115"/>
      <c r="E801" s="115"/>
      <c r="F801" s="118"/>
      <c r="G801" s="115"/>
      <c r="H801" s="115"/>
      <c r="I801" s="115"/>
      <c r="J801" s="117"/>
      <c r="K801" s="115"/>
      <c r="L801" s="115"/>
      <c r="M801" s="115"/>
      <c r="N801" s="115"/>
      <c r="O801" s="118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 spans="1:26" ht="15.75" customHeight="1" x14ac:dyDescent="0.2">
      <c r="A802" s="117"/>
      <c r="B802" s="115"/>
      <c r="C802" s="115"/>
      <c r="D802" s="115"/>
      <c r="E802" s="115"/>
      <c r="F802" s="118"/>
      <c r="G802" s="115"/>
      <c r="H802" s="115"/>
      <c r="I802" s="115"/>
      <c r="J802" s="117"/>
      <c r="K802" s="115"/>
      <c r="L802" s="115"/>
      <c r="M802" s="115"/>
      <c r="N802" s="115"/>
      <c r="O802" s="118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 spans="1:26" ht="15.75" customHeight="1" x14ac:dyDescent="0.2">
      <c r="A803" s="117"/>
      <c r="B803" s="115"/>
      <c r="C803" s="115"/>
      <c r="D803" s="115"/>
      <c r="E803" s="115"/>
      <c r="F803" s="118"/>
      <c r="G803" s="115"/>
      <c r="H803" s="115"/>
      <c r="I803" s="115"/>
      <c r="J803" s="117"/>
      <c r="K803" s="115"/>
      <c r="L803" s="115"/>
      <c r="M803" s="115"/>
      <c r="N803" s="115"/>
      <c r="O803" s="118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 spans="1:26" ht="15.75" customHeight="1" x14ac:dyDescent="0.2">
      <c r="A804" s="117"/>
      <c r="B804" s="115"/>
      <c r="C804" s="115"/>
      <c r="D804" s="115"/>
      <c r="E804" s="115"/>
      <c r="F804" s="118"/>
      <c r="G804" s="115"/>
      <c r="H804" s="115"/>
      <c r="I804" s="115"/>
      <c r="J804" s="117"/>
      <c r="K804" s="115"/>
      <c r="L804" s="115"/>
      <c r="M804" s="115"/>
      <c r="N804" s="115"/>
      <c r="O804" s="118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 spans="1:26" ht="15.75" customHeight="1" x14ac:dyDescent="0.2">
      <c r="A805" s="117"/>
      <c r="B805" s="115"/>
      <c r="C805" s="115"/>
      <c r="D805" s="115"/>
      <c r="E805" s="115"/>
      <c r="F805" s="118"/>
      <c r="G805" s="115"/>
      <c r="H805" s="115"/>
      <c r="I805" s="115"/>
      <c r="J805" s="117"/>
      <c r="K805" s="115"/>
      <c r="L805" s="115"/>
      <c r="M805" s="115"/>
      <c r="N805" s="115"/>
      <c r="O805" s="118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 spans="1:26" ht="15.75" customHeight="1" x14ac:dyDescent="0.2">
      <c r="A806" s="117"/>
      <c r="B806" s="115"/>
      <c r="C806" s="115"/>
      <c r="D806" s="115"/>
      <c r="E806" s="115"/>
      <c r="F806" s="118"/>
      <c r="G806" s="115"/>
      <c r="H806" s="115"/>
      <c r="I806" s="115"/>
      <c r="J806" s="117"/>
      <c r="K806" s="115"/>
      <c r="L806" s="115"/>
      <c r="M806" s="115"/>
      <c r="N806" s="115"/>
      <c r="O806" s="118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 spans="1:26" ht="15.75" customHeight="1" x14ac:dyDescent="0.2">
      <c r="A807" s="117"/>
      <c r="B807" s="115"/>
      <c r="C807" s="115"/>
      <c r="D807" s="115"/>
      <c r="E807" s="115"/>
      <c r="F807" s="118"/>
      <c r="G807" s="115"/>
      <c r="H807" s="115"/>
      <c r="I807" s="115"/>
      <c r="J807" s="117"/>
      <c r="K807" s="115"/>
      <c r="L807" s="115"/>
      <c r="M807" s="115"/>
      <c r="N807" s="115"/>
      <c r="O807" s="118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 spans="1:26" ht="15.75" customHeight="1" x14ac:dyDescent="0.2">
      <c r="A808" s="117"/>
      <c r="B808" s="115"/>
      <c r="C808" s="115"/>
      <c r="D808" s="115"/>
      <c r="E808" s="115"/>
      <c r="F808" s="118"/>
      <c r="G808" s="115"/>
      <c r="H808" s="115"/>
      <c r="I808" s="115"/>
      <c r="J808" s="117"/>
      <c r="K808" s="115"/>
      <c r="L808" s="115"/>
      <c r="M808" s="115"/>
      <c r="N808" s="115"/>
      <c r="O808" s="118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 spans="1:26" ht="15.75" customHeight="1" x14ac:dyDescent="0.2">
      <c r="A809" s="117"/>
      <c r="B809" s="115"/>
      <c r="C809" s="115"/>
      <c r="D809" s="115"/>
      <c r="E809" s="115"/>
      <c r="F809" s="118"/>
      <c r="G809" s="115"/>
      <c r="H809" s="115"/>
      <c r="I809" s="115"/>
      <c r="J809" s="117"/>
      <c r="K809" s="115"/>
      <c r="L809" s="115"/>
      <c r="M809" s="115"/>
      <c r="N809" s="115"/>
      <c r="O809" s="118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 spans="1:26" ht="15.75" customHeight="1" x14ac:dyDescent="0.2">
      <c r="A810" s="117"/>
      <c r="B810" s="115"/>
      <c r="C810" s="115"/>
      <c r="D810" s="115"/>
      <c r="E810" s="115"/>
      <c r="F810" s="118"/>
      <c r="G810" s="115"/>
      <c r="H810" s="115"/>
      <c r="I810" s="115"/>
      <c r="J810" s="117"/>
      <c r="K810" s="115"/>
      <c r="L810" s="115"/>
      <c r="M810" s="115"/>
      <c r="N810" s="115"/>
      <c r="O810" s="118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 spans="1:26" ht="15.75" customHeight="1" x14ac:dyDescent="0.2">
      <c r="A811" s="117"/>
      <c r="B811" s="115"/>
      <c r="C811" s="115"/>
      <c r="D811" s="115"/>
      <c r="E811" s="115"/>
      <c r="F811" s="118"/>
      <c r="G811" s="115"/>
      <c r="H811" s="115"/>
      <c r="I811" s="115"/>
      <c r="J811" s="117"/>
      <c r="K811" s="115"/>
      <c r="L811" s="115"/>
      <c r="M811" s="115"/>
      <c r="N811" s="115"/>
      <c r="O811" s="118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 spans="1:26" ht="15.75" customHeight="1" x14ac:dyDescent="0.2">
      <c r="A812" s="117"/>
      <c r="B812" s="115"/>
      <c r="C812" s="115"/>
      <c r="D812" s="115"/>
      <c r="E812" s="115"/>
      <c r="F812" s="118"/>
      <c r="G812" s="115"/>
      <c r="H812" s="115"/>
      <c r="I812" s="115"/>
      <c r="J812" s="117"/>
      <c r="K812" s="115"/>
      <c r="L812" s="115"/>
      <c r="M812" s="115"/>
      <c r="N812" s="115"/>
      <c r="O812" s="118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 spans="1:26" ht="15.75" customHeight="1" x14ac:dyDescent="0.2">
      <c r="A813" s="117"/>
      <c r="B813" s="115"/>
      <c r="C813" s="115"/>
      <c r="D813" s="115"/>
      <c r="E813" s="115"/>
      <c r="F813" s="118"/>
      <c r="G813" s="115"/>
      <c r="H813" s="115"/>
      <c r="I813" s="115"/>
      <c r="J813" s="117"/>
      <c r="K813" s="115"/>
      <c r="L813" s="115"/>
      <c r="M813" s="115"/>
      <c r="N813" s="115"/>
      <c r="O813" s="118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 spans="1:26" ht="15.75" customHeight="1" x14ac:dyDescent="0.2">
      <c r="A814" s="117"/>
      <c r="B814" s="115"/>
      <c r="C814" s="115"/>
      <c r="D814" s="115"/>
      <c r="E814" s="115"/>
      <c r="F814" s="118"/>
      <c r="G814" s="115"/>
      <c r="H814" s="115"/>
      <c r="I814" s="115"/>
      <c r="J814" s="117"/>
      <c r="K814" s="115"/>
      <c r="L814" s="115"/>
      <c r="M814" s="115"/>
      <c r="N814" s="115"/>
      <c r="O814" s="118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 spans="1:26" ht="15.75" customHeight="1" x14ac:dyDescent="0.2">
      <c r="A815" s="117"/>
      <c r="B815" s="115"/>
      <c r="C815" s="115"/>
      <c r="D815" s="115"/>
      <c r="E815" s="115"/>
      <c r="F815" s="118"/>
      <c r="G815" s="115"/>
      <c r="H815" s="115"/>
      <c r="I815" s="115"/>
      <c r="J815" s="117"/>
      <c r="K815" s="115"/>
      <c r="L815" s="115"/>
      <c r="M815" s="115"/>
      <c r="N815" s="115"/>
      <c r="O815" s="118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 spans="1:26" ht="15.75" customHeight="1" x14ac:dyDescent="0.2">
      <c r="A816" s="117"/>
      <c r="B816" s="115"/>
      <c r="C816" s="115"/>
      <c r="D816" s="115"/>
      <c r="E816" s="115"/>
      <c r="F816" s="118"/>
      <c r="G816" s="115"/>
      <c r="H816" s="115"/>
      <c r="I816" s="115"/>
      <c r="J816" s="117"/>
      <c r="K816" s="115"/>
      <c r="L816" s="115"/>
      <c r="M816" s="115"/>
      <c r="N816" s="115"/>
      <c r="O816" s="118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 spans="1:26" ht="15.75" customHeight="1" x14ac:dyDescent="0.2">
      <c r="A817" s="117"/>
      <c r="B817" s="115"/>
      <c r="C817" s="115"/>
      <c r="D817" s="115"/>
      <c r="E817" s="115"/>
      <c r="F817" s="118"/>
      <c r="G817" s="115"/>
      <c r="H817" s="115"/>
      <c r="I817" s="115"/>
      <c r="J817" s="117"/>
      <c r="K817" s="115"/>
      <c r="L817" s="115"/>
      <c r="M817" s="115"/>
      <c r="N817" s="115"/>
      <c r="O817" s="118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 spans="1:26" ht="15.75" customHeight="1" x14ac:dyDescent="0.2">
      <c r="A818" s="117"/>
      <c r="B818" s="115"/>
      <c r="C818" s="115"/>
      <c r="D818" s="115"/>
      <c r="E818" s="115"/>
      <c r="F818" s="118"/>
      <c r="G818" s="115"/>
      <c r="H818" s="115"/>
      <c r="I818" s="115"/>
      <c r="J818" s="117"/>
      <c r="K818" s="115"/>
      <c r="L818" s="115"/>
      <c r="M818" s="115"/>
      <c r="N818" s="115"/>
      <c r="O818" s="118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 spans="1:26" ht="15.75" customHeight="1" x14ac:dyDescent="0.2">
      <c r="A819" s="117"/>
      <c r="B819" s="115"/>
      <c r="C819" s="115"/>
      <c r="D819" s="115"/>
      <c r="E819" s="115"/>
      <c r="F819" s="118"/>
      <c r="G819" s="115"/>
      <c r="H819" s="115"/>
      <c r="I819" s="115"/>
      <c r="J819" s="117"/>
      <c r="K819" s="115"/>
      <c r="L819" s="115"/>
      <c r="M819" s="115"/>
      <c r="N819" s="115"/>
      <c r="O819" s="118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 spans="1:26" ht="15.75" customHeight="1" x14ac:dyDescent="0.2">
      <c r="A820" s="117"/>
      <c r="B820" s="115"/>
      <c r="C820" s="115"/>
      <c r="D820" s="115"/>
      <c r="E820" s="115"/>
      <c r="F820" s="118"/>
      <c r="G820" s="115"/>
      <c r="H820" s="115"/>
      <c r="I820" s="115"/>
      <c r="J820" s="117"/>
      <c r="K820" s="115"/>
      <c r="L820" s="115"/>
      <c r="M820" s="115"/>
      <c r="N820" s="115"/>
      <c r="O820" s="118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 spans="1:26" ht="15.75" customHeight="1" x14ac:dyDescent="0.2">
      <c r="A821" s="117"/>
      <c r="B821" s="115"/>
      <c r="C821" s="115"/>
      <c r="D821" s="115"/>
      <c r="E821" s="115"/>
      <c r="F821" s="118"/>
      <c r="G821" s="115"/>
      <c r="H821" s="115"/>
      <c r="I821" s="115"/>
      <c r="J821" s="117"/>
      <c r="K821" s="115"/>
      <c r="L821" s="115"/>
      <c r="M821" s="115"/>
      <c r="N821" s="115"/>
      <c r="O821" s="118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 spans="1:26" ht="15.75" customHeight="1" x14ac:dyDescent="0.2">
      <c r="A822" s="117"/>
      <c r="B822" s="115"/>
      <c r="C822" s="115"/>
      <c r="D822" s="115"/>
      <c r="E822" s="115"/>
      <c r="F822" s="118"/>
      <c r="G822" s="115"/>
      <c r="H822" s="115"/>
      <c r="I822" s="115"/>
      <c r="J822" s="117"/>
      <c r="K822" s="115"/>
      <c r="L822" s="115"/>
      <c r="M822" s="115"/>
      <c r="N822" s="115"/>
      <c r="O822" s="118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 spans="1:26" ht="15.75" customHeight="1" x14ac:dyDescent="0.2">
      <c r="A823" s="117"/>
      <c r="B823" s="115"/>
      <c r="C823" s="115"/>
      <c r="D823" s="115"/>
      <c r="E823" s="115"/>
      <c r="F823" s="118"/>
      <c r="G823" s="115"/>
      <c r="H823" s="115"/>
      <c r="I823" s="115"/>
      <c r="J823" s="117"/>
      <c r="K823" s="115"/>
      <c r="L823" s="115"/>
      <c r="M823" s="115"/>
      <c r="N823" s="115"/>
      <c r="O823" s="118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 spans="1:26" ht="15.75" customHeight="1" x14ac:dyDescent="0.2">
      <c r="A824" s="117"/>
      <c r="B824" s="115"/>
      <c r="C824" s="115"/>
      <c r="D824" s="115"/>
      <c r="E824" s="115"/>
      <c r="F824" s="118"/>
      <c r="G824" s="115"/>
      <c r="H824" s="115"/>
      <c r="I824" s="115"/>
      <c r="J824" s="117"/>
      <c r="K824" s="115"/>
      <c r="L824" s="115"/>
      <c r="M824" s="115"/>
      <c r="N824" s="115"/>
      <c r="O824" s="118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 spans="1:26" ht="15.75" customHeight="1" x14ac:dyDescent="0.2">
      <c r="A825" s="117"/>
      <c r="B825" s="115"/>
      <c r="C825" s="115"/>
      <c r="D825" s="115"/>
      <c r="E825" s="115"/>
      <c r="F825" s="118"/>
      <c r="G825" s="115"/>
      <c r="H825" s="115"/>
      <c r="I825" s="115"/>
      <c r="J825" s="117"/>
      <c r="K825" s="115"/>
      <c r="L825" s="115"/>
      <c r="M825" s="115"/>
      <c r="N825" s="115"/>
      <c r="O825" s="118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 spans="1:26" ht="15.75" customHeight="1" x14ac:dyDescent="0.2">
      <c r="A826" s="117"/>
      <c r="B826" s="115"/>
      <c r="C826" s="115"/>
      <c r="D826" s="115"/>
      <c r="E826" s="115"/>
      <c r="F826" s="118"/>
      <c r="G826" s="115"/>
      <c r="H826" s="115"/>
      <c r="I826" s="115"/>
      <c r="J826" s="117"/>
      <c r="K826" s="115"/>
      <c r="L826" s="115"/>
      <c r="M826" s="115"/>
      <c r="N826" s="115"/>
      <c r="O826" s="118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 spans="1:26" ht="15.75" customHeight="1" x14ac:dyDescent="0.2">
      <c r="A827" s="117"/>
      <c r="B827" s="115"/>
      <c r="C827" s="115"/>
      <c r="D827" s="115"/>
      <c r="E827" s="115"/>
      <c r="F827" s="118"/>
      <c r="G827" s="115"/>
      <c r="H827" s="115"/>
      <c r="I827" s="115"/>
      <c r="J827" s="117"/>
      <c r="K827" s="115"/>
      <c r="L827" s="115"/>
      <c r="M827" s="115"/>
      <c r="N827" s="115"/>
      <c r="O827" s="118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 spans="1:26" ht="15.75" customHeight="1" x14ac:dyDescent="0.2">
      <c r="A828" s="117"/>
      <c r="B828" s="115"/>
      <c r="C828" s="115"/>
      <c r="D828" s="115"/>
      <c r="E828" s="115"/>
      <c r="F828" s="118"/>
      <c r="G828" s="115"/>
      <c r="H828" s="115"/>
      <c r="I828" s="115"/>
      <c r="J828" s="117"/>
      <c r="K828" s="115"/>
      <c r="L828" s="115"/>
      <c r="M828" s="115"/>
      <c r="N828" s="115"/>
      <c r="O828" s="118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 spans="1:26" ht="15.75" customHeight="1" x14ac:dyDescent="0.2">
      <c r="A829" s="117"/>
      <c r="B829" s="115"/>
      <c r="C829" s="115"/>
      <c r="D829" s="115"/>
      <c r="E829" s="115"/>
      <c r="F829" s="118"/>
      <c r="G829" s="115"/>
      <c r="H829" s="115"/>
      <c r="I829" s="115"/>
      <c r="J829" s="117"/>
      <c r="K829" s="115"/>
      <c r="L829" s="115"/>
      <c r="M829" s="115"/>
      <c r="N829" s="115"/>
      <c r="O829" s="118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 spans="1:26" ht="15.75" customHeight="1" x14ac:dyDescent="0.2">
      <c r="A830" s="117"/>
      <c r="B830" s="115"/>
      <c r="C830" s="115"/>
      <c r="D830" s="115"/>
      <c r="E830" s="115"/>
      <c r="F830" s="118"/>
      <c r="G830" s="115"/>
      <c r="H830" s="115"/>
      <c r="I830" s="115"/>
      <c r="J830" s="117"/>
      <c r="K830" s="115"/>
      <c r="L830" s="115"/>
      <c r="M830" s="115"/>
      <c r="N830" s="115"/>
      <c r="O830" s="118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 spans="1:26" ht="15.75" customHeight="1" x14ac:dyDescent="0.2">
      <c r="A831" s="117"/>
      <c r="B831" s="115"/>
      <c r="C831" s="115"/>
      <c r="D831" s="115"/>
      <c r="E831" s="115"/>
      <c r="F831" s="118"/>
      <c r="G831" s="115"/>
      <c r="H831" s="115"/>
      <c r="I831" s="115"/>
      <c r="J831" s="117"/>
      <c r="K831" s="115"/>
      <c r="L831" s="115"/>
      <c r="M831" s="115"/>
      <c r="N831" s="115"/>
      <c r="O831" s="118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 spans="1:26" ht="15.75" customHeight="1" x14ac:dyDescent="0.2">
      <c r="A832" s="117"/>
      <c r="B832" s="115"/>
      <c r="C832" s="115"/>
      <c r="D832" s="115"/>
      <c r="E832" s="115"/>
      <c r="F832" s="118"/>
      <c r="G832" s="115"/>
      <c r="H832" s="115"/>
      <c r="I832" s="115"/>
      <c r="J832" s="117"/>
      <c r="K832" s="115"/>
      <c r="L832" s="115"/>
      <c r="M832" s="115"/>
      <c r="N832" s="115"/>
      <c r="O832" s="118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 spans="1:26" ht="15.75" customHeight="1" x14ac:dyDescent="0.2">
      <c r="A833" s="117"/>
      <c r="B833" s="115"/>
      <c r="C833" s="115"/>
      <c r="D833" s="115"/>
      <c r="E833" s="115"/>
      <c r="F833" s="118"/>
      <c r="G833" s="115"/>
      <c r="H833" s="115"/>
      <c r="I833" s="115"/>
      <c r="J833" s="117"/>
      <c r="K833" s="115"/>
      <c r="L833" s="115"/>
      <c r="M833" s="115"/>
      <c r="N833" s="115"/>
      <c r="O833" s="118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 spans="1:26" ht="15.75" customHeight="1" x14ac:dyDescent="0.2">
      <c r="A834" s="117"/>
      <c r="B834" s="115"/>
      <c r="C834" s="115"/>
      <c r="D834" s="115"/>
      <c r="E834" s="115"/>
      <c r="F834" s="118"/>
      <c r="G834" s="115"/>
      <c r="H834" s="115"/>
      <c r="I834" s="115"/>
      <c r="J834" s="117"/>
      <c r="K834" s="115"/>
      <c r="L834" s="115"/>
      <c r="M834" s="115"/>
      <c r="N834" s="115"/>
      <c r="O834" s="118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 spans="1:26" ht="15.75" customHeight="1" x14ac:dyDescent="0.2">
      <c r="A835" s="117"/>
      <c r="B835" s="115"/>
      <c r="C835" s="115"/>
      <c r="D835" s="115"/>
      <c r="E835" s="115"/>
      <c r="F835" s="118"/>
      <c r="G835" s="115"/>
      <c r="H835" s="115"/>
      <c r="I835" s="115"/>
      <c r="J835" s="117"/>
      <c r="K835" s="115"/>
      <c r="L835" s="115"/>
      <c r="M835" s="115"/>
      <c r="N835" s="115"/>
      <c r="O835" s="118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 spans="1:26" ht="15.75" customHeight="1" x14ac:dyDescent="0.2">
      <c r="A836" s="117"/>
      <c r="B836" s="115"/>
      <c r="C836" s="115"/>
      <c r="D836" s="115"/>
      <c r="E836" s="115"/>
      <c r="F836" s="118"/>
      <c r="G836" s="115"/>
      <c r="H836" s="115"/>
      <c r="I836" s="115"/>
      <c r="J836" s="117"/>
      <c r="K836" s="115"/>
      <c r="L836" s="115"/>
      <c r="M836" s="115"/>
      <c r="N836" s="115"/>
      <c r="O836" s="118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 spans="1:26" ht="15.75" customHeight="1" x14ac:dyDescent="0.2">
      <c r="A837" s="117"/>
      <c r="B837" s="115"/>
      <c r="C837" s="115"/>
      <c r="D837" s="115"/>
      <c r="E837" s="115"/>
      <c r="F837" s="118"/>
      <c r="G837" s="115"/>
      <c r="H837" s="115"/>
      <c r="I837" s="115"/>
      <c r="J837" s="117"/>
      <c r="K837" s="115"/>
      <c r="L837" s="115"/>
      <c r="M837" s="115"/>
      <c r="N837" s="115"/>
      <c r="O837" s="118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 spans="1:26" ht="15.75" customHeight="1" x14ac:dyDescent="0.2">
      <c r="A838" s="117"/>
      <c r="B838" s="115"/>
      <c r="C838" s="115"/>
      <c r="D838" s="115"/>
      <c r="E838" s="115"/>
      <c r="F838" s="118"/>
      <c r="G838" s="115"/>
      <c r="H838" s="115"/>
      <c r="I838" s="115"/>
      <c r="J838" s="117"/>
      <c r="K838" s="115"/>
      <c r="L838" s="115"/>
      <c r="M838" s="115"/>
      <c r="N838" s="115"/>
      <c r="O838" s="118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 spans="1:26" ht="15.75" customHeight="1" x14ac:dyDescent="0.2">
      <c r="A839" s="117"/>
      <c r="B839" s="115"/>
      <c r="C839" s="115"/>
      <c r="D839" s="115"/>
      <c r="E839" s="115"/>
      <c r="F839" s="118"/>
      <c r="G839" s="115"/>
      <c r="H839" s="115"/>
      <c r="I839" s="115"/>
      <c r="J839" s="117"/>
      <c r="K839" s="115"/>
      <c r="L839" s="115"/>
      <c r="M839" s="115"/>
      <c r="N839" s="115"/>
      <c r="O839" s="118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 spans="1:26" ht="15.75" customHeight="1" x14ac:dyDescent="0.2">
      <c r="A840" s="117"/>
      <c r="B840" s="115"/>
      <c r="C840" s="115"/>
      <c r="D840" s="115"/>
      <c r="E840" s="115"/>
      <c r="F840" s="118"/>
      <c r="G840" s="115"/>
      <c r="H840" s="115"/>
      <c r="I840" s="115"/>
      <c r="J840" s="117"/>
      <c r="K840" s="115"/>
      <c r="L840" s="115"/>
      <c r="M840" s="115"/>
      <c r="N840" s="115"/>
      <c r="O840" s="118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 spans="1:26" ht="15.75" customHeight="1" x14ac:dyDescent="0.2">
      <c r="A841" s="117"/>
      <c r="B841" s="115"/>
      <c r="C841" s="115"/>
      <c r="D841" s="115"/>
      <c r="E841" s="115"/>
      <c r="F841" s="118"/>
      <c r="G841" s="115"/>
      <c r="H841" s="115"/>
      <c r="I841" s="115"/>
      <c r="J841" s="117"/>
      <c r="K841" s="115"/>
      <c r="L841" s="115"/>
      <c r="M841" s="115"/>
      <c r="N841" s="115"/>
      <c r="O841" s="118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 spans="1:26" ht="15.75" customHeight="1" x14ac:dyDescent="0.2">
      <c r="A842" s="117"/>
      <c r="B842" s="115"/>
      <c r="C842" s="115"/>
      <c r="D842" s="115"/>
      <c r="E842" s="115"/>
      <c r="F842" s="118"/>
      <c r="G842" s="115"/>
      <c r="H842" s="115"/>
      <c r="I842" s="115"/>
      <c r="J842" s="117"/>
      <c r="K842" s="115"/>
      <c r="L842" s="115"/>
      <c r="M842" s="115"/>
      <c r="N842" s="115"/>
      <c r="O842" s="118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 spans="1:26" ht="15.75" customHeight="1" x14ac:dyDescent="0.2">
      <c r="A843" s="117"/>
      <c r="B843" s="115"/>
      <c r="C843" s="115"/>
      <c r="D843" s="115"/>
      <c r="E843" s="115"/>
      <c r="F843" s="118"/>
      <c r="G843" s="115"/>
      <c r="H843" s="115"/>
      <c r="I843" s="115"/>
      <c r="J843" s="117"/>
      <c r="K843" s="115"/>
      <c r="L843" s="115"/>
      <c r="M843" s="115"/>
      <c r="N843" s="115"/>
      <c r="O843" s="118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 spans="1:26" ht="15.75" customHeight="1" x14ac:dyDescent="0.2">
      <c r="A844" s="117"/>
      <c r="B844" s="115"/>
      <c r="C844" s="115"/>
      <c r="D844" s="115"/>
      <c r="E844" s="115"/>
      <c r="F844" s="118"/>
      <c r="G844" s="115"/>
      <c r="H844" s="115"/>
      <c r="I844" s="115"/>
      <c r="J844" s="117"/>
      <c r="K844" s="115"/>
      <c r="L844" s="115"/>
      <c r="M844" s="115"/>
      <c r="N844" s="115"/>
      <c r="O844" s="118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 spans="1:26" ht="15.75" customHeight="1" x14ac:dyDescent="0.2">
      <c r="A845" s="117"/>
      <c r="B845" s="115"/>
      <c r="C845" s="115"/>
      <c r="D845" s="115"/>
      <c r="E845" s="115"/>
      <c r="F845" s="118"/>
      <c r="G845" s="115"/>
      <c r="H845" s="115"/>
      <c r="I845" s="115"/>
      <c r="J845" s="117"/>
      <c r="K845" s="115"/>
      <c r="L845" s="115"/>
      <c r="M845" s="115"/>
      <c r="N845" s="115"/>
      <c r="O845" s="118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 spans="1:26" ht="15.75" customHeight="1" x14ac:dyDescent="0.2">
      <c r="A846" s="117"/>
      <c r="B846" s="115"/>
      <c r="C846" s="115"/>
      <c r="D846" s="115"/>
      <c r="E846" s="115"/>
      <c r="F846" s="118"/>
      <c r="G846" s="115"/>
      <c r="H846" s="115"/>
      <c r="I846" s="115"/>
      <c r="J846" s="117"/>
      <c r="K846" s="115"/>
      <c r="L846" s="115"/>
      <c r="M846" s="115"/>
      <c r="N846" s="115"/>
      <c r="O846" s="118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 spans="1:26" ht="15.75" customHeight="1" x14ac:dyDescent="0.2">
      <c r="A847" s="117"/>
      <c r="B847" s="115"/>
      <c r="C847" s="115"/>
      <c r="D847" s="115"/>
      <c r="E847" s="115"/>
      <c r="F847" s="118"/>
      <c r="G847" s="115"/>
      <c r="H847" s="115"/>
      <c r="I847" s="115"/>
      <c r="J847" s="117"/>
      <c r="K847" s="115"/>
      <c r="L847" s="115"/>
      <c r="M847" s="115"/>
      <c r="N847" s="115"/>
      <c r="O847" s="118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 spans="1:26" ht="15.75" customHeight="1" x14ac:dyDescent="0.2">
      <c r="A848" s="117"/>
      <c r="B848" s="115"/>
      <c r="C848" s="115"/>
      <c r="D848" s="115"/>
      <c r="E848" s="115"/>
      <c r="F848" s="118"/>
      <c r="G848" s="115"/>
      <c r="H848" s="115"/>
      <c r="I848" s="115"/>
      <c r="J848" s="117"/>
      <c r="K848" s="115"/>
      <c r="L848" s="115"/>
      <c r="M848" s="115"/>
      <c r="N848" s="115"/>
      <c r="O848" s="118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 spans="1:26" ht="15.75" customHeight="1" x14ac:dyDescent="0.2">
      <c r="A849" s="117"/>
      <c r="B849" s="115"/>
      <c r="C849" s="115"/>
      <c r="D849" s="115"/>
      <c r="E849" s="115"/>
      <c r="F849" s="118"/>
      <c r="G849" s="115"/>
      <c r="H849" s="115"/>
      <c r="I849" s="115"/>
      <c r="J849" s="117"/>
      <c r="K849" s="115"/>
      <c r="L849" s="115"/>
      <c r="M849" s="115"/>
      <c r="N849" s="115"/>
      <c r="O849" s="118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 spans="1:26" ht="15.75" customHeight="1" x14ac:dyDescent="0.2">
      <c r="A850" s="117"/>
      <c r="B850" s="115"/>
      <c r="C850" s="115"/>
      <c r="D850" s="115"/>
      <c r="E850" s="115"/>
      <c r="F850" s="118"/>
      <c r="G850" s="115"/>
      <c r="H850" s="115"/>
      <c r="I850" s="115"/>
      <c r="J850" s="117"/>
      <c r="K850" s="115"/>
      <c r="L850" s="115"/>
      <c r="M850" s="115"/>
      <c r="N850" s="115"/>
      <c r="O850" s="118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 spans="1:26" ht="15.75" customHeight="1" x14ac:dyDescent="0.2">
      <c r="A851" s="117"/>
      <c r="B851" s="115"/>
      <c r="C851" s="115"/>
      <c r="D851" s="115"/>
      <c r="E851" s="115"/>
      <c r="F851" s="118"/>
      <c r="G851" s="115"/>
      <c r="H851" s="115"/>
      <c r="I851" s="115"/>
      <c r="J851" s="117"/>
      <c r="K851" s="115"/>
      <c r="L851" s="115"/>
      <c r="M851" s="115"/>
      <c r="N851" s="115"/>
      <c r="O851" s="118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 spans="1:26" ht="15.75" customHeight="1" x14ac:dyDescent="0.2">
      <c r="A852" s="117"/>
      <c r="B852" s="115"/>
      <c r="C852" s="115"/>
      <c r="D852" s="115"/>
      <c r="E852" s="115"/>
      <c r="F852" s="118"/>
      <c r="G852" s="115"/>
      <c r="H852" s="115"/>
      <c r="I852" s="115"/>
      <c r="J852" s="117"/>
      <c r="K852" s="115"/>
      <c r="L852" s="115"/>
      <c r="M852" s="115"/>
      <c r="N852" s="115"/>
      <c r="O852" s="118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 spans="1:26" ht="15.75" customHeight="1" x14ac:dyDescent="0.2">
      <c r="A853" s="117"/>
      <c r="B853" s="115"/>
      <c r="C853" s="115"/>
      <c r="D853" s="115"/>
      <c r="E853" s="115"/>
      <c r="F853" s="118"/>
      <c r="G853" s="115"/>
      <c r="H853" s="115"/>
      <c r="I853" s="115"/>
      <c r="J853" s="117"/>
      <c r="K853" s="115"/>
      <c r="L853" s="115"/>
      <c r="M853" s="115"/>
      <c r="N853" s="115"/>
      <c r="O853" s="118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 spans="1:26" ht="15.75" customHeight="1" x14ac:dyDescent="0.2">
      <c r="A854" s="117"/>
      <c r="B854" s="115"/>
      <c r="C854" s="115"/>
      <c r="D854" s="115"/>
      <c r="E854" s="115"/>
      <c r="F854" s="118"/>
      <c r="G854" s="115"/>
      <c r="H854" s="115"/>
      <c r="I854" s="115"/>
      <c r="J854" s="117"/>
      <c r="K854" s="115"/>
      <c r="L854" s="115"/>
      <c r="M854" s="115"/>
      <c r="N854" s="115"/>
      <c r="O854" s="118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 spans="1:26" ht="15.75" customHeight="1" x14ac:dyDescent="0.2">
      <c r="A855" s="117"/>
      <c r="B855" s="115"/>
      <c r="C855" s="115"/>
      <c r="D855" s="115"/>
      <c r="E855" s="115"/>
      <c r="F855" s="118"/>
      <c r="G855" s="115"/>
      <c r="H855" s="115"/>
      <c r="I855" s="115"/>
      <c r="J855" s="117"/>
      <c r="K855" s="115"/>
      <c r="L855" s="115"/>
      <c r="M855" s="115"/>
      <c r="N855" s="115"/>
      <c r="O855" s="118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 spans="1:26" ht="15.75" customHeight="1" x14ac:dyDescent="0.2">
      <c r="A856" s="117"/>
      <c r="B856" s="115"/>
      <c r="C856" s="115"/>
      <c r="D856" s="115"/>
      <c r="E856" s="115"/>
      <c r="F856" s="118"/>
      <c r="G856" s="115"/>
      <c r="H856" s="115"/>
      <c r="I856" s="115"/>
      <c r="J856" s="117"/>
      <c r="K856" s="115"/>
      <c r="L856" s="115"/>
      <c r="M856" s="115"/>
      <c r="N856" s="115"/>
      <c r="O856" s="118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 spans="1:26" ht="15.75" customHeight="1" x14ac:dyDescent="0.2">
      <c r="A857" s="117"/>
      <c r="B857" s="115"/>
      <c r="C857" s="115"/>
      <c r="D857" s="115"/>
      <c r="E857" s="115"/>
      <c r="F857" s="118"/>
      <c r="G857" s="115"/>
      <c r="H857" s="115"/>
      <c r="I857" s="115"/>
      <c r="J857" s="117"/>
      <c r="K857" s="115"/>
      <c r="L857" s="115"/>
      <c r="M857" s="115"/>
      <c r="N857" s="115"/>
      <c r="O857" s="118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 spans="1:26" ht="15.75" customHeight="1" x14ac:dyDescent="0.2">
      <c r="A858" s="117"/>
      <c r="B858" s="115"/>
      <c r="C858" s="115"/>
      <c r="D858" s="115"/>
      <c r="E858" s="115"/>
      <c r="F858" s="118"/>
      <c r="G858" s="115"/>
      <c r="H858" s="115"/>
      <c r="I858" s="115"/>
      <c r="J858" s="117"/>
      <c r="K858" s="115"/>
      <c r="L858" s="115"/>
      <c r="M858" s="115"/>
      <c r="N858" s="115"/>
      <c r="O858" s="118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 spans="1:26" ht="15.75" customHeight="1" x14ac:dyDescent="0.2">
      <c r="A859" s="117"/>
      <c r="B859" s="115"/>
      <c r="C859" s="115"/>
      <c r="D859" s="115"/>
      <c r="E859" s="115"/>
      <c r="F859" s="118"/>
      <c r="G859" s="115"/>
      <c r="H859" s="115"/>
      <c r="I859" s="115"/>
      <c r="J859" s="117"/>
      <c r="K859" s="115"/>
      <c r="L859" s="115"/>
      <c r="M859" s="115"/>
      <c r="N859" s="115"/>
      <c r="O859" s="118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 spans="1:26" ht="15.75" customHeight="1" x14ac:dyDescent="0.2">
      <c r="A860" s="117"/>
      <c r="B860" s="115"/>
      <c r="C860" s="115"/>
      <c r="D860" s="115"/>
      <c r="E860" s="115"/>
      <c r="F860" s="118"/>
      <c r="G860" s="115"/>
      <c r="H860" s="115"/>
      <c r="I860" s="115"/>
      <c r="J860" s="117"/>
      <c r="K860" s="115"/>
      <c r="L860" s="115"/>
      <c r="M860" s="115"/>
      <c r="N860" s="115"/>
      <c r="O860" s="118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 spans="1:26" ht="15.75" customHeight="1" x14ac:dyDescent="0.2">
      <c r="A861" s="117"/>
      <c r="B861" s="115"/>
      <c r="C861" s="115"/>
      <c r="D861" s="115"/>
      <c r="E861" s="115"/>
      <c r="F861" s="118"/>
      <c r="G861" s="115"/>
      <c r="H861" s="115"/>
      <c r="I861" s="115"/>
      <c r="J861" s="117"/>
      <c r="K861" s="115"/>
      <c r="L861" s="115"/>
      <c r="M861" s="115"/>
      <c r="N861" s="115"/>
      <c r="O861" s="118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 spans="1:26" ht="15.75" customHeight="1" x14ac:dyDescent="0.2">
      <c r="A862" s="117"/>
      <c r="B862" s="115"/>
      <c r="C862" s="115"/>
      <c r="D862" s="115"/>
      <c r="E862" s="115"/>
      <c r="F862" s="118"/>
      <c r="G862" s="115"/>
      <c r="H862" s="115"/>
      <c r="I862" s="115"/>
      <c r="J862" s="117"/>
      <c r="K862" s="115"/>
      <c r="L862" s="115"/>
      <c r="M862" s="115"/>
      <c r="N862" s="115"/>
      <c r="O862" s="118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 spans="1:26" ht="15.75" customHeight="1" x14ac:dyDescent="0.2">
      <c r="A863" s="117"/>
      <c r="B863" s="115"/>
      <c r="C863" s="115"/>
      <c r="D863" s="115"/>
      <c r="E863" s="115"/>
      <c r="F863" s="118"/>
      <c r="G863" s="115"/>
      <c r="H863" s="115"/>
      <c r="I863" s="115"/>
      <c r="J863" s="117"/>
      <c r="K863" s="115"/>
      <c r="L863" s="115"/>
      <c r="M863" s="115"/>
      <c r="N863" s="115"/>
      <c r="O863" s="118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 spans="1:26" ht="15.75" customHeight="1" x14ac:dyDescent="0.2">
      <c r="A864" s="117"/>
      <c r="B864" s="115"/>
      <c r="C864" s="115"/>
      <c r="D864" s="115"/>
      <c r="E864" s="115"/>
      <c r="F864" s="118"/>
      <c r="G864" s="115"/>
      <c r="H864" s="115"/>
      <c r="I864" s="115"/>
      <c r="J864" s="117"/>
      <c r="K864" s="115"/>
      <c r="L864" s="115"/>
      <c r="M864" s="115"/>
      <c r="N864" s="115"/>
      <c r="O864" s="118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 spans="1:26" ht="15.75" customHeight="1" x14ac:dyDescent="0.2">
      <c r="A865" s="117"/>
      <c r="B865" s="115"/>
      <c r="C865" s="115"/>
      <c r="D865" s="115"/>
      <c r="E865" s="115"/>
      <c r="F865" s="118"/>
      <c r="G865" s="115"/>
      <c r="H865" s="115"/>
      <c r="I865" s="115"/>
      <c r="J865" s="117"/>
      <c r="K865" s="115"/>
      <c r="L865" s="115"/>
      <c r="M865" s="115"/>
      <c r="N865" s="115"/>
      <c r="O865" s="118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 spans="1:26" ht="15.75" customHeight="1" x14ac:dyDescent="0.2">
      <c r="A866" s="117"/>
      <c r="B866" s="115"/>
      <c r="C866" s="115"/>
      <c r="D866" s="115"/>
      <c r="E866" s="115"/>
      <c r="F866" s="118"/>
      <c r="G866" s="115"/>
      <c r="H866" s="115"/>
      <c r="I866" s="115"/>
      <c r="J866" s="117"/>
      <c r="K866" s="115"/>
      <c r="L866" s="115"/>
      <c r="M866" s="115"/>
      <c r="N866" s="115"/>
      <c r="O866" s="118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 spans="1:26" ht="15.75" customHeight="1" x14ac:dyDescent="0.2">
      <c r="A867" s="117"/>
      <c r="B867" s="115"/>
      <c r="C867" s="115"/>
      <c r="D867" s="115"/>
      <c r="E867" s="115"/>
      <c r="F867" s="118"/>
      <c r="G867" s="115"/>
      <c r="H867" s="115"/>
      <c r="I867" s="115"/>
      <c r="J867" s="117"/>
      <c r="K867" s="115"/>
      <c r="L867" s="115"/>
      <c r="M867" s="115"/>
      <c r="N867" s="115"/>
      <c r="O867" s="118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 spans="1:26" ht="15.75" customHeight="1" x14ac:dyDescent="0.2">
      <c r="A868" s="117"/>
      <c r="B868" s="115"/>
      <c r="C868" s="115"/>
      <c r="D868" s="115"/>
      <c r="E868" s="115"/>
      <c r="F868" s="118"/>
      <c r="G868" s="115"/>
      <c r="H868" s="115"/>
      <c r="I868" s="115"/>
      <c r="J868" s="117"/>
      <c r="K868" s="115"/>
      <c r="L868" s="115"/>
      <c r="M868" s="115"/>
      <c r="N868" s="115"/>
      <c r="O868" s="118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 spans="1:26" ht="15.75" customHeight="1" x14ac:dyDescent="0.2">
      <c r="A869" s="117"/>
      <c r="B869" s="115"/>
      <c r="C869" s="115"/>
      <c r="D869" s="115"/>
      <c r="E869" s="115"/>
      <c r="F869" s="118"/>
      <c r="G869" s="115"/>
      <c r="H869" s="115"/>
      <c r="I869" s="115"/>
      <c r="J869" s="117"/>
      <c r="K869" s="115"/>
      <c r="L869" s="115"/>
      <c r="M869" s="115"/>
      <c r="N869" s="115"/>
      <c r="O869" s="118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 spans="1:26" ht="15.75" customHeight="1" x14ac:dyDescent="0.2">
      <c r="A870" s="117"/>
      <c r="B870" s="115"/>
      <c r="C870" s="115"/>
      <c r="D870" s="115"/>
      <c r="E870" s="115"/>
      <c r="F870" s="118"/>
      <c r="G870" s="115"/>
      <c r="H870" s="115"/>
      <c r="I870" s="115"/>
      <c r="J870" s="117"/>
      <c r="K870" s="115"/>
      <c r="L870" s="115"/>
      <c r="M870" s="115"/>
      <c r="N870" s="115"/>
      <c r="O870" s="118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 spans="1:26" ht="15.75" customHeight="1" x14ac:dyDescent="0.2">
      <c r="A871" s="117"/>
      <c r="B871" s="115"/>
      <c r="C871" s="115"/>
      <c r="D871" s="115"/>
      <c r="E871" s="115"/>
      <c r="F871" s="118"/>
      <c r="G871" s="115"/>
      <c r="H871" s="115"/>
      <c r="I871" s="115"/>
      <c r="J871" s="117"/>
      <c r="K871" s="115"/>
      <c r="L871" s="115"/>
      <c r="M871" s="115"/>
      <c r="N871" s="115"/>
      <c r="O871" s="118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 spans="1:26" ht="15.75" customHeight="1" x14ac:dyDescent="0.2">
      <c r="A872" s="117"/>
      <c r="B872" s="115"/>
      <c r="C872" s="115"/>
      <c r="D872" s="115"/>
      <c r="E872" s="115"/>
      <c r="F872" s="118"/>
      <c r="G872" s="115"/>
      <c r="H872" s="115"/>
      <c r="I872" s="115"/>
      <c r="J872" s="117"/>
      <c r="K872" s="115"/>
      <c r="L872" s="115"/>
      <c r="M872" s="115"/>
      <c r="N872" s="115"/>
      <c r="O872" s="118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 spans="1:26" ht="15.75" customHeight="1" x14ac:dyDescent="0.2">
      <c r="A873" s="117"/>
      <c r="B873" s="115"/>
      <c r="C873" s="115"/>
      <c r="D873" s="115"/>
      <c r="E873" s="115"/>
      <c r="F873" s="118"/>
      <c r="G873" s="115"/>
      <c r="H873" s="115"/>
      <c r="I873" s="115"/>
      <c r="J873" s="117"/>
      <c r="K873" s="115"/>
      <c r="L873" s="115"/>
      <c r="M873" s="115"/>
      <c r="N873" s="115"/>
      <c r="O873" s="118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 spans="1:26" ht="15.75" customHeight="1" x14ac:dyDescent="0.2">
      <c r="A874" s="117"/>
      <c r="B874" s="115"/>
      <c r="C874" s="115"/>
      <c r="D874" s="115"/>
      <c r="E874" s="115"/>
      <c r="F874" s="118"/>
      <c r="G874" s="115"/>
      <c r="H874" s="115"/>
      <c r="I874" s="115"/>
      <c r="J874" s="117"/>
      <c r="K874" s="115"/>
      <c r="L874" s="115"/>
      <c r="M874" s="115"/>
      <c r="N874" s="115"/>
      <c r="O874" s="118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 spans="1:26" ht="15.75" customHeight="1" x14ac:dyDescent="0.2">
      <c r="A875" s="117"/>
      <c r="B875" s="115"/>
      <c r="C875" s="115"/>
      <c r="D875" s="115"/>
      <c r="E875" s="115"/>
      <c r="F875" s="118"/>
      <c r="G875" s="115"/>
      <c r="H875" s="115"/>
      <c r="I875" s="115"/>
      <c r="J875" s="117"/>
      <c r="K875" s="115"/>
      <c r="L875" s="115"/>
      <c r="M875" s="115"/>
      <c r="N875" s="115"/>
      <c r="O875" s="118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 spans="1:26" ht="15.75" customHeight="1" x14ac:dyDescent="0.2">
      <c r="A876" s="117"/>
      <c r="B876" s="115"/>
      <c r="C876" s="115"/>
      <c r="D876" s="115"/>
      <c r="E876" s="115"/>
      <c r="F876" s="118"/>
      <c r="G876" s="115"/>
      <c r="H876" s="115"/>
      <c r="I876" s="115"/>
      <c r="J876" s="117"/>
      <c r="K876" s="115"/>
      <c r="L876" s="115"/>
      <c r="M876" s="115"/>
      <c r="N876" s="115"/>
      <c r="O876" s="118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 spans="1:26" ht="15.75" customHeight="1" x14ac:dyDescent="0.2">
      <c r="A877" s="117"/>
      <c r="B877" s="115"/>
      <c r="C877" s="115"/>
      <c r="D877" s="115"/>
      <c r="E877" s="115"/>
      <c r="F877" s="118"/>
      <c r="G877" s="115"/>
      <c r="H877" s="115"/>
      <c r="I877" s="115"/>
      <c r="J877" s="117"/>
      <c r="K877" s="115"/>
      <c r="L877" s="115"/>
      <c r="M877" s="115"/>
      <c r="N877" s="115"/>
      <c r="O877" s="118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 spans="1:26" ht="15.75" customHeight="1" x14ac:dyDescent="0.2">
      <c r="A878" s="117"/>
      <c r="B878" s="115"/>
      <c r="C878" s="115"/>
      <c r="D878" s="115"/>
      <c r="E878" s="115"/>
      <c r="F878" s="118"/>
      <c r="G878" s="115"/>
      <c r="H878" s="115"/>
      <c r="I878" s="115"/>
      <c r="J878" s="117"/>
      <c r="K878" s="115"/>
      <c r="L878" s="115"/>
      <c r="M878" s="115"/>
      <c r="N878" s="115"/>
      <c r="O878" s="118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 spans="1:26" ht="15.75" customHeight="1" x14ac:dyDescent="0.2">
      <c r="A879" s="117"/>
      <c r="B879" s="115"/>
      <c r="C879" s="115"/>
      <c r="D879" s="115"/>
      <c r="E879" s="115"/>
      <c r="F879" s="118"/>
      <c r="G879" s="115"/>
      <c r="H879" s="115"/>
      <c r="I879" s="115"/>
      <c r="J879" s="117"/>
      <c r="K879" s="115"/>
      <c r="L879" s="115"/>
      <c r="M879" s="115"/>
      <c r="N879" s="115"/>
      <c r="O879" s="118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 spans="1:26" ht="15.75" customHeight="1" x14ac:dyDescent="0.2">
      <c r="A880" s="117"/>
      <c r="B880" s="115"/>
      <c r="C880" s="115"/>
      <c r="D880" s="115"/>
      <c r="E880" s="115"/>
      <c r="F880" s="118"/>
      <c r="G880" s="115"/>
      <c r="H880" s="115"/>
      <c r="I880" s="115"/>
      <c r="J880" s="117"/>
      <c r="K880" s="115"/>
      <c r="L880" s="115"/>
      <c r="M880" s="115"/>
      <c r="N880" s="115"/>
      <c r="O880" s="118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 spans="1:26" ht="15.75" customHeight="1" x14ac:dyDescent="0.2">
      <c r="A881" s="117"/>
      <c r="B881" s="115"/>
      <c r="C881" s="115"/>
      <c r="D881" s="115"/>
      <c r="E881" s="115"/>
      <c r="F881" s="118"/>
      <c r="G881" s="115"/>
      <c r="H881" s="115"/>
      <c r="I881" s="115"/>
      <c r="J881" s="117"/>
      <c r="K881" s="115"/>
      <c r="L881" s="115"/>
      <c r="M881" s="115"/>
      <c r="N881" s="115"/>
      <c r="O881" s="118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 spans="1:26" ht="15.75" customHeight="1" x14ac:dyDescent="0.2">
      <c r="A882" s="117"/>
      <c r="B882" s="115"/>
      <c r="C882" s="115"/>
      <c r="D882" s="115"/>
      <c r="E882" s="115"/>
      <c r="F882" s="118"/>
      <c r="G882" s="115"/>
      <c r="H882" s="115"/>
      <c r="I882" s="115"/>
      <c r="J882" s="117"/>
      <c r="K882" s="115"/>
      <c r="L882" s="115"/>
      <c r="M882" s="115"/>
      <c r="N882" s="115"/>
      <c r="O882" s="118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 spans="1:26" ht="15.75" customHeight="1" x14ac:dyDescent="0.2">
      <c r="A883" s="117"/>
      <c r="B883" s="115"/>
      <c r="C883" s="115"/>
      <c r="D883" s="115"/>
      <c r="E883" s="115"/>
      <c r="F883" s="118"/>
      <c r="G883" s="115"/>
      <c r="H883" s="115"/>
      <c r="I883" s="115"/>
      <c r="J883" s="117"/>
      <c r="K883" s="115"/>
      <c r="L883" s="115"/>
      <c r="M883" s="115"/>
      <c r="N883" s="115"/>
      <c r="O883" s="118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 spans="1:26" ht="15.75" customHeight="1" x14ac:dyDescent="0.2">
      <c r="A884" s="117"/>
      <c r="B884" s="115"/>
      <c r="C884" s="115"/>
      <c r="D884" s="115"/>
      <c r="E884" s="115"/>
      <c r="F884" s="118"/>
      <c r="G884" s="115"/>
      <c r="H884" s="115"/>
      <c r="I884" s="115"/>
      <c r="J884" s="117"/>
      <c r="K884" s="115"/>
      <c r="L884" s="115"/>
      <c r="M884" s="115"/>
      <c r="N884" s="115"/>
      <c r="O884" s="118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 spans="1:26" ht="15.75" customHeight="1" x14ac:dyDescent="0.2">
      <c r="A885" s="117"/>
      <c r="B885" s="115"/>
      <c r="C885" s="115"/>
      <c r="D885" s="115"/>
      <c r="E885" s="115"/>
      <c r="F885" s="118"/>
      <c r="G885" s="115"/>
      <c r="H885" s="115"/>
      <c r="I885" s="115"/>
      <c r="J885" s="117"/>
      <c r="K885" s="115"/>
      <c r="L885" s="115"/>
      <c r="M885" s="115"/>
      <c r="N885" s="115"/>
      <c r="O885" s="118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 spans="1:26" ht="15.75" customHeight="1" x14ac:dyDescent="0.2">
      <c r="A886" s="117"/>
      <c r="B886" s="115"/>
      <c r="C886" s="115"/>
      <c r="D886" s="115"/>
      <c r="E886" s="115"/>
      <c r="F886" s="118"/>
      <c r="G886" s="115"/>
      <c r="H886" s="115"/>
      <c r="I886" s="115"/>
      <c r="J886" s="117"/>
      <c r="K886" s="115"/>
      <c r="L886" s="115"/>
      <c r="M886" s="115"/>
      <c r="N886" s="115"/>
      <c r="O886" s="118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 spans="1:26" ht="15.75" customHeight="1" x14ac:dyDescent="0.2">
      <c r="A887" s="117"/>
      <c r="B887" s="115"/>
      <c r="C887" s="115"/>
      <c r="D887" s="115"/>
      <c r="E887" s="115"/>
      <c r="F887" s="118"/>
      <c r="G887" s="115"/>
      <c r="H887" s="115"/>
      <c r="I887" s="115"/>
      <c r="J887" s="117"/>
      <c r="K887" s="115"/>
      <c r="L887" s="115"/>
      <c r="M887" s="115"/>
      <c r="N887" s="115"/>
      <c r="O887" s="118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 spans="1:26" ht="15.75" customHeight="1" x14ac:dyDescent="0.2">
      <c r="A888" s="117"/>
      <c r="B888" s="115"/>
      <c r="C888" s="115"/>
      <c r="D888" s="115"/>
      <c r="E888" s="115"/>
      <c r="F888" s="118"/>
      <c r="G888" s="115"/>
      <c r="H888" s="115"/>
      <c r="I888" s="115"/>
      <c r="J888" s="117"/>
      <c r="K888" s="115"/>
      <c r="L888" s="115"/>
      <c r="M888" s="115"/>
      <c r="N888" s="115"/>
      <c r="O888" s="118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 spans="1:26" ht="15.75" customHeight="1" x14ac:dyDescent="0.2">
      <c r="A889" s="117"/>
      <c r="B889" s="115"/>
      <c r="C889" s="115"/>
      <c r="D889" s="115"/>
      <c r="E889" s="115"/>
      <c r="F889" s="118"/>
      <c r="G889" s="115"/>
      <c r="H889" s="115"/>
      <c r="I889" s="115"/>
      <c r="J889" s="117"/>
      <c r="K889" s="115"/>
      <c r="L889" s="115"/>
      <c r="M889" s="115"/>
      <c r="N889" s="115"/>
      <c r="O889" s="118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 spans="1:26" ht="15.75" customHeight="1" x14ac:dyDescent="0.2">
      <c r="A890" s="117"/>
      <c r="B890" s="115"/>
      <c r="C890" s="115"/>
      <c r="D890" s="115"/>
      <c r="E890" s="115"/>
      <c r="F890" s="118"/>
      <c r="G890" s="115"/>
      <c r="H890" s="115"/>
      <c r="I890" s="115"/>
      <c r="J890" s="117"/>
      <c r="K890" s="115"/>
      <c r="L890" s="115"/>
      <c r="M890" s="115"/>
      <c r="N890" s="115"/>
      <c r="O890" s="118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 spans="1:26" ht="15.75" customHeight="1" x14ac:dyDescent="0.2">
      <c r="A891" s="117"/>
      <c r="B891" s="115"/>
      <c r="C891" s="115"/>
      <c r="D891" s="115"/>
      <c r="E891" s="115"/>
      <c r="F891" s="118"/>
      <c r="G891" s="115"/>
      <c r="H891" s="115"/>
      <c r="I891" s="115"/>
      <c r="J891" s="117"/>
      <c r="K891" s="115"/>
      <c r="L891" s="115"/>
      <c r="M891" s="115"/>
      <c r="N891" s="115"/>
      <c r="O891" s="118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 spans="1:26" ht="15.75" customHeight="1" x14ac:dyDescent="0.2">
      <c r="A892" s="117"/>
      <c r="B892" s="115"/>
      <c r="C892" s="115"/>
      <c r="D892" s="115"/>
      <c r="E892" s="115"/>
      <c r="F892" s="118"/>
      <c r="G892" s="115"/>
      <c r="H892" s="115"/>
      <c r="I892" s="115"/>
      <c r="J892" s="117"/>
      <c r="K892" s="115"/>
      <c r="L892" s="115"/>
      <c r="M892" s="115"/>
      <c r="N892" s="115"/>
      <c r="O892" s="118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 spans="1:26" ht="15.75" customHeight="1" x14ac:dyDescent="0.2">
      <c r="A893" s="117"/>
      <c r="B893" s="115"/>
      <c r="C893" s="115"/>
      <c r="D893" s="115"/>
      <c r="E893" s="115"/>
      <c r="F893" s="118"/>
      <c r="G893" s="115"/>
      <c r="H893" s="115"/>
      <c r="I893" s="115"/>
      <c r="J893" s="117"/>
      <c r="K893" s="115"/>
      <c r="L893" s="115"/>
      <c r="M893" s="115"/>
      <c r="N893" s="115"/>
      <c r="O893" s="118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 spans="1:26" ht="15.75" customHeight="1" x14ac:dyDescent="0.2">
      <c r="A894" s="117"/>
      <c r="B894" s="115"/>
      <c r="C894" s="115"/>
      <c r="D894" s="115"/>
      <c r="E894" s="115"/>
      <c r="F894" s="118"/>
      <c r="G894" s="115"/>
      <c r="H894" s="115"/>
      <c r="I894" s="115"/>
      <c r="J894" s="117"/>
      <c r="K894" s="115"/>
      <c r="L894" s="115"/>
      <c r="M894" s="115"/>
      <c r="N894" s="115"/>
      <c r="O894" s="118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 spans="1:26" ht="15.75" customHeight="1" x14ac:dyDescent="0.2">
      <c r="A895" s="117"/>
      <c r="B895" s="115"/>
      <c r="C895" s="115"/>
      <c r="D895" s="115"/>
      <c r="E895" s="115"/>
      <c r="F895" s="118"/>
      <c r="G895" s="115"/>
      <c r="H895" s="115"/>
      <c r="I895" s="115"/>
      <c r="J895" s="117"/>
      <c r="K895" s="115"/>
      <c r="L895" s="115"/>
      <c r="M895" s="115"/>
      <c r="N895" s="115"/>
      <c r="O895" s="118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 spans="1:26" ht="15.75" customHeight="1" x14ac:dyDescent="0.2">
      <c r="A896" s="117"/>
      <c r="B896" s="115"/>
      <c r="C896" s="115"/>
      <c r="D896" s="115"/>
      <c r="E896" s="115"/>
      <c r="F896" s="118"/>
      <c r="G896" s="115"/>
      <c r="H896" s="115"/>
      <c r="I896" s="115"/>
      <c r="J896" s="117"/>
      <c r="K896" s="115"/>
      <c r="L896" s="115"/>
      <c r="M896" s="115"/>
      <c r="N896" s="115"/>
      <c r="O896" s="118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 spans="1:26" ht="15.75" customHeight="1" x14ac:dyDescent="0.2">
      <c r="A897" s="117"/>
      <c r="B897" s="115"/>
      <c r="C897" s="115"/>
      <c r="D897" s="115"/>
      <c r="E897" s="115"/>
      <c r="F897" s="118"/>
      <c r="G897" s="115"/>
      <c r="H897" s="115"/>
      <c r="I897" s="115"/>
      <c r="J897" s="117"/>
      <c r="K897" s="115"/>
      <c r="L897" s="115"/>
      <c r="M897" s="115"/>
      <c r="N897" s="115"/>
      <c r="O897" s="118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 spans="1:26" ht="15.75" customHeight="1" x14ac:dyDescent="0.2">
      <c r="A898" s="117"/>
      <c r="B898" s="115"/>
      <c r="C898" s="115"/>
      <c r="D898" s="115"/>
      <c r="E898" s="115"/>
      <c r="F898" s="118"/>
      <c r="G898" s="115"/>
      <c r="H898" s="115"/>
      <c r="I898" s="115"/>
      <c r="J898" s="117"/>
      <c r="K898" s="115"/>
      <c r="L898" s="115"/>
      <c r="M898" s="115"/>
      <c r="N898" s="115"/>
      <c r="O898" s="118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 spans="1:26" ht="15.75" customHeight="1" x14ac:dyDescent="0.2">
      <c r="A899" s="117"/>
      <c r="B899" s="115"/>
      <c r="C899" s="115"/>
      <c r="D899" s="115"/>
      <c r="E899" s="115"/>
      <c r="F899" s="118"/>
      <c r="G899" s="115"/>
      <c r="H899" s="115"/>
      <c r="I899" s="115"/>
      <c r="J899" s="117"/>
      <c r="K899" s="115"/>
      <c r="L899" s="115"/>
      <c r="M899" s="115"/>
      <c r="N899" s="115"/>
      <c r="O899" s="118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 spans="1:26" ht="15.75" customHeight="1" x14ac:dyDescent="0.2">
      <c r="A900" s="117"/>
      <c r="B900" s="115"/>
      <c r="C900" s="115"/>
      <c r="D900" s="115"/>
      <c r="E900" s="115"/>
      <c r="F900" s="118"/>
      <c r="G900" s="115"/>
      <c r="H900" s="115"/>
      <c r="I900" s="115"/>
      <c r="J900" s="117"/>
      <c r="K900" s="115"/>
      <c r="L900" s="115"/>
      <c r="M900" s="115"/>
      <c r="N900" s="115"/>
      <c r="O900" s="118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 spans="1:26" ht="15.75" customHeight="1" x14ac:dyDescent="0.2">
      <c r="A901" s="117"/>
      <c r="B901" s="115"/>
      <c r="C901" s="115"/>
      <c r="D901" s="115"/>
      <c r="E901" s="115"/>
      <c r="F901" s="118"/>
      <c r="G901" s="115"/>
      <c r="H901" s="115"/>
      <c r="I901" s="115"/>
      <c r="J901" s="117"/>
      <c r="K901" s="115"/>
      <c r="L901" s="115"/>
      <c r="M901" s="115"/>
      <c r="N901" s="115"/>
      <c r="O901" s="118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 spans="1:26" ht="15.75" customHeight="1" x14ac:dyDescent="0.2">
      <c r="A902" s="117"/>
      <c r="B902" s="115"/>
      <c r="C902" s="115"/>
      <c r="D902" s="115"/>
      <c r="E902" s="115"/>
      <c r="F902" s="118"/>
      <c r="G902" s="115"/>
      <c r="H902" s="115"/>
      <c r="I902" s="115"/>
      <c r="J902" s="117"/>
      <c r="K902" s="115"/>
      <c r="L902" s="115"/>
      <c r="M902" s="115"/>
      <c r="N902" s="115"/>
      <c r="O902" s="118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 spans="1:26" ht="15.75" customHeight="1" x14ac:dyDescent="0.2">
      <c r="A903" s="117"/>
      <c r="B903" s="115"/>
      <c r="C903" s="115"/>
      <c r="D903" s="115"/>
      <c r="E903" s="115"/>
      <c r="F903" s="118"/>
      <c r="G903" s="115"/>
      <c r="H903" s="115"/>
      <c r="I903" s="115"/>
      <c r="J903" s="117"/>
      <c r="K903" s="115"/>
      <c r="L903" s="115"/>
      <c r="M903" s="115"/>
      <c r="N903" s="115"/>
      <c r="O903" s="118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 spans="1:26" ht="15.75" customHeight="1" x14ac:dyDescent="0.2">
      <c r="A904" s="117"/>
      <c r="B904" s="115"/>
      <c r="C904" s="115"/>
      <c r="D904" s="115"/>
      <c r="E904" s="115"/>
      <c r="F904" s="118"/>
      <c r="G904" s="115"/>
      <c r="H904" s="115"/>
      <c r="I904" s="115"/>
      <c r="J904" s="117"/>
      <c r="K904" s="115"/>
      <c r="L904" s="115"/>
      <c r="M904" s="115"/>
      <c r="N904" s="115"/>
      <c r="O904" s="118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 spans="1:26" ht="15.75" customHeight="1" x14ac:dyDescent="0.2">
      <c r="A905" s="117"/>
      <c r="B905" s="115"/>
      <c r="C905" s="115"/>
      <c r="D905" s="115"/>
      <c r="E905" s="115"/>
      <c r="F905" s="118"/>
      <c r="G905" s="115"/>
      <c r="H905" s="115"/>
      <c r="I905" s="115"/>
      <c r="J905" s="117"/>
      <c r="K905" s="115"/>
      <c r="L905" s="115"/>
      <c r="M905" s="115"/>
      <c r="N905" s="115"/>
      <c r="O905" s="118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 spans="1:26" ht="15.75" customHeight="1" x14ac:dyDescent="0.2">
      <c r="A906" s="117"/>
      <c r="B906" s="115"/>
      <c r="C906" s="115"/>
      <c r="D906" s="115"/>
      <c r="E906" s="115"/>
      <c r="F906" s="118"/>
      <c r="G906" s="115"/>
      <c r="H906" s="115"/>
      <c r="I906" s="115"/>
      <c r="J906" s="117"/>
      <c r="K906" s="115"/>
      <c r="L906" s="115"/>
      <c r="M906" s="115"/>
      <c r="N906" s="115"/>
      <c r="O906" s="118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 spans="1:26" ht="15.75" customHeight="1" x14ac:dyDescent="0.2">
      <c r="A907" s="117"/>
      <c r="B907" s="115"/>
      <c r="C907" s="115"/>
      <c r="D907" s="115"/>
      <c r="E907" s="115"/>
      <c r="F907" s="118"/>
      <c r="G907" s="115"/>
      <c r="H907" s="115"/>
      <c r="I907" s="115"/>
      <c r="J907" s="117"/>
      <c r="K907" s="115"/>
      <c r="L907" s="115"/>
      <c r="M907" s="115"/>
      <c r="N907" s="115"/>
      <c r="O907" s="118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 spans="1:26" ht="15.75" customHeight="1" x14ac:dyDescent="0.2">
      <c r="A908" s="117"/>
      <c r="B908" s="115"/>
      <c r="C908" s="115"/>
      <c r="D908" s="115"/>
      <c r="E908" s="115"/>
      <c r="F908" s="118"/>
      <c r="G908" s="115"/>
      <c r="H908" s="115"/>
      <c r="I908" s="115"/>
      <c r="J908" s="117"/>
      <c r="K908" s="115"/>
      <c r="L908" s="115"/>
      <c r="M908" s="115"/>
      <c r="N908" s="115"/>
      <c r="O908" s="118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 spans="1:26" ht="15.75" customHeight="1" x14ac:dyDescent="0.2">
      <c r="A909" s="117"/>
      <c r="B909" s="115"/>
      <c r="C909" s="115"/>
      <c r="D909" s="115"/>
      <c r="E909" s="115"/>
      <c r="F909" s="118"/>
      <c r="G909" s="115"/>
      <c r="H909" s="115"/>
      <c r="I909" s="115"/>
      <c r="J909" s="117"/>
      <c r="K909" s="115"/>
      <c r="L909" s="115"/>
      <c r="M909" s="115"/>
      <c r="N909" s="115"/>
      <c r="O909" s="118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 spans="1:26" ht="15.75" customHeight="1" x14ac:dyDescent="0.2">
      <c r="A910" s="117"/>
      <c r="B910" s="115"/>
      <c r="C910" s="115"/>
      <c r="D910" s="115"/>
      <c r="E910" s="115"/>
      <c r="F910" s="118"/>
      <c r="G910" s="115"/>
      <c r="H910" s="115"/>
      <c r="I910" s="115"/>
      <c r="J910" s="117"/>
      <c r="K910" s="115"/>
      <c r="L910" s="115"/>
      <c r="M910" s="115"/>
      <c r="N910" s="115"/>
      <c r="O910" s="118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 spans="1:26" ht="15.75" customHeight="1" x14ac:dyDescent="0.2">
      <c r="A911" s="117"/>
      <c r="B911" s="115"/>
      <c r="C911" s="115"/>
      <c r="D911" s="115"/>
      <c r="E911" s="115"/>
      <c r="F911" s="118"/>
      <c r="G911" s="115"/>
      <c r="H911" s="115"/>
      <c r="I911" s="115"/>
      <c r="J911" s="117"/>
      <c r="K911" s="115"/>
      <c r="L911" s="115"/>
      <c r="M911" s="115"/>
      <c r="N911" s="115"/>
      <c r="O911" s="118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 spans="1:26" ht="15.75" customHeight="1" x14ac:dyDescent="0.2">
      <c r="A912" s="117"/>
      <c r="B912" s="115"/>
      <c r="C912" s="115"/>
      <c r="D912" s="115"/>
      <c r="E912" s="115"/>
      <c r="F912" s="118"/>
      <c r="G912" s="115"/>
      <c r="H912" s="115"/>
      <c r="I912" s="115"/>
      <c r="J912" s="117"/>
      <c r="K912" s="115"/>
      <c r="L912" s="115"/>
      <c r="M912" s="115"/>
      <c r="N912" s="115"/>
      <c r="O912" s="118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 spans="1:26" ht="15.75" customHeight="1" x14ac:dyDescent="0.2">
      <c r="A913" s="117"/>
      <c r="B913" s="115"/>
      <c r="C913" s="115"/>
      <c r="D913" s="115"/>
      <c r="E913" s="115"/>
      <c r="F913" s="118"/>
      <c r="G913" s="115"/>
      <c r="H913" s="115"/>
      <c r="I913" s="115"/>
      <c r="J913" s="117"/>
      <c r="K913" s="115"/>
      <c r="L913" s="115"/>
      <c r="M913" s="115"/>
      <c r="N913" s="115"/>
      <c r="O913" s="118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 spans="1:26" ht="15.75" customHeight="1" x14ac:dyDescent="0.2">
      <c r="A914" s="117"/>
      <c r="B914" s="115"/>
      <c r="C914" s="115"/>
      <c r="D914" s="115"/>
      <c r="E914" s="115"/>
      <c r="F914" s="118"/>
      <c r="G914" s="115"/>
      <c r="H914" s="115"/>
      <c r="I914" s="115"/>
      <c r="J914" s="117"/>
      <c r="K914" s="115"/>
      <c r="L914" s="115"/>
      <c r="M914" s="115"/>
      <c r="N914" s="115"/>
      <c r="O914" s="118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 spans="1:26" ht="15.75" customHeight="1" x14ac:dyDescent="0.2">
      <c r="A915" s="117"/>
      <c r="B915" s="115"/>
      <c r="C915" s="115"/>
      <c r="D915" s="115"/>
      <c r="E915" s="115"/>
      <c r="F915" s="118"/>
      <c r="G915" s="115"/>
      <c r="H915" s="115"/>
      <c r="I915" s="115"/>
      <c r="J915" s="117"/>
      <c r="K915" s="115"/>
      <c r="L915" s="115"/>
      <c r="M915" s="115"/>
      <c r="N915" s="115"/>
      <c r="O915" s="118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 spans="1:26" ht="15.75" customHeight="1" x14ac:dyDescent="0.2">
      <c r="A916" s="117"/>
      <c r="B916" s="115"/>
      <c r="C916" s="115"/>
      <c r="D916" s="115"/>
      <c r="E916" s="115"/>
      <c r="F916" s="118"/>
      <c r="G916" s="115"/>
      <c r="H916" s="115"/>
      <c r="I916" s="115"/>
      <c r="J916" s="117"/>
      <c r="K916" s="115"/>
      <c r="L916" s="115"/>
      <c r="M916" s="115"/>
      <c r="N916" s="115"/>
      <c r="O916" s="118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 spans="1:26" ht="15.75" customHeight="1" x14ac:dyDescent="0.2">
      <c r="A917" s="117"/>
      <c r="B917" s="115"/>
      <c r="C917" s="115"/>
      <c r="D917" s="115"/>
      <c r="E917" s="115"/>
      <c r="F917" s="118"/>
      <c r="G917" s="115"/>
      <c r="H917" s="115"/>
      <c r="I917" s="115"/>
      <c r="J917" s="117"/>
      <c r="K917" s="115"/>
      <c r="L917" s="115"/>
      <c r="M917" s="115"/>
      <c r="N917" s="115"/>
      <c r="O917" s="118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 spans="1:26" ht="15.75" customHeight="1" x14ac:dyDescent="0.2">
      <c r="A918" s="117"/>
      <c r="B918" s="115"/>
      <c r="C918" s="115"/>
      <c r="D918" s="115"/>
      <c r="E918" s="115"/>
      <c r="F918" s="118"/>
      <c r="G918" s="115"/>
      <c r="H918" s="115"/>
      <c r="I918" s="115"/>
      <c r="J918" s="117"/>
      <c r="K918" s="115"/>
      <c r="L918" s="115"/>
      <c r="M918" s="115"/>
      <c r="N918" s="115"/>
      <c r="O918" s="118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 spans="1:26" ht="15.75" customHeight="1" x14ac:dyDescent="0.2">
      <c r="A919" s="117"/>
      <c r="B919" s="115"/>
      <c r="C919" s="115"/>
      <c r="D919" s="115"/>
      <c r="E919" s="115"/>
      <c r="F919" s="118"/>
      <c r="G919" s="115"/>
      <c r="H919" s="115"/>
      <c r="I919" s="115"/>
      <c r="J919" s="117"/>
      <c r="K919" s="115"/>
      <c r="L919" s="115"/>
      <c r="M919" s="115"/>
      <c r="N919" s="115"/>
      <c r="O919" s="118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 spans="1:26" ht="15.75" customHeight="1" x14ac:dyDescent="0.2">
      <c r="A920" s="117"/>
      <c r="B920" s="115"/>
      <c r="C920" s="115"/>
      <c r="D920" s="115"/>
      <c r="E920" s="115"/>
      <c r="F920" s="118"/>
      <c r="G920" s="115"/>
      <c r="H920" s="115"/>
      <c r="I920" s="115"/>
      <c r="J920" s="117"/>
      <c r="K920" s="115"/>
      <c r="L920" s="115"/>
      <c r="M920" s="115"/>
      <c r="N920" s="115"/>
      <c r="O920" s="118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 spans="1:26" ht="15.75" customHeight="1" x14ac:dyDescent="0.2">
      <c r="A921" s="117"/>
      <c r="B921" s="115"/>
      <c r="C921" s="115"/>
      <c r="D921" s="115"/>
      <c r="E921" s="115"/>
      <c r="F921" s="118"/>
      <c r="G921" s="115"/>
      <c r="H921" s="115"/>
      <c r="I921" s="115"/>
      <c r="J921" s="117"/>
      <c r="K921" s="115"/>
      <c r="L921" s="115"/>
      <c r="M921" s="115"/>
      <c r="N921" s="115"/>
      <c r="O921" s="118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 spans="1:26" ht="15.75" customHeight="1" x14ac:dyDescent="0.2">
      <c r="A922" s="117"/>
      <c r="B922" s="115"/>
      <c r="C922" s="115"/>
      <c r="D922" s="115"/>
      <c r="E922" s="115"/>
      <c r="F922" s="118"/>
      <c r="G922" s="115"/>
      <c r="H922" s="115"/>
      <c r="I922" s="115"/>
      <c r="J922" s="117"/>
      <c r="K922" s="115"/>
      <c r="L922" s="115"/>
      <c r="M922" s="115"/>
      <c r="N922" s="115"/>
      <c r="O922" s="118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 spans="1:26" ht="15.75" customHeight="1" x14ac:dyDescent="0.2">
      <c r="A923" s="117"/>
      <c r="B923" s="115"/>
      <c r="C923" s="115"/>
      <c r="D923" s="115"/>
      <c r="E923" s="115"/>
      <c r="F923" s="118"/>
      <c r="G923" s="115"/>
      <c r="H923" s="115"/>
      <c r="I923" s="115"/>
      <c r="J923" s="117"/>
      <c r="K923" s="115"/>
      <c r="L923" s="115"/>
      <c r="M923" s="115"/>
      <c r="N923" s="115"/>
      <c r="O923" s="118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 spans="1:26" ht="15.75" customHeight="1" x14ac:dyDescent="0.2">
      <c r="A924" s="117"/>
      <c r="B924" s="115"/>
      <c r="C924" s="115"/>
      <c r="D924" s="115"/>
      <c r="E924" s="115"/>
      <c r="F924" s="118"/>
      <c r="G924" s="115"/>
      <c r="H924" s="115"/>
      <c r="I924" s="115"/>
      <c r="J924" s="117"/>
      <c r="K924" s="115"/>
      <c r="L924" s="115"/>
      <c r="M924" s="115"/>
      <c r="N924" s="115"/>
      <c r="O924" s="118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 spans="1:26" ht="15.75" customHeight="1" x14ac:dyDescent="0.2">
      <c r="A925" s="117"/>
      <c r="B925" s="115"/>
      <c r="C925" s="115"/>
      <c r="D925" s="115"/>
      <c r="E925" s="115"/>
      <c r="F925" s="118"/>
      <c r="G925" s="115"/>
      <c r="H925" s="115"/>
      <c r="I925" s="115"/>
      <c r="J925" s="117"/>
      <c r="K925" s="115"/>
      <c r="L925" s="115"/>
      <c r="M925" s="115"/>
      <c r="N925" s="115"/>
      <c r="O925" s="118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 spans="1:26" ht="15.75" customHeight="1" x14ac:dyDescent="0.2">
      <c r="A926" s="117"/>
      <c r="B926" s="115"/>
      <c r="C926" s="115"/>
      <c r="D926" s="115"/>
      <c r="E926" s="115"/>
      <c r="F926" s="118"/>
      <c r="G926" s="115"/>
      <c r="H926" s="115"/>
      <c r="I926" s="115"/>
      <c r="J926" s="117"/>
      <c r="K926" s="115"/>
      <c r="L926" s="115"/>
      <c r="M926" s="115"/>
      <c r="N926" s="115"/>
      <c r="O926" s="118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 spans="1:26" ht="15.75" customHeight="1" x14ac:dyDescent="0.2">
      <c r="A927" s="117"/>
      <c r="B927" s="115"/>
      <c r="C927" s="115"/>
      <c r="D927" s="115"/>
      <c r="E927" s="115"/>
      <c r="F927" s="118"/>
      <c r="G927" s="115"/>
      <c r="H927" s="115"/>
      <c r="I927" s="115"/>
      <c r="J927" s="117"/>
      <c r="K927" s="115"/>
      <c r="L927" s="115"/>
      <c r="M927" s="115"/>
      <c r="N927" s="115"/>
      <c r="O927" s="118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 spans="1:26" ht="15.75" customHeight="1" x14ac:dyDescent="0.2">
      <c r="A928" s="117"/>
      <c r="B928" s="115"/>
      <c r="C928" s="115"/>
      <c r="D928" s="115"/>
      <c r="E928" s="115"/>
      <c r="F928" s="118"/>
      <c r="G928" s="115"/>
      <c r="H928" s="115"/>
      <c r="I928" s="115"/>
      <c r="J928" s="117"/>
      <c r="K928" s="115"/>
      <c r="L928" s="115"/>
      <c r="M928" s="115"/>
      <c r="N928" s="115"/>
      <c r="O928" s="118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 spans="1:26" ht="15.75" customHeight="1" x14ac:dyDescent="0.2">
      <c r="A929" s="117"/>
      <c r="B929" s="115"/>
      <c r="C929" s="115"/>
      <c r="D929" s="115"/>
      <c r="E929" s="115"/>
      <c r="F929" s="118"/>
      <c r="G929" s="115"/>
      <c r="H929" s="115"/>
      <c r="I929" s="115"/>
      <c r="J929" s="117"/>
      <c r="K929" s="115"/>
      <c r="L929" s="115"/>
      <c r="M929" s="115"/>
      <c r="N929" s="115"/>
      <c r="O929" s="118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 spans="1:26" ht="15.75" customHeight="1" x14ac:dyDescent="0.2">
      <c r="A930" s="117"/>
      <c r="B930" s="115"/>
      <c r="C930" s="115"/>
      <c r="D930" s="115"/>
      <c r="E930" s="115"/>
      <c r="F930" s="118"/>
      <c r="G930" s="115"/>
      <c r="H930" s="115"/>
      <c r="I930" s="115"/>
      <c r="J930" s="117"/>
      <c r="K930" s="115"/>
      <c r="L930" s="115"/>
      <c r="M930" s="115"/>
      <c r="N930" s="115"/>
      <c r="O930" s="118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 spans="1:26" ht="15.75" customHeight="1" x14ac:dyDescent="0.2">
      <c r="A931" s="117"/>
      <c r="B931" s="115"/>
      <c r="C931" s="115"/>
      <c r="D931" s="115"/>
      <c r="E931" s="115"/>
      <c r="F931" s="118"/>
      <c r="G931" s="115"/>
      <c r="H931" s="115"/>
      <c r="I931" s="115"/>
      <c r="J931" s="117"/>
      <c r="K931" s="115"/>
      <c r="L931" s="115"/>
      <c r="M931" s="115"/>
      <c r="N931" s="115"/>
      <c r="O931" s="118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 spans="1:26" ht="15.75" customHeight="1" x14ac:dyDescent="0.2">
      <c r="A932" s="117"/>
      <c r="B932" s="115"/>
      <c r="C932" s="115"/>
      <c r="D932" s="115"/>
      <c r="E932" s="115"/>
      <c r="F932" s="118"/>
      <c r="G932" s="115"/>
      <c r="H932" s="115"/>
      <c r="I932" s="115"/>
      <c r="J932" s="117"/>
      <c r="K932" s="115"/>
      <c r="L932" s="115"/>
      <c r="M932" s="115"/>
      <c r="N932" s="115"/>
      <c r="O932" s="118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 spans="1:26" ht="15.75" customHeight="1" x14ac:dyDescent="0.2">
      <c r="A933" s="117"/>
      <c r="B933" s="115"/>
      <c r="C933" s="115"/>
      <c r="D933" s="115"/>
      <c r="E933" s="115"/>
      <c r="F933" s="118"/>
      <c r="G933" s="115"/>
      <c r="H933" s="115"/>
      <c r="I933" s="115"/>
      <c r="J933" s="117"/>
      <c r="K933" s="115"/>
      <c r="L933" s="115"/>
      <c r="M933" s="115"/>
      <c r="N933" s="115"/>
      <c r="O933" s="118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 spans="1:26" ht="15.75" customHeight="1" x14ac:dyDescent="0.2">
      <c r="A934" s="117"/>
      <c r="B934" s="115"/>
      <c r="C934" s="115"/>
      <c r="D934" s="115"/>
      <c r="E934" s="115"/>
      <c r="F934" s="118"/>
      <c r="G934" s="115"/>
      <c r="H934" s="115"/>
      <c r="I934" s="115"/>
      <c r="J934" s="117"/>
      <c r="K934" s="115"/>
      <c r="L934" s="115"/>
      <c r="M934" s="115"/>
      <c r="N934" s="115"/>
      <c r="O934" s="118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 spans="1:26" ht="15.75" customHeight="1" x14ac:dyDescent="0.2">
      <c r="A935" s="117"/>
      <c r="B935" s="115"/>
      <c r="C935" s="115"/>
      <c r="D935" s="115"/>
      <c r="E935" s="115"/>
      <c r="F935" s="118"/>
      <c r="G935" s="115"/>
      <c r="H935" s="115"/>
      <c r="I935" s="115"/>
      <c r="J935" s="117"/>
      <c r="K935" s="115"/>
      <c r="L935" s="115"/>
      <c r="M935" s="115"/>
      <c r="N935" s="115"/>
      <c r="O935" s="118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 spans="1:26" ht="15.75" customHeight="1" x14ac:dyDescent="0.2">
      <c r="A936" s="117"/>
      <c r="B936" s="115"/>
      <c r="C936" s="115"/>
      <c r="D936" s="115"/>
      <c r="E936" s="115"/>
      <c r="F936" s="118"/>
      <c r="G936" s="115"/>
      <c r="H936" s="115"/>
      <c r="I936" s="115"/>
      <c r="J936" s="117"/>
      <c r="K936" s="115"/>
      <c r="L936" s="115"/>
      <c r="M936" s="115"/>
      <c r="N936" s="115"/>
      <c r="O936" s="118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 spans="1:26" ht="15.75" customHeight="1" x14ac:dyDescent="0.2">
      <c r="A937" s="117"/>
      <c r="B937" s="115"/>
      <c r="C937" s="115"/>
      <c r="D937" s="115"/>
      <c r="E937" s="115"/>
      <c r="F937" s="118"/>
      <c r="G937" s="115"/>
      <c r="H937" s="115"/>
      <c r="I937" s="115"/>
      <c r="J937" s="117"/>
      <c r="K937" s="115"/>
      <c r="L937" s="115"/>
      <c r="M937" s="115"/>
      <c r="N937" s="115"/>
      <c r="O937" s="118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 spans="1:26" ht="15.75" customHeight="1" x14ac:dyDescent="0.2">
      <c r="A938" s="117"/>
      <c r="B938" s="115"/>
      <c r="C938" s="115"/>
      <c r="D938" s="115"/>
      <c r="E938" s="115"/>
      <c r="F938" s="118"/>
      <c r="G938" s="115"/>
      <c r="H938" s="115"/>
      <c r="I938" s="115"/>
      <c r="J938" s="117"/>
      <c r="K938" s="115"/>
      <c r="L938" s="115"/>
      <c r="M938" s="115"/>
      <c r="N938" s="115"/>
      <c r="O938" s="118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 spans="1:26" ht="15.75" customHeight="1" x14ac:dyDescent="0.2">
      <c r="A939" s="117"/>
      <c r="B939" s="115"/>
      <c r="C939" s="115"/>
      <c r="D939" s="115"/>
      <c r="E939" s="115"/>
      <c r="F939" s="118"/>
      <c r="G939" s="115"/>
      <c r="H939" s="115"/>
      <c r="I939" s="115"/>
      <c r="J939" s="117"/>
      <c r="K939" s="115"/>
      <c r="L939" s="115"/>
      <c r="M939" s="115"/>
      <c r="N939" s="115"/>
      <c r="O939" s="118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 spans="1:26" ht="15.75" customHeight="1" x14ac:dyDescent="0.2">
      <c r="A940" s="117"/>
      <c r="B940" s="115"/>
      <c r="C940" s="115"/>
      <c r="D940" s="115"/>
      <c r="E940" s="115"/>
      <c r="F940" s="118"/>
      <c r="G940" s="115"/>
      <c r="H940" s="115"/>
      <c r="I940" s="115"/>
      <c r="J940" s="117"/>
      <c r="K940" s="115"/>
      <c r="L940" s="115"/>
      <c r="M940" s="115"/>
      <c r="N940" s="115"/>
      <c r="O940" s="118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 spans="1:26" ht="15.75" customHeight="1" x14ac:dyDescent="0.2">
      <c r="A941" s="117"/>
      <c r="B941" s="115"/>
      <c r="C941" s="115"/>
      <c r="D941" s="115"/>
      <c r="E941" s="115"/>
      <c r="F941" s="118"/>
      <c r="G941" s="115"/>
      <c r="H941" s="115"/>
      <c r="I941" s="115"/>
      <c r="J941" s="117"/>
      <c r="K941" s="115"/>
      <c r="L941" s="115"/>
      <c r="M941" s="115"/>
      <c r="N941" s="115"/>
      <c r="O941" s="118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 spans="1:26" ht="15.75" customHeight="1" x14ac:dyDescent="0.2">
      <c r="A942" s="117"/>
      <c r="B942" s="115"/>
      <c r="C942" s="115"/>
      <c r="D942" s="115"/>
      <c r="E942" s="115"/>
      <c r="F942" s="118"/>
      <c r="G942" s="115"/>
      <c r="H942" s="115"/>
      <c r="I942" s="115"/>
      <c r="J942" s="117"/>
      <c r="K942" s="115"/>
      <c r="L942" s="115"/>
      <c r="M942" s="115"/>
      <c r="N942" s="115"/>
      <c r="O942" s="118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 spans="1:26" ht="15.75" customHeight="1" x14ac:dyDescent="0.2">
      <c r="A943" s="117"/>
      <c r="B943" s="115"/>
      <c r="C943" s="115"/>
      <c r="D943" s="115"/>
      <c r="E943" s="115"/>
      <c r="F943" s="118"/>
      <c r="G943" s="115"/>
      <c r="H943" s="115"/>
      <c r="I943" s="115"/>
      <c r="J943" s="117"/>
      <c r="K943" s="115"/>
      <c r="L943" s="115"/>
      <c r="M943" s="115"/>
      <c r="N943" s="115"/>
      <c r="O943" s="118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 spans="1:26" ht="15.75" customHeight="1" x14ac:dyDescent="0.2">
      <c r="A944" s="117"/>
      <c r="B944" s="115"/>
      <c r="C944" s="115"/>
      <c r="D944" s="115"/>
      <c r="E944" s="115"/>
      <c r="F944" s="118"/>
      <c r="G944" s="115"/>
      <c r="H944" s="115"/>
      <c r="I944" s="115"/>
      <c r="J944" s="117"/>
      <c r="K944" s="115"/>
      <c r="L944" s="115"/>
      <c r="M944" s="115"/>
      <c r="N944" s="115"/>
      <c r="O944" s="118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 spans="1:26" ht="15.75" customHeight="1" x14ac:dyDescent="0.2">
      <c r="A945" s="117"/>
      <c r="B945" s="115"/>
      <c r="C945" s="115"/>
      <c r="D945" s="115"/>
      <c r="E945" s="115"/>
      <c r="F945" s="118"/>
      <c r="G945" s="115"/>
      <c r="H945" s="115"/>
      <c r="I945" s="115"/>
      <c r="J945" s="117"/>
      <c r="K945" s="115"/>
      <c r="L945" s="115"/>
      <c r="M945" s="115"/>
      <c r="N945" s="115"/>
      <c r="O945" s="118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 spans="1:26" ht="15.75" customHeight="1" x14ac:dyDescent="0.2">
      <c r="A946" s="117"/>
      <c r="B946" s="115"/>
      <c r="C946" s="115"/>
      <c r="D946" s="115"/>
      <c r="E946" s="115"/>
      <c r="F946" s="118"/>
      <c r="G946" s="115"/>
      <c r="H946" s="115"/>
      <c r="I946" s="115"/>
      <c r="J946" s="117"/>
      <c r="K946" s="115"/>
      <c r="L946" s="115"/>
      <c r="M946" s="115"/>
      <c r="N946" s="115"/>
      <c r="O946" s="118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 spans="1:26" ht="15.75" customHeight="1" x14ac:dyDescent="0.2">
      <c r="A947" s="117"/>
      <c r="B947" s="115"/>
      <c r="C947" s="115"/>
      <c r="D947" s="115"/>
      <c r="E947" s="115"/>
      <c r="F947" s="118"/>
      <c r="G947" s="115"/>
      <c r="H947" s="115"/>
      <c r="I947" s="115"/>
      <c r="J947" s="117"/>
      <c r="K947" s="115"/>
      <c r="L947" s="115"/>
      <c r="M947" s="115"/>
      <c r="N947" s="115"/>
      <c r="O947" s="118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 spans="1:26" ht="15.75" customHeight="1" x14ac:dyDescent="0.2">
      <c r="A948" s="117"/>
      <c r="B948" s="115"/>
      <c r="C948" s="115"/>
      <c r="D948" s="115"/>
      <c r="E948" s="115"/>
      <c r="F948" s="118"/>
      <c r="G948" s="115"/>
      <c r="H948" s="115"/>
      <c r="I948" s="115"/>
      <c r="J948" s="117"/>
      <c r="K948" s="115"/>
      <c r="L948" s="115"/>
      <c r="M948" s="115"/>
      <c r="N948" s="115"/>
      <c r="O948" s="118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 spans="1:26" ht="15.75" customHeight="1" x14ac:dyDescent="0.2">
      <c r="A949" s="117"/>
      <c r="B949" s="115"/>
      <c r="C949" s="115"/>
      <c r="D949" s="115"/>
      <c r="E949" s="115"/>
      <c r="F949" s="118"/>
      <c r="G949" s="115"/>
      <c r="H949" s="115"/>
      <c r="I949" s="115"/>
      <c r="J949" s="117"/>
      <c r="K949" s="115"/>
      <c r="L949" s="115"/>
      <c r="M949" s="115"/>
      <c r="N949" s="115"/>
      <c r="O949" s="118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 spans="1:26" ht="15.75" customHeight="1" x14ac:dyDescent="0.2">
      <c r="A950" s="117"/>
      <c r="B950" s="115"/>
      <c r="C950" s="115"/>
      <c r="D950" s="115"/>
      <c r="E950" s="115"/>
      <c r="F950" s="118"/>
      <c r="G950" s="115"/>
      <c r="H950" s="115"/>
      <c r="I950" s="115"/>
      <c r="J950" s="117"/>
      <c r="K950" s="115"/>
      <c r="L950" s="115"/>
      <c r="M950" s="115"/>
      <c r="N950" s="115"/>
      <c r="O950" s="118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 spans="1:26" ht="15.75" customHeight="1" x14ac:dyDescent="0.2">
      <c r="A951" s="117"/>
      <c r="B951" s="115"/>
      <c r="C951" s="115"/>
      <c r="D951" s="115"/>
      <c r="E951" s="115"/>
      <c r="F951" s="118"/>
      <c r="G951" s="115"/>
      <c r="H951" s="115"/>
      <c r="I951" s="115"/>
      <c r="J951" s="117"/>
      <c r="K951" s="115"/>
      <c r="L951" s="115"/>
      <c r="M951" s="115"/>
      <c r="N951" s="115"/>
      <c r="O951" s="118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 spans="1:26" ht="15.75" customHeight="1" x14ac:dyDescent="0.2">
      <c r="A952" s="117"/>
      <c r="B952" s="115"/>
      <c r="C952" s="115"/>
      <c r="D952" s="115"/>
      <c r="E952" s="115"/>
      <c r="F952" s="118"/>
      <c r="G952" s="115"/>
      <c r="H952" s="115"/>
      <c r="I952" s="115"/>
      <c r="J952" s="117"/>
      <c r="K952" s="115"/>
      <c r="L952" s="115"/>
      <c r="M952" s="115"/>
      <c r="N952" s="115"/>
      <c r="O952" s="118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 spans="1:26" ht="15.75" customHeight="1" x14ac:dyDescent="0.2">
      <c r="A953" s="117"/>
      <c r="B953" s="115"/>
      <c r="C953" s="115"/>
      <c r="D953" s="115"/>
      <c r="E953" s="115"/>
      <c r="F953" s="118"/>
      <c r="G953" s="115"/>
      <c r="H953" s="115"/>
      <c r="I953" s="115"/>
      <c r="J953" s="117"/>
      <c r="K953" s="115"/>
      <c r="L953" s="115"/>
      <c r="M953" s="115"/>
      <c r="N953" s="115"/>
      <c r="O953" s="118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 spans="1:26" ht="15.75" customHeight="1" x14ac:dyDescent="0.2">
      <c r="A954" s="117"/>
      <c r="B954" s="115"/>
      <c r="C954" s="115"/>
      <c r="D954" s="115"/>
      <c r="E954" s="115"/>
      <c r="F954" s="118"/>
      <c r="G954" s="115"/>
      <c r="H954" s="115"/>
      <c r="I954" s="115"/>
      <c r="J954" s="117"/>
      <c r="K954" s="115"/>
      <c r="L954" s="115"/>
      <c r="M954" s="115"/>
      <c r="N954" s="115"/>
      <c r="O954" s="118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 spans="1:26" ht="15.75" customHeight="1" x14ac:dyDescent="0.2">
      <c r="A955" s="117"/>
      <c r="B955" s="115"/>
      <c r="C955" s="115"/>
      <c r="D955" s="115"/>
      <c r="E955" s="115"/>
      <c r="F955" s="118"/>
      <c r="G955" s="115"/>
      <c r="H955" s="115"/>
      <c r="I955" s="115"/>
      <c r="J955" s="117"/>
      <c r="K955" s="115"/>
      <c r="L955" s="115"/>
      <c r="M955" s="115"/>
      <c r="N955" s="115"/>
      <c r="O955" s="118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 spans="1:26" ht="15.75" customHeight="1" x14ac:dyDescent="0.2">
      <c r="A956" s="117"/>
      <c r="B956" s="115"/>
      <c r="C956" s="115"/>
      <c r="D956" s="115"/>
      <c r="E956" s="115"/>
      <c r="F956" s="118"/>
      <c r="G956" s="115"/>
      <c r="H956" s="115"/>
      <c r="I956" s="115"/>
      <c r="J956" s="117"/>
      <c r="K956" s="115"/>
      <c r="L956" s="115"/>
      <c r="M956" s="115"/>
      <c r="N956" s="115"/>
      <c r="O956" s="118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 spans="1:26" ht="15.75" customHeight="1" x14ac:dyDescent="0.2">
      <c r="A957" s="117"/>
      <c r="B957" s="115"/>
      <c r="C957" s="115"/>
      <c r="D957" s="115"/>
      <c r="E957" s="115"/>
      <c r="F957" s="118"/>
      <c r="G957" s="115"/>
      <c r="H957" s="115"/>
      <c r="I957" s="115"/>
      <c r="J957" s="117"/>
      <c r="K957" s="115"/>
      <c r="L957" s="115"/>
      <c r="M957" s="115"/>
      <c r="N957" s="115"/>
      <c r="O957" s="118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 spans="1:26" ht="15.75" customHeight="1" x14ac:dyDescent="0.2">
      <c r="A958" s="117"/>
      <c r="B958" s="115"/>
      <c r="C958" s="115"/>
      <c r="D958" s="115"/>
      <c r="E958" s="115"/>
      <c r="F958" s="118"/>
      <c r="G958" s="115"/>
      <c r="H958" s="115"/>
      <c r="I958" s="115"/>
      <c r="J958" s="117"/>
      <c r="K958" s="115"/>
      <c r="L958" s="115"/>
      <c r="M958" s="115"/>
      <c r="N958" s="115"/>
      <c r="O958" s="118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 spans="1:26" ht="15.75" customHeight="1" x14ac:dyDescent="0.2">
      <c r="A959" s="117"/>
      <c r="B959" s="115"/>
      <c r="C959" s="115"/>
      <c r="D959" s="115"/>
      <c r="E959" s="115"/>
      <c r="F959" s="118"/>
      <c r="G959" s="115"/>
      <c r="H959" s="115"/>
      <c r="I959" s="115"/>
      <c r="J959" s="117"/>
      <c r="K959" s="115"/>
      <c r="L959" s="115"/>
      <c r="M959" s="115"/>
      <c r="N959" s="115"/>
      <c r="O959" s="118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 spans="1:26" ht="15.75" customHeight="1" x14ac:dyDescent="0.2">
      <c r="A960" s="117"/>
      <c r="B960" s="115"/>
      <c r="C960" s="115"/>
      <c r="D960" s="115"/>
      <c r="E960" s="115"/>
      <c r="F960" s="118"/>
      <c r="G960" s="115"/>
      <c r="H960" s="115"/>
      <c r="I960" s="115"/>
      <c r="J960" s="117"/>
      <c r="K960" s="115"/>
      <c r="L960" s="115"/>
      <c r="M960" s="115"/>
      <c r="N960" s="115"/>
      <c r="O960" s="118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 spans="1:26" ht="15.75" customHeight="1" x14ac:dyDescent="0.2">
      <c r="A961" s="117"/>
      <c r="B961" s="115"/>
      <c r="C961" s="115"/>
      <c r="D961" s="115"/>
      <c r="E961" s="115"/>
      <c r="F961" s="118"/>
      <c r="G961" s="115"/>
      <c r="H961" s="115"/>
      <c r="I961" s="115"/>
      <c r="J961" s="117"/>
      <c r="K961" s="115"/>
      <c r="L961" s="115"/>
      <c r="M961" s="115"/>
      <c r="N961" s="115"/>
      <c r="O961" s="118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 spans="1:26" ht="15.75" customHeight="1" x14ac:dyDescent="0.2">
      <c r="A962" s="117"/>
      <c r="B962" s="115"/>
      <c r="C962" s="115"/>
      <c r="D962" s="115"/>
      <c r="E962" s="115"/>
      <c r="F962" s="118"/>
      <c r="G962" s="115"/>
      <c r="H962" s="115"/>
      <c r="I962" s="115"/>
      <c r="J962" s="117"/>
      <c r="K962" s="115"/>
      <c r="L962" s="115"/>
      <c r="M962" s="115"/>
      <c r="N962" s="115"/>
      <c r="O962" s="118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 spans="1:26" ht="15.75" customHeight="1" x14ac:dyDescent="0.2">
      <c r="A963" s="117"/>
      <c r="B963" s="115"/>
      <c r="C963" s="115"/>
      <c r="D963" s="115"/>
      <c r="E963" s="115"/>
      <c r="F963" s="118"/>
      <c r="G963" s="115"/>
      <c r="H963" s="115"/>
      <c r="I963" s="115"/>
      <c r="J963" s="117"/>
      <c r="K963" s="115"/>
      <c r="L963" s="115"/>
      <c r="M963" s="115"/>
      <c r="N963" s="115"/>
      <c r="O963" s="118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 spans="1:26" ht="15.75" customHeight="1" x14ac:dyDescent="0.2">
      <c r="A964" s="117"/>
      <c r="B964" s="115"/>
      <c r="C964" s="115"/>
      <c r="D964" s="115"/>
      <c r="E964" s="115"/>
      <c r="F964" s="118"/>
      <c r="G964" s="115"/>
      <c r="H964" s="115"/>
      <c r="I964" s="115"/>
      <c r="J964" s="117"/>
      <c r="K964" s="115"/>
      <c r="L964" s="115"/>
      <c r="M964" s="115"/>
      <c r="N964" s="115"/>
      <c r="O964" s="118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 spans="1:26" ht="15.75" customHeight="1" x14ac:dyDescent="0.2">
      <c r="A965" s="117"/>
      <c r="B965" s="115"/>
      <c r="C965" s="115"/>
      <c r="D965" s="115"/>
      <c r="E965" s="115"/>
      <c r="F965" s="118"/>
      <c r="G965" s="115"/>
      <c r="H965" s="115"/>
      <c r="I965" s="115"/>
      <c r="J965" s="117"/>
      <c r="K965" s="115"/>
      <c r="L965" s="115"/>
      <c r="M965" s="115"/>
      <c r="N965" s="115"/>
      <c r="O965" s="118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 spans="1:26" ht="15.75" customHeight="1" x14ac:dyDescent="0.2">
      <c r="A966" s="117"/>
      <c r="B966" s="115"/>
      <c r="C966" s="115"/>
      <c r="D966" s="115"/>
      <c r="E966" s="115"/>
      <c r="F966" s="118"/>
      <c r="G966" s="115"/>
      <c r="H966" s="115"/>
      <c r="I966" s="115"/>
      <c r="J966" s="117"/>
      <c r="K966" s="115"/>
      <c r="L966" s="115"/>
      <c r="M966" s="115"/>
      <c r="N966" s="115"/>
      <c r="O966" s="118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 spans="1:26" ht="15.75" customHeight="1" x14ac:dyDescent="0.2">
      <c r="A967" s="117"/>
      <c r="B967" s="115"/>
      <c r="C967" s="115"/>
      <c r="D967" s="115"/>
      <c r="E967" s="115"/>
      <c r="F967" s="118"/>
      <c r="G967" s="115"/>
      <c r="H967" s="115"/>
      <c r="I967" s="115"/>
      <c r="J967" s="117"/>
      <c r="K967" s="115"/>
      <c r="L967" s="115"/>
      <c r="M967" s="115"/>
      <c r="N967" s="115"/>
      <c r="O967" s="118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 spans="1:26" ht="15.75" customHeight="1" x14ac:dyDescent="0.2">
      <c r="A968" s="117"/>
      <c r="B968" s="115"/>
      <c r="C968" s="115"/>
      <c r="D968" s="115"/>
      <c r="E968" s="115"/>
      <c r="F968" s="118"/>
      <c r="G968" s="115"/>
      <c r="H968" s="115"/>
      <c r="I968" s="115"/>
      <c r="J968" s="117"/>
      <c r="K968" s="115"/>
      <c r="L968" s="115"/>
      <c r="M968" s="115"/>
      <c r="N968" s="115"/>
      <c r="O968" s="118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 spans="1:26" ht="15.75" customHeight="1" x14ac:dyDescent="0.2">
      <c r="A969" s="117"/>
      <c r="B969" s="115"/>
      <c r="C969" s="115"/>
      <c r="D969" s="115"/>
      <c r="E969" s="115"/>
      <c r="F969" s="118"/>
      <c r="G969" s="115"/>
      <c r="H969" s="115"/>
      <c r="I969" s="115"/>
      <c r="J969" s="117"/>
      <c r="K969" s="115"/>
      <c r="L969" s="115"/>
      <c r="M969" s="115"/>
      <c r="N969" s="115"/>
      <c r="O969" s="118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 spans="1:26" ht="15.75" customHeight="1" x14ac:dyDescent="0.2">
      <c r="A970" s="117"/>
      <c r="B970" s="115"/>
      <c r="C970" s="115"/>
      <c r="D970" s="115"/>
      <c r="E970" s="115"/>
      <c r="F970" s="118"/>
      <c r="G970" s="115"/>
      <c r="H970" s="115"/>
      <c r="I970" s="115"/>
      <c r="J970" s="117"/>
      <c r="K970" s="115"/>
      <c r="L970" s="115"/>
      <c r="M970" s="115"/>
      <c r="N970" s="115"/>
      <c r="O970" s="118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 spans="1:26" ht="15.75" customHeight="1" x14ac:dyDescent="0.2">
      <c r="A971" s="117"/>
      <c r="B971" s="115"/>
      <c r="C971" s="115"/>
      <c r="D971" s="115"/>
      <c r="E971" s="115"/>
      <c r="F971" s="118"/>
      <c r="G971" s="115"/>
      <c r="H971" s="115"/>
      <c r="I971" s="115"/>
      <c r="J971" s="117"/>
      <c r="K971" s="115"/>
      <c r="L971" s="115"/>
      <c r="M971" s="115"/>
      <c r="N971" s="115"/>
      <c r="O971" s="118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 spans="1:26" ht="15.75" customHeight="1" x14ac:dyDescent="0.2">
      <c r="A972" s="117"/>
      <c r="B972" s="115"/>
      <c r="C972" s="115"/>
      <c r="D972" s="115"/>
      <c r="E972" s="115"/>
      <c r="F972" s="118"/>
      <c r="G972" s="115"/>
      <c r="H972" s="115"/>
      <c r="I972" s="115"/>
      <c r="J972" s="117"/>
      <c r="K972" s="115"/>
      <c r="L972" s="115"/>
      <c r="M972" s="115"/>
      <c r="N972" s="115"/>
      <c r="O972" s="118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 spans="1:26" ht="15.75" customHeight="1" x14ac:dyDescent="0.2">
      <c r="A973" s="117"/>
      <c r="B973" s="115"/>
      <c r="C973" s="115"/>
      <c r="D973" s="115"/>
      <c r="E973" s="115"/>
      <c r="F973" s="118"/>
      <c r="G973" s="115"/>
      <c r="H973" s="115"/>
      <c r="I973" s="115"/>
      <c r="J973" s="117"/>
      <c r="K973" s="115"/>
      <c r="L973" s="115"/>
      <c r="M973" s="115"/>
      <c r="N973" s="115"/>
      <c r="O973" s="118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 spans="1:26" ht="15.75" customHeight="1" x14ac:dyDescent="0.2">
      <c r="A974" s="117"/>
      <c r="B974" s="115"/>
      <c r="C974" s="115"/>
      <c r="D974" s="115"/>
      <c r="E974" s="115"/>
      <c r="F974" s="118"/>
      <c r="G974" s="115"/>
      <c r="H974" s="115"/>
      <c r="I974" s="115"/>
      <c r="J974" s="117"/>
      <c r="K974" s="115"/>
      <c r="L974" s="115"/>
      <c r="M974" s="115"/>
      <c r="N974" s="115"/>
      <c r="O974" s="118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 spans="1:26" ht="15.75" customHeight="1" x14ac:dyDescent="0.2">
      <c r="A975" s="117"/>
      <c r="B975" s="115"/>
      <c r="C975" s="115"/>
      <c r="D975" s="115"/>
      <c r="E975" s="115"/>
      <c r="F975" s="118"/>
      <c r="G975" s="115"/>
      <c r="H975" s="115"/>
      <c r="I975" s="115"/>
      <c r="J975" s="117"/>
      <c r="K975" s="115"/>
      <c r="L975" s="115"/>
      <c r="M975" s="115"/>
      <c r="N975" s="115"/>
      <c r="O975" s="118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 spans="1:26" ht="15.75" customHeight="1" x14ac:dyDescent="0.2">
      <c r="A976" s="117"/>
      <c r="B976" s="115"/>
      <c r="C976" s="115"/>
      <c r="D976" s="115"/>
      <c r="E976" s="115"/>
      <c r="F976" s="118"/>
      <c r="G976" s="115"/>
      <c r="H976" s="115"/>
      <c r="I976" s="115"/>
      <c r="J976" s="117"/>
      <c r="K976" s="115"/>
      <c r="L976" s="115"/>
      <c r="M976" s="115"/>
      <c r="N976" s="115"/>
      <c r="O976" s="118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 spans="1:26" ht="15.75" customHeight="1" x14ac:dyDescent="0.2">
      <c r="A977" s="117"/>
      <c r="B977" s="115"/>
      <c r="C977" s="115"/>
      <c r="D977" s="115"/>
      <c r="E977" s="115"/>
      <c r="F977" s="118"/>
      <c r="G977" s="115"/>
      <c r="H977" s="115"/>
      <c r="I977" s="115"/>
      <c r="J977" s="117"/>
      <c r="K977" s="115"/>
      <c r="L977" s="115"/>
      <c r="M977" s="115"/>
      <c r="N977" s="115"/>
      <c r="O977" s="118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 spans="1:26" ht="15.75" customHeight="1" x14ac:dyDescent="0.2">
      <c r="A978" s="117"/>
      <c r="B978" s="115"/>
      <c r="C978" s="115"/>
      <c r="D978" s="115"/>
      <c r="E978" s="115"/>
      <c r="F978" s="118"/>
      <c r="G978" s="115"/>
      <c r="H978" s="115"/>
      <c r="I978" s="115"/>
      <c r="J978" s="117"/>
      <c r="K978" s="115"/>
      <c r="L978" s="115"/>
      <c r="M978" s="115"/>
      <c r="N978" s="115"/>
      <c r="O978" s="118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 spans="1:26" ht="15.75" customHeight="1" x14ac:dyDescent="0.2">
      <c r="A979" s="117"/>
      <c r="B979" s="115"/>
      <c r="C979" s="115"/>
      <c r="D979" s="115"/>
      <c r="E979" s="115"/>
      <c r="F979" s="118"/>
      <c r="G979" s="115"/>
      <c r="H979" s="115"/>
      <c r="I979" s="115"/>
      <c r="J979" s="117"/>
      <c r="K979" s="115"/>
      <c r="L979" s="115"/>
      <c r="M979" s="115"/>
      <c r="N979" s="115"/>
      <c r="O979" s="118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 spans="1:26" ht="15.75" customHeight="1" x14ac:dyDescent="0.2">
      <c r="A980" s="117"/>
      <c r="B980" s="115"/>
      <c r="C980" s="115"/>
      <c r="D980" s="115"/>
      <c r="E980" s="115"/>
      <c r="F980" s="118"/>
      <c r="G980" s="115"/>
      <c r="H980" s="115"/>
      <c r="I980" s="115"/>
      <c r="J980" s="117"/>
      <c r="K980" s="115"/>
      <c r="L980" s="115"/>
      <c r="M980" s="115"/>
      <c r="N980" s="115"/>
      <c r="O980" s="118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 spans="1:26" ht="15.75" customHeight="1" x14ac:dyDescent="0.2">
      <c r="A981" s="117"/>
      <c r="B981" s="115"/>
      <c r="C981" s="115"/>
      <c r="D981" s="115"/>
      <c r="E981" s="115"/>
      <c r="F981" s="118"/>
      <c r="G981" s="115"/>
      <c r="H981" s="115"/>
      <c r="I981" s="115"/>
      <c r="J981" s="117"/>
      <c r="K981" s="115"/>
      <c r="L981" s="115"/>
      <c r="M981" s="115"/>
      <c r="N981" s="115"/>
      <c r="O981" s="118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 spans="1:26" ht="15.75" customHeight="1" x14ac:dyDescent="0.2">
      <c r="A982" s="117"/>
      <c r="B982" s="115"/>
      <c r="C982" s="115"/>
      <c r="D982" s="115"/>
      <c r="E982" s="115"/>
      <c r="F982" s="118"/>
      <c r="G982" s="115"/>
      <c r="H982" s="115"/>
      <c r="I982" s="115"/>
      <c r="J982" s="117"/>
      <c r="K982" s="115"/>
      <c r="L982" s="115"/>
      <c r="M982" s="115"/>
      <c r="N982" s="115"/>
      <c r="O982" s="118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 spans="1:26" ht="15.75" customHeight="1" x14ac:dyDescent="0.2">
      <c r="A983" s="117"/>
      <c r="B983" s="115"/>
      <c r="C983" s="115"/>
      <c r="D983" s="115"/>
      <c r="E983" s="115"/>
      <c r="F983" s="118"/>
      <c r="G983" s="115"/>
      <c r="H983" s="115"/>
      <c r="I983" s="115"/>
      <c r="J983" s="117"/>
      <c r="K983" s="115"/>
      <c r="L983" s="115"/>
      <c r="M983" s="115"/>
      <c r="N983" s="115"/>
      <c r="O983" s="118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 spans="1:26" ht="15.75" customHeight="1" x14ac:dyDescent="0.2">
      <c r="A984" s="117"/>
      <c r="B984" s="115"/>
      <c r="C984" s="115"/>
      <c r="D984" s="115"/>
      <c r="E984" s="115"/>
      <c r="F984" s="118"/>
      <c r="G984" s="115"/>
      <c r="H984" s="115"/>
      <c r="I984" s="115"/>
      <c r="J984" s="117"/>
      <c r="K984" s="115"/>
      <c r="L984" s="115"/>
      <c r="M984" s="115"/>
      <c r="N984" s="115"/>
      <c r="O984" s="118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 spans="1:26" ht="15.75" customHeight="1" x14ac:dyDescent="0.2">
      <c r="A985" s="117"/>
      <c r="B985" s="115"/>
      <c r="C985" s="115"/>
      <c r="D985" s="115"/>
      <c r="E985" s="115"/>
      <c r="F985" s="118"/>
      <c r="G985" s="115"/>
      <c r="H985" s="115"/>
      <c r="I985" s="115"/>
      <c r="J985" s="117"/>
      <c r="K985" s="115"/>
      <c r="L985" s="115"/>
      <c r="M985" s="115"/>
      <c r="N985" s="115"/>
      <c r="O985" s="118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 spans="1:26" ht="15.75" customHeight="1" x14ac:dyDescent="0.2">
      <c r="A986" s="117"/>
      <c r="B986" s="115"/>
      <c r="C986" s="115"/>
      <c r="D986" s="115"/>
      <c r="E986" s="115"/>
      <c r="F986" s="118"/>
      <c r="G986" s="115"/>
      <c r="H986" s="115"/>
      <c r="I986" s="115"/>
      <c r="J986" s="117"/>
      <c r="K986" s="115"/>
      <c r="L986" s="115"/>
      <c r="M986" s="115"/>
      <c r="N986" s="115"/>
      <c r="O986" s="118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 spans="1:26" ht="15.75" customHeight="1" x14ac:dyDescent="0.2">
      <c r="A987" s="117"/>
      <c r="B987" s="115"/>
      <c r="C987" s="115"/>
      <c r="D987" s="115"/>
      <c r="E987" s="115"/>
      <c r="F987" s="118"/>
      <c r="G987" s="115"/>
      <c r="H987" s="115"/>
      <c r="I987" s="115"/>
      <c r="J987" s="117"/>
      <c r="K987" s="115"/>
      <c r="L987" s="115"/>
      <c r="M987" s="115"/>
      <c r="N987" s="115"/>
      <c r="O987" s="118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 spans="1:26" ht="15.75" customHeight="1" x14ac:dyDescent="0.2">
      <c r="A988" s="117"/>
      <c r="B988" s="115"/>
      <c r="C988" s="115"/>
      <c r="D988" s="115"/>
      <c r="E988" s="115"/>
      <c r="F988" s="118"/>
      <c r="G988" s="115"/>
      <c r="H988" s="115"/>
      <c r="I988" s="115"/>
      <c r="J988" s="117"/>
      <c r="K988" s="115"/>
      <c r="L988" s="115"/>
      <c r="M988" s="115"/>
      <c r="N988" s="115"/>
      <c r="O988" s="118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 spans="1:26" ht="15.75" customHeight="1" x14ac:dyDescent="0.2">
      <c r="A989" s="117"/>
      <c r="B989" s="115"/>
      <c r="C989" s="115"/>
      <c r="D989" s="115"/>
      <c r="E989" s="115"/>
      <c r="F989" s="118"/>
      <c r="G989" s="115"/>
      <c r="H989" s="115"/>
      <c r="I989" s="115"/>
      <c r="J989" s="117"/>
      <c r="K989" s="115"/>
      <c r="L989" s="115"/>
      <c r="M989" s="115"/>
      <c r="N989" s="115"/>
      <c r="O989" s="118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 spans="1:26" ht="15.75" customHeight="1" x14ac:dyDescent="0.2">
      <c r="A990" s="117"/>
      <c r="B990" s="115"/>
      <c r="C990" s="115"/>
      <c r="D990" s="115"/>
      <c r="E990" s="115"/>
      <c r="F990" s="118"/>
      <c r="G990" s="115"/>
      <c r="H990" s="115"/>
      <c r="I990" s="115"/>
      <c r="J990" s="117"/>
      <c r="K990" s="115"/>
      <c r="L990" s="115"/>
      <c r="M990" s="115"/>
      <c r="N990" s="115"/>
      <c r="O990" s="118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 spans="1:26" ht="15.75" customHeight="1" x14ac:dyDescent="0.2">
      <c r="A991" s="117"/>
      <c r="B991" s="115"/>
      <c r="C991" s="115"/>
      <c r="D991" s="115"/>
      <c r="E991" s="115"/>
      <c r="F991" s="118"/>
      <c r="G991" s="115"/>
      <c r="H991" s="115"/>
      <c r="I991" s="115"/>
      <c r="J991" s="117"/>
      <c r="K991" s="115"/>
      <c r="L991" s="115"/>
      <c r="M991" s="115"/>
      <c r="N991" s="115"/>
      <c r="O991" s="118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 spans="1:26" ht="15.75" customHeight="1" x14ac:dyDescent="0.2">
      <c r="A992" s="117"/>
      <c r="B992" s="115"/>
      <c r="C992" s="115"/>
      <c r="D992" s="115"/>
      <c r="E992" s="115"/>
      <c r="F992" s="118"/>
      <c r="G992" s="115"/>
      <c r="H992" s="115"/>
      <c r="I992" s="115"/>
      <c r="J992" s="117"/>
      <c r="K992" s="115"/>
      <c r="L992" s="115"/>
      <c r="M992" s="115"/>
      <c r="N992" s="115"/>
      <c r="O992" s="118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 spans="1:26" ht="15.75" customHeight="1" x14ac:dyDescent="0.2">
      <c r="A993" s="117"/>
      <c r="B993" s="115"/>
      <c r="C993" s="115"/>
      <c r="D993" s="115"/>
      <c r="E993" s="115"/>
      <c r="F993" s="118"/>
      <c r="G993" s="115"/>
      <c r="H993" s="115"/>
      <c r="I993" s="115"/>
      <c r="J993" s="117"/>
      <c r="K993" s="115"/>
      <c r="L993" s="115"/>
      <c r="M993" s="115"/>
      <c r="N993" s="115"/>
      <c r="O993" s="118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 spans="1:26" ht="15.75" customHeight="1" x14ac:dyDescent="0.2">
      <c r="A994" s="117"/>
      <c r="B994" s="115"/>
      <c r="C994" s="115"/>
      <c r="D994" s="115"/>
      <c r="E994" s="115"/>
      <c r="F994" s="118"/>
      <c r="G994" s="115"/>
      <c r="H994" s="115"/>
      <c r="I994" s="115"/>
      <c r="J994" s="117"/>
      <c r="K994" s="115"/>
      <c r="L994" s="115"/>
      <c r="M994" s="115"/>
      <c r="N994" s="115"/>
      <c r="O994" s="118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 spans="1:26" ht="15.75" customHeight="1" x14ac:dyDescent="0.2">
      <c r="A995" s="117"/>
      <c r="B995" s="115"/>
      <c r="C995" s="115"/>
      <c r="D995" s="115"/>
      <c r="E995" s="115"/>
      <c r="F995" s="118"/>
      <c r="G995" s="115"/>
      <c r="H995" s="115"/>
      <c r="I995" s="115"/>
      <c r="J995" s="117"/>
      <c r="K995" s="115"/>
      <c r="L995" s="115"/>
      <c r="M995" s="115"/>
      <c r="N995" s="115"/>
      <c r="O995" s="118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 spans="1:26" ht="15.75" customHeight="1" x14ac:dyDescent="0.2">
      <c r="A996" s="117"/>
      <c r="B996" s="115"/>
      <c r="C996" s="115"/>
      <c r="D996" s="115"/>
      <c r="E996" s="115"/>
      <c r="F996" s="118"/>
      <c r="G996" s="115"/>
      <c r="H996" s="115"/>
      <c r="I996" s="115"/>
      <c r="J996" s="117"/>
      <c r="K996" s="115"/>
      <c r="L996" s="115"/>
      <c r="M996" s="115"/>
      <c r="N996" s="115"/>
      <c r="O996" s="118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 spans="1:26" ht="15.75" customHeight="1" x14ac:dyDescent="0.2">
      <c r="A997" s="117"/>
      <c r="B997" s="115"/>
      <c r="C997" s="115"/>
      <c r="D997" s="115"/>
      <c r="E997" s="115"/>
      <c r="F997" s="118"/>
      <c r="G997" s="115"/>
      <c r="H997" s="115"/>
      <c r="I997" s="115"/>
      <c r="J997" s="117"/>
      <c r="K997" s="115"/>
      <c r="L997" s="115"/>
      <c r="M997" s="115"/>
      <c r="N997" s="115"/>
      <c r="O997" s="118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 spans="1:26" ht="15.75" customHeight="1" x14ac:dyDescent="0.2">
      <c r="A998" s="117"/>
      <c r="B998" s="115"/>
      <c r="C998" s="115"/>
      <c r="D998" s="115"/>
      <c r="E998" s="115"/>
      <c r="F998" s="118"/>
      <c r="G998" s="115"/>
      <c r="H998" s="115"/>
      <c r="I998" s="115"/>
      <c r="J998" s="117"/>
      <c r="K998" s="115"/>
      <c r="L998" s="115"/>
      <c r="M998" s="115"/>
      <c r="N998" s="115"/>
      <c r="O998" s="118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 spans="1:26" ht="15.75" customHeight="1" x14ac:dyDescent="0.2">
      <c r="A999" s="117"/>
      <c r="B999" s="115"/>
      <c r="C999" s="115"/>
      <c r="D999" s="115"/>
      <c r="E999" s="115"/>
      <c r="F999" s="118"/>
      <c r="G999" s="115"/>
      <c r="H999" s="115"/>
      <c r="I999" s="115"/>
      <c r="J999" s="117"/>
      <c r="K999" s="115"/>
      <c r="L999" s="115"/>
      <c r="M999" s="115"/>
      <c r="N999" s="115"/>
      <c r="O999" s="118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 spans="1:26" ht="15.75" customHeight="1" x14ac:dyDescent="0.2">
      <c r="A1000" s="117"/>
      <c r="B1000" s="115"/>
      <c r="C1000" s="115"/>
      <c r="D1000" s="115"/>
      <c r="E1000" s="115"/>
      <c r="F1000" s="118"/>
      <c r="G1000" s="115"/>
      <c r="H1000" s="115"/>
      <c r="I1000" s="115"/>
      <c r="J1000" s="117"/>
      <c r="K1000" s="115"/>
      <c r="L1000" s="115"/>
      <c r="M1000" s="115"/>
      <c r="N1000" s="115"/>
      <c r="O1000" s="118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mergeCells count="4">
    <mergeCell ref="A1:H1"/>
    <mergeCell ref="J1:Q1"/>
    <mergeCell ref="A2:H2"/>
    <mergeCell ref="J2:Q2"/>
  </mergeCells>
  <conditionalFormatting sqref="C11:C22">
    <cfRule type="cellIs" dxfId="10" priority="8" operator="greaterThan">
      <formula>1999999</formula>
    </cfRule>
  </conditionalFormatting>
  <conditionalFormatting sqref="D11:E22">
    <cfRule type="cellIs" dxfId="9" priority="6" operator="between">
      <formula>3000000000</formula>
      <formula>4000000000</formula>
    </cfRule>
    <cfRule type="cellIs" dxfId="8" priority="7" operator="greaterThan">
      <formula>4000000000</formula>
    </cfRule>
  </conditionalFormatting>
  <conditionalFormatting sqref="L11:L22">
    <cfRule type="cellIs" dxfId="7" priority="3" operator="greaterThan">
      <formula>1999999</formula>
    </cfRule>
  </conditionalFormatting>
  <conditionalFormatting sqref="M11:M12 M13:N22">
    <cfRule type="cellIs" dxfId="6" priority="1" operator="between">
      <formula>3000000000</formula>
      <formula>4000000000</formula>
    </cfRule>
    <cfRule type="cellIs" dxfId="5" priority="2" operator="greaterThan">
      <formula>4000000000</formula>
    </cfRule>
  </conditionalFormatting>
  <conditionalFormatting sqref="N11:N22">
    <cfRule type="cellIs" dxfId="4" priority="15" operator="between">
      <formula>3000000000</formula>
      <formula>4000000000</formula>
    </cfRule>
    <cfRule type="cellIs" dxfId="3" priority="16" operator="greaterThan">
      <formula>4000000000</formula>
    </cfRule>
  </conditionalFormatting>
  <conditionalFormatting sqref="W21:W22">
    <cfRule type="cellIs" dxfId="2" priority="11" operator="between">
      <formula>3000000000</formula>
      <formula>4000000000</formula>
    </cfRule>
    <cfRule type="cellIs" dxfId="1" priority="12" operator="greaterThan">
      <formula>4000000000</formula>
    </cfRule>
  </conditionalFormatting>
  <printOptions horizontalCentered="1" verticalCentered="1"/>
  <pageMargins left="0.11811023622047245" right="0.11811023622047245" top="0.74803149606299213" bottom="0.74803149606299213" header="0.31496062992125984" footer="0.31496062992125984"/>
  <pageSetup paperSize="9" scale="9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1D59-32E8-4CD9-B48B-D97FE03C2DC2}">
  <sheetPr codeName="Sheet14"/>
  <dimension ref="A1:Y1"/>
  <sheetViews>
    <sheetView workbookViewId="0">
      <selection activeCell="B1212" sqref="A2:XFD1212"/>
    </sheetView>
  </sheetViews>
  <sheetFormatPr baseColWidth="10" defaultColWidth="8.83203125" defaultRowHeight="15" x14ac:dyDescent="0.2"/>
  <cols>
    <col min="23" max="24" width="15.33203125" bestFit="1" customWidth="1"/>
    <col min="25" max="25" width="14.33203125" bestFit="1" customWidth="1"/>
  </cols>
  <sheetData>
    <row r="1" spans="1:25" x14ac:dyDescent="0.2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283</v>
      </c>
      <c r="Q1" t="s">
        <v>284</v>
      </c>
      <c r="R1" t="s">
        <v>285</v>
      </c>
      <c r="S1" t="s">
        <v>286</v>
      </c>
      <c r="W1" t="s">
        <v>277</v>
      </c>
      <c r="X1" t="s">
        <v>278</v>
      </c>
      <c r="Y1" t="s">
        <v>279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0FEC-A2BF-4E6B-B6B3-2A10FE0C932A}">
  <sheetPr codeName="Sheet15">
    <tabColor rgb="FFFFC000"/>
  </sheetPr>
  <dimension ref="A1:L28"/>
  <sheetViews>
    <sheetView zoomScale="70" zoomScaleNormal="70" workbookViewId="0">
      <selection activeCell="E26" sqref="E26"/>
    </sheetView>
  </sheetViews>
  <sheetFormatPr baseColWidth="10" defaultColWidth="8.83203125" defaultRowHeight="15" customHeight="1" outlineLevelRow="1" outlineLevelCol="1" x14ac:dyDescent="0.2"/>
  <cols>
    <col min="1" max="1" width="40.5" bestFit="1" customWidth="1"/>
    <col min="2" max="2" width="33.5" customWidth="1"/>
    <col min="3" max="3" width="43" customWidth="1" outlineLevel="1"/>
    <col min="4" max="4" width="44.33203125" style="72" customWidth="1" outlineLevel="1"/>
    <col min="5" max="5" width="12.6640625" style="72" customWidth="1"/>
    <col min="6" max="6" width="20.5" bestFit="1" customWidth="1"/>
    <col min="7" max="7" width="30.83203125" bestFit="1" customWidth="1"/>
    <col min="9" max="9" width="4.1640625" customWidth="1"/>
    <col min="11" max="11" width="19.1640625" bestFit="1" customWidth="1"/>
    <col min="12" max="12" width="29.1640625" bestFit="1" customWidth="1"/>
  </cols>
  <sheetData>
    <row r="1" spans="1:12" x14ac:dyDescent="0.2">
      <c r="A1" s="39" t="s">
        <v>925</v>
      </c>
      <c r="B1" s="39" t="s">
        <v>926</v>
      </c>
      <c r="C1" s="39" t="s">
        <v>927</v>
      </c>
      <c r="D1" s="157" t="s">
        <v>928</v>
      </c>
      <c r="E1" s="157" t="s">
        <v>929</v>
      </c>
      <c r="F1" s="39" t="s">
        <v>930</v>
      </c>
      <c r="G1" s="39" t="s">
        <v>931</v>
      </c>
      <c r="K1" s="39" t="s">
        <v>930</v>
      </c>
      <c r="L1" s="39" t="s">
        <v>931</v>
      </c>
    </row>
    <row r="2" spans="1:12" outlineLevel="1" x14ac:dyDescent="0.2">
      <c r="A2" t="s">
        <v>713</v>
      </c>
      <c r="B2" t="s">
        <v>758</v>
      </c>
      <c r="C2" t="s">
        <v>932</v>
      </c>
      <c r="D2" s="158">
        <v>45688</v>
      </c>
      <c r="E2" s="72" t="s">
        <v>933</v>
      </c>
      <c r="F2" s="159">
        <v>2526316</v>
      </c>
      <c r="G2" s="159">
        <v>126316</v>
      </c>
      <c r="H2">
        <v>1</v>
      </c>
      <c r="J2">
        <v>1</v>
      </c>
      <c r="K2">
        <f t="shared" ref="K2:K12" si="0">SUMIFS($F$1:$F$9,$H$1:$H$9,$J2)</f>
        <v>2526316</v>
      </c>
      <c r="L2">
        <f t="shared" ref="L2:L12" si="1">SUMIFS($G$1:$G$9,$H$1:$H$9,$J2)</f>
        <v>126316</v>
      </c>
    </row>
    <row r="3" spans="1:12" outlineLevel="1" x14ac:dyDescent="0.2">
      <c r="A3" t="s">
        <v>934</v>
      </c>
      <c r="B3" t="s">
        <v>935</v>
      </c>
      <c r="C3" t="s">
        <v>936</v>
      </c>
      <c r="D3" s="158">
        <v>45869</v>
      </c>
      <c r="E3" s="72" t="s">
        <v>933</v>
      </c>
      <c r="F3" s="159">
        <v>500000</v>
      </c>
      <c r="G3" s="159">
        <v>12500</v>
      </c>
      <c r="H3">
        <v>7</v>
      </c>
      <c r="J3">
        <v>2</v>
      </c>
      <c r="K3">
        <f t="shared" si="0"/>
        <v>0</v>
      </c>
      <c r="L3">
        <f t="shared" si="1"/>
        <v>0</v>
      </c>
    </row>
    <row r="4" spans="1:12" outlineLevel="1" x14ac:dyDescent="0.2">
      <c r="A4" t="s">
        <v>937</v>
      </c>
      <c r="B4" t="s">
        <v>938</v>
      </c>
      <c r="C4" t="s">
        <v>939</v>
      </c>
      <c r="D4" s="158">
        <v>45991</v>
      </c>
      <c r="E4" s="72" t="s">
        <v>933</v>
      </c>
      <c r="F4" s="159">
        <v>44393684</v>
      </c>
      <c r="G4" s="159">
        <v>2219684</v>
      </c>
      <c r="H4">
        <v>11</v>
      </c>
      <c r="J4">
        <v>3</v>
      </c>
      <c r="K4">
        <f t="shared" si="0"/>
        <v>0</v>
      </c>
      <c r="L4">
        <f t="shared" si="1"/>
        <v>0</v>
      </c>
    </row>
    <row r="5" spans="1:12" outlineLevel="1" x14ac:dyDescent="0.2">
      <c r="A5" t="s">
        <v>937</v>
      </c>
      <c r="B5" t="s">
        <v>938</v>
      </c>
      <c r="C5" t="s">
        <v>940</v>
      </c>
      <c r="D5" s="158">
        <v>45991</v>
      </c>
      <c r="E5" s="72" t="s">
        <v>933</v>
      </c>
      <c r="F5" s="159">
        <v>3631579</v>
      </c>
      <c r="G5" s="159">
        <v>181579</v>
      </c>
      <c r="H5">
        <v>11</v>
      </c>
      <c r="J5">
        <v>4</v>
      </c>
      <c r="K5">
        <f t="shared" si="0"/>
        <v>0</v>
      </c>
      <c r="L5">
        <f t="shared" si="1"/>
        <v>0</v>
      </c>
    </row>
    <row r="6" spans="1:12" outlineLevel="1" x14ac:dyDescent="0.2">
      <c r="A6" t="s">
        <v>937</v>
      </c>
      <c r="B6" t="s">
        <v>938</v>
      </c>
      <c r="C6" t="s">
        <v>941</v>
      </c>
      <c r="D6" s="158">
        <v>45991</v>
      </c>
      <c r="E6" s="72" t="s">
        <v>933</v>
      </c>
      <c r="F6" s="159">
        <v>51167368</v>
      </c>
      <c r="G6" s="159">
        <v>2558368</v>
      </c>
      <c r="H6">
        <v>11</v>
      </c>
      <c r="J6">
        <v>5</v>
      </c>
      <c r="K6">
        <f t="shared" si="0"/>
        <v>0</v>
      </c>
      <c r="L6">
        <f t="shared" si="1"/>
        <v>0</v>
      </c>
    </row>
    <row r="7" spans="1:12" outlineLevel="1" x14ac:dyDescent="0.2">
      <c r="A7" t="s">
        <v>937</v>
      </c>
      <c r="B7" t="s">
        <v>938</v>
      </c>
      <c r="C7" t="s">
        <v>942</v>
      </c>
      <c r="D7" s="158">
        <v>45991</v>
      </c>
      <c r="E7" s="72" t="s">
        <v>933</v>
      </c>
      <c r="F7" s="159">
        <v>3631579</v>
      </c>
      <c r="G7" s="159">
        <v>181579</v>
      </c>
      <c r="H7">
        <v>11</v>
      </c>
      <c r="J7">
        <v>6</v>
      </c>
      <c r="K7">
        <f t="shared" si="0"/>
        <v>0</v>
      </c>
      <c r="L7">
        <f t="shared" si="1"/>
        <v>0</v>
      </c>
    </row>
    <row r="8" spans="1:12" outlineLevel="1" x14ac:dyDescent="0.2">
      <c r="D8" s="158"/>
      <c r="F8" s="159"/>
      <c r="G8" s="159"/>
      <c r="J8">
        <v>7</v>
      </c>
      <c r="K8">
        <f t="shared" si="0"/>
        <v>500000</v>
      </c>
      <c r="L8">
        <f t="shared" si="1"/>
        <v>12500</v>
      </c>
    </row>
    <row r="9" spans="1:12" outlineLevel="1" x14ac:dyDescent="0.2">
      <c r="A9" s="440" t="s">
        <v>943</v>
      </c>
      <c r="B9" s="440"/>
      <c r="C9" s="440"/>
      <c r="D9" s="440"/>
      <c r="E9" s="440"/>
      <c r="F9" s="160">
        <f>SUM(F2:F8)</f>
        <v>105850526</v>
      </c>
      <c r="G9" s="160">
        <f>SUM(G2:G8)</f>
        <v>5280026</v>
      </c>
      <c r="J9">
        <v>8</v>
      </c>
      <c r="K9">
        <f t="shared" si="0"/>
        <v>0</v>
      </c>
      <c r="L9">
        <f t="shared" si="1"/>
        <v>0</v>
      </c>
    </row>
    <row r="10" spans="1:12" outlineLevel="1" x14ac:dyDescent="0.2">
      <c r="A10" s="441" t="s">
        <v>944</v>
      </c>
      <c r="B10" s="441"/>
      <c r="C10" s="441"/>
      <c r="D10" s="441"/>
      <c r="E10" s="441"/>
      <c r="F10" s="163">
        <f>F9*50%</f>
        <v>52925263</v>
      </c>
      <c r="G10" s="163">
        <f>G9</f>
        <v>5280026</v>
      </c>
      <c r="J10">
        <v>9</v>
      </c>
      <c r="K10">
        <f t="shared" si="0"/>
        <v>0</v>
      </c>
      <c r="L10">
        <f t="shared" si="1"/>
        <v>0</v>
      </c>
    </row>
    <row r="11" spans="1:12" outlineLevel="1" x14ac:dyDescent="0.2">
      <c r="F11" s="161"/>
      <c r="G11" s="161"/>
      <c r="J11">
        <v>10</v>
      </c>
      <c r="K11">
        <f t="shared" si="0"/>
        <v>0</v>
      </c>
      <c r="L11">
        <f t="shared" si="1"/>
        <v>0</v>
      </c>
    </row>
    <row r="12" spans="1:12" outlineLevel="1" x14ac:dyDescent="0.2">
      <c r="A12" t="s">
        <v>945</v>
      </c>
      <c r="B12" t="s">
        <v>946</v>
      </c>
      <c r="C12" t="s">
        <v>947</v>
      </c>
      <c r="D12" s="158">
        <v>46038</v>
      </c>
      <c r="E12" s="72" t="s">
        <v>948</v>
      </c>
      <c r="F12" s="46">
        <v>117000000</v>
      </c>
      <c r="G12" s="46">
        <v>2407500</v>
      </c>
      <c r="J12">
        <v>11</v>
      </c>
      <c r="K12">
        <f t="shared" si="0"/>
        <v>102824210</v>
      </c>
      <c r="L12">
        <f t="shared" si="1"/>
        <v>5141210</v>
      </c>
    </row>
    <row r="13" spans="1:12" outlineLevel="1" x14ac:dyDescent="0.2">
      <c r="E13" s="72" t="s">
        <v>1031</v>
      </c>
      <c r="F13" s="46">
        <v>5850000</v>
      </c>
      <c r="G13" s="46"/>
      <c r="K13">
        <f ca="1">SUM(K2:K14)</f>
        <v>13467782193505</v>
      </c>
      <c r="L13">
        <f ca="1">SUM(L2:L14)</f>
        <v>671798646505</v>
      </c>
    </row>
    <row r="14" spans="1:12" outlineLevel="1" x14ac:dyDescent="0.2">
      <c r="A14" s="164"/>
      <c r="B14" s="164"/>
      <c r="C14" s="164"/>
      <c r="D14" s="162"/>
      <c r="E14" s="162" t="s">
        <v>817</v>
      </c>
      <c r="F14" s="163">
        <f>F12</f>
        <v>117000000</v>
      </c>
      <c r="G14" s="163">
        <f>G12</f>
        <v>2407500</v>
      </c>
      <c r="J14">
        <v>12</v>
      </c>
      <c r="K14">
        <f>SUMIFS($F$1:$F$9,$H$1:$H$9,$J14)</f>
        <v>0</v>
      </c>
      <c r="L14">
        <f>SUMIFS($G$1:$G$9,$H$1:$H$9,$J14)</f>
        <v>0</v>
      </c>
    </row>
    <row r="15" spans="1:12" outlineLevel="1" x14ac:dyDescent="0.2">
      <c r="F15" s="161">
        <f>F12-F13</f>
        <v>111150000</v>
      </c>
      <c r="K15">
        <f ca="1">K13*50%</f>
        <v>6733891096752.5</v>
      </c>
    </row>
    <row r="16" spans="1:12" x14ac:dyDescent="0.2">
      <c r="F16" s="161">
        <f>SUM(F10,F15)</f>
        <v>164075263</v>
      </c>
      <c r="G16" s="161">
        <f>SUM(G14,G9)</f>
        <v>7687526</v>
      </c>
    </row>
    <row r="17" spans="1:7" x14ac:dyDescent="0.2"/>
    <row r="18" spans="1:7" x14ac:dyDescent="0.2"/>
    <row r="19" spans="1:7" x14ac:dyDescent="0.2"/>
    <row r="20" spans="1:7" x14ac:dyDescent="0.2"/>
    <row r="21" spans="1:7" x14ac:dyDescent="0.2"/>
    <row r="22" spans="1:7" x14ac:dyDescent="0.2"/>
    <row r="24" spans="1:7" ht="15" customHeight="1" thickBot="1" x14ac:dyDescent="0.25">
      <c r="A24" s="312">
        <v>1</v>
      </c>
      <c r="B24" s="313" t="s">
        <v>937</v>
      </c>
      <c r="C24" s="313">
        <v>13825153073000</v>
      </c>
      <c r="D24" s="314">
        <v>51167368</v>
      </c>
      <c r="E24" s="315">
        <v>0</v>
      </c>
      <c r="F24" s="316">
        <v>51167368</v>
      </c>
      <c r="G24" s="311"/>
    </row>
    <row r="25" spans="1:7" ht="15" customHeight="1" thickBot="1" x14ac:dyDescent="0.25">
      <c r="A25" s="317"/>
      <c r="B25" s="318">
        <v>2</v>
      </c>
      <c r="C25" s="317" t="s">
        <v>937</v>
      </c>
      <c r="D25" s="317">
        <v>13825153073000</v>
      </c>
      <c r="E25" s="319">
        <v>3631579</v>
      </c>
      <c r="F25" s="320">
        <v>0</v>
      </c>
      <c r="G25" s="321">
        <v>3631579</v>
      </c>
    </row>
    <row r="26" spans="1:7" ht="15" customHeight="1" thickBot="1" x14ac:dyDescent="0.25">
      <c r="A26" s="313"/>
      <c r="B26" s="312">
        <v>3</v>
      </c>
      <c r="C26" s="313" t="s">
        <v>937</v>
      </c>
      <c r="D26" s="313">
        <v>13825153073000</v>
      </c>
      <c r="E26" s="314">
        <v>44393684</v>
      </c>
      <c r="F26" s="315">
        <v>0</v>
      </c>
      <c r="G26" s="316">
        <v>44393684</v>
      </c>
    </row>
    <row r="27" spans="1:7" ht="15" customHeight="1" thickBot="1" x14ac:dyDescent="0.25">
      <c r="A27" s="317"/>
      <c r="B27" s="318">
        <v>4</v>
      </c>
      <c r="C27" s="317" t="s">
        <v>937</v>
      </c>
      <c r="D27" s="317">
        <v>13825153073000</v>
      </c>
      <c r="E27" s="319">
        <v>3631579</v>
      </c>
      <c r="F27" s="320">
        <v>0</v>
      </c>
      <c r="G27" s="321">
        <v>3631579</v>
      </c>
    </row>
    <row r="28" spans="1:7" ht="15" customHeight="1" x14ac:dyDescent="0.2">
      <c r="A28" s="322"/>
      <c r="B28" s="323">
        <v>5</v>
      </c>
      <c r="C28" s="322" t="s">
        <v>945</v>
      </c>
      <c r="D28" s="322">
        <v>27473420047000</v>
      </c>
      <c r="E28" s="324">
        <v>117000000</v>
      </c>
      <c r="F28" s="324">
        <v>5850000</v>
      </c>
      <c r="G28" s="325">
        <v>111150000</v>
      </c>
    </row>
  </sheetData>
  <mergeCells count="2">
    <mergeCell ref="A9:E9"/>
    <mergeCell ref="A10:E10"/>
  </mergeCells>
  <conditionalFormatting sqref="C11:C23 C1:C8 C29:C1048576">
    <cfRule type="duplicateValues" dxfId="0" priority="1"/>
  </conditionalFormatting>
  <pageMargins left="0.7" right="0.7" top="0.75" bottom="0.75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E983-E110-4A5F-807C-C4C4BFBE170E}">
  <sheetPr codeName="Sheet4">
    <tabColor rgb="FFFFC000"/>
  </sheetPr>
  <dimension ref="A2:P117"/>
  <sheetViews>
    <sheetView showGridLines="0" topLeftCell="A28" zoomScale="55" zoomScaleNormal="55" workbookViewId="0">
      <selection activeCell="C41" sqref="A41:XFD55"/>
    </sheetView>
  </sheetViews>
  <sheetFormatPr baseColWidth="10" defaultColWidth="9.1640625" defaultRowHeight="14" x14ac:dyDescent="0.15"/>
  <cols>
    <col min="1" max="1" width="5.1640625" style="7" bestFit="1" customWidth="1"/>
    <col min="2" max="2" width="37.1640625" style="7" customWidth="1"/>
    <col min="3" max="3" width="57.83203125" style="7" customWidth="1"/>
    <col min="4" max="4" width="32.5" style="7" customWidth="1"/>
    <col min="5" max="5" width="34.5" style="7" bestFit="1" customWidth="1"/>
    <col min="6" max="6" width="25.6640625" style="7" bestFit="1" customWidth="1"/>
    <col min="7" max="7" width="21.33203125" style="8" customWidth="1"/>
    <col min="8" max="8" width="25.1640625" style="7" bestFit="1" customWidth="1"/>
    <col min="9" max="9" width="21.5" style="7" bestFit="1" customWidth="1"/>
    <col min="10" max="10" width="18.33203125" style="7" hidden="1" customWidth="1"/>
    <col min="11" max="11" width="19.83203125" style="7" bestFit="1" customWidth="1"/>
    <col min="12" max="12" width="18.1640625" style="7" bestFit="1" customWidth="1"/>
    <col min="13" max="13" width="12.5" style="7" bestFit="1" customWidth="1"/>
    <col min="14" max="14" width="16.5" style="7" customWidth="1"/>
    <col min="15" max="15" width="20.5" style="7" customWidth="1"/>
    <col min="16" max="16" width="25.5" style="7" customWidth="1"/>
    <col min="17" max="16384" width="9.1640625" style="7"/>
  </cols>
  <sheetData>
    <row r="2" spans="2:11" ht="15" customHeight="1" x14ac:dyDescent="0.15">
      <c r="B2" s="445" t="s">
        <v>58</v>
      </c>
      <c r="C2" s="445" t="s">
        <v>62</v>
      </c>
      <c r="D2" s="445" t="s">
        <v>92</v>
      </c>
      <c r="E2" s="445" t="s">
        <v>91</v>
      </c>
      <c r="F2" s="447" t="s">
        <v>60</v>
      </c>
      <c r="G2" s="447" t="s">
        <v>232</v>
      </c>
      <c r="H2" s="447" t="s">
        <v>201</v>
      </c>
      <c r="I2" s="447" t="s">
        <v>202</v>
      </c>
      <c r="J2" s="447" t="s">
        <v>203</v>
      </c>
    </row>
    <row r="3" spans="2:11" x14ac:dyDescent="0.15">
      <c r="B3" s="446"/>
      <c r="C3" s="446"/>
      <c r="D3" s="446"/>
      <c r="E3" s="446"/>
      <c r="F3" s="448"/>
      <c r="G3" s="448"/>
      <c r="H3" s="448"/>
      <c r="I3" s="448"/>
      <c r="J3" s="448"/>
    </row>
    <row r="4" spans="2:11" x14ac:dyDescent="0.15">
      <c r="B4" s="4"/>
      <c r="C4" s="5"/>
      <c r="D4" s="4" t="s">
        <v>527</v>
      </c>
      <c r="E4" s="4" t="s">
        <v>529</v>
      </c>
      <c r="F4" s="36">
        <v>479109679</v>
      </c>
      <c r="G4" s="64"/>
      <c r="H4" s="54">
        <v>4791096.79</v>
      </c>
      <c r="I4" s="54">
        <v>479109.679</v>
      </c>
      <c r="J4" s="54">
        <f t="shared" ref="J4:J14" si="0">H4-I4</f>
        <v>4311987.1109999996</v>
      </c>
      <c r="K4" s="4" t="s">
        <v>527</v>
      </c>
    </row>
    <row r="5" spans="2:11" x14ac:dyDescent="0.15">
      <c r="B5" s="4"/>
      <c r="C5" s="5"/>
      <c r="D5" s="4" t="s">
        <v>548</v>
      </c>
      <c r="E5" s="4" t="s">
        <v>535</v>
      </c>
      <c r="F5" s="36">
        <v>4479793691</v>
      </c>
      <c r="G5" s="64"/>
      <c r="H5" s="54">
        <v>107087680.09999999</v>
      </c>
      <c r="I5" s="54">
        <v>10708768.01</v>
      </c>
      <c r="J5" s="54">
        <f t="shared" si="0"/>
        <v>96378912.089999989</v>
      </c>
      <c r="K5" s="4" t="s">
        <v>548</v>
      </c>
    </row>
    <row r="6" spans="2:11" x14ac:dyDescent="0.15">
      <c r="B6" s="4"/>
      <c r="C6" s="5"/>
      <c r="D6" s="4" t="s">
        <v>244</v>
      </c>
      <c r="E6" s="4" t="s">
        <v>228</v>
      </c>
      <c r="F6" s="36">
        <v>2298137063</v>
      </c>
      <c r="G6" s="64"/>
      <c r="H6" s="54">
        <v>22981370.629999999</v>
      </c>
      <c r="I6" s="54">
        <v>2298137.0630000001</v>
      </c>
      <c r="J6" s="54">
        <f t="shared" si="0"/>
        <v>20683233.566999998</v>
      </c>
      <c r="K6" s="4" t="s">
        <v>244</v>
      </c>
    </row>
    <row r="7" spans="2:11" x14ac:dyDescent="0.15">
      <c r="B7" s="4"/>
      <c r="C7" s="5"/>
      <c r="D7" s="4" t="s">
        <v>607</v>
      </c>
      <c r="E7" s="4" t="s">
        <v>378</v>
      </c>
      <c r="F7" s="36">
        <v>520301174</v>
      </c>
      <c r="G7" s="64"/>
      <c r="H7" s="54">
        <v>5203011.74</v>
      </c>
      <c r="I7" s="54">
        <v>520301.17400000006</v>
      </c>
      <c r="J7" s="54">
        <f t="shared" si="0"/>
        <v>4682710.5660000006</v>
      </c>
      <c r="K7" s="4" t="s">
        <v>607</v>
      </c>
    </row>
    <row r="8" spans="2:11" x14ac:dyDescent="0.15">
      <c r="B8" s="4"/>
      <c r="C8" s="5"/>
      <c r="D8" s="4" t="s">
        <v>623</v>
      </c>
      <c r="E8" s="4" t="s">
        <v>611</v>
      </c>
      <c r="F8" s="36">
        <v>703053335</v>
      </c>
      <c r="G8" s="64"/>
      <c r="H8" s="54">
        <v>7030533.3500000006</v>
      </c>
      <c r="I8" s="54">
        <v>703053.33500000008</v>
      </c>
      <c r="J8" s="54">
        <f t="shared" si="0"/>
        <v>6327480.0150000006</v>
      </c>
      <c r="K8" s="4" t="s">
        <v>623</v>
      </c>
    </row>
    <row r="9" spans="2:11" x14ac:dyDescent="0.15">
      <c r="B9" s="4"/>
      <c r="C9" s="5"/>
      <c r="D9" s="4" t="s">
        <v>626</v>
      </c>
      <c r="E9" s="4" t="s">
        <v>624</v>
      </c>
      <c r="F9" s="36">
        <v>282662537</v>
      </c>
      <c r="G9" s="64"/>
      <c r="H9" s="54">
        <v>2826625.37</v>
      </c>
      <c r="I9" s="54">
        <v>282662.53700000001</v>
      </c>
      <c r="J9" s="54">
        <f t="shared" si="0"/>
        <v>2543962.8330000001</v>
      </c>
      <c r="K9" s="4" t="s">
        <v>626</v>
      </c>
    </row>
    <row r="10" spans="2:11" x14ac:dyDescent="0.15">
      <c r="B10" s="4"/>
      <c r="C10" s="5"/>
      <c r="D10" s="4" t="s">
        <v>1060</v>
      </c>
      <c r="E10" s="4" t="s">
        <v>383</v>
      </c>
      <c r="F10" s="36">
        <v>69884414</v>
      </c>
      <c r="G10" s="64"/>
      <c r="H10" s="54">
        <v>698844.14</v>
      </c>
      <c r="I10" s="54">
        <v>69884.414000000004</v>
      </c>
      <c r="J10" s="54">
        <f t="shared" si="0"/>
        <v>628959.72600000002</v>
      </c>
      <c r="K10" s="4" t="s">
        <v>1060</v>
      </c>
    </row>
    <row r="11" spans="2:11" x14ac:dyDescent="0.15">
      <c r="B11" s="4"/>
      <c r="C11" s="5"/>
      <c r="D11" s="4" t="s">
        <v>667</v>
      </c>
      <c r="E11" s="4" t="s">
        <v>636</v>
      </c>
      <c r="F11" s="36">
        <v>227131466</v>
      </c>
      <c r="G11" s="64"/>
      <c r="H11" s="54">
        <v>2271314.66</v>
      </c>
      <c r="I11" s="54">
        <v>227131.46600000001</v>
      </c>
      <c r="J11" s="54">
        <f t="shared" si="0"/>
        <v>2044183.1940000001</v>
      </c>
      <c r="K11" s="4" t="s">
        <v>667</v>
      </c>
    </row>
    <row r="12" spans="2:11" x14ac:dyDescent="0.15">
      <c r="B12" s="4"/>
      <c r="C12" s="5"/>
      <c r="D12" s="4" t="s">
        <v>803</v>
      </c>
      <c r="E12" s="5" t="s">
        <v>802</v>
      </c>
      <c r="F12" s="36">
        <v>289120215</v>
      </c>
      <c r="G12" s="64"/>
      <c r="H12" s="54">
        <v>2891202.15</v>
      </c>
      <c r="I12" s="54">
        <v>289120.21500000003</v>
      </c>
      <c r="J12" s="54">
        <f t="shared" si="0"/>
        <v>2602081.9350000001</v>
      </c>
      <c r="K12" s="4" t="s">
        <v>803</v>
      </c>
    </row>
    <row r="13" spans="2:11" x14ac:dyDescent="0.15">
      <c r="B13" s="4"/>
      <c r="C13" s="5"/>
      <c r="D13" s="4" t="s">
        <v>1061</v>
      </c>
      <c r="E13" s="5" t="s">
        <v>713</v>
      </c>
      <c r="F13" s="36">
        <v>96981465</v>
      </c>
      <c r="G13" s="64"/>
      <c r="H13" s="54">
        <v>969814.65</v>
      </c>
      <c r="I13" s="54">
        <v>96981.465000000011</v>
      </c>
      <c r="J13" s="54">
        <f t="shared" si="0"/>
        <v>872833.18500000006</v>
      </c>
      <c r="K13" s="4" t="s">
        <v>1061</v>
      </c>
    </row>
    <row r="14" spans="2:11" x14ac:dyDescent="0.15">
      <c r="B14" s="4"/>
      <c r="C14" s="5"/>
      <c r="D14" s="4" t="s">
        <v>785</v>
      </c>
      <c r="E14" s="5" t="s">
        <v>380</v>
      </c>
      <c r="F14" s="36">
        <v>1129652895</v>
      </c>
      <c r="G14" s="64"/>
      <c r="H14" s="54">
        <v>11296528.950000001</v>
      </c>
      <c r="I14" s="54">
        <v>1129652.8950000003</v>
      </c>
      <c r="J14" s="54">
        <f t="shared" si="0"/>
        <v>10166876.055000002</v>
      </c>
      <c r="K14" s="4" t="s">
        <v>785</v>
      </c>
    </row>
    <row r="15" spans="2:11" x14ac:dyDescent="0.15">
      <c r="B15" s="62"/>
      <c r="C15" s="63"/>
      <c r="D15" s="62"/>
      <c r="E15" s="62"/>
      <c r="F15" s="55"/>
      <c r="G15" s="65"/>
      <c r="H15" s="378">
        <f t="shared" ref="H15:I15" si="1">SUM(H4:H14)</f>
        <v>168048022.53</v>
      </c>
      <c r="I15" s="378">
        <f t="shared" si="1"/>
        <v>16804802.253000002</v>
      </c>
      <c r="J15" s="378">
        <f>SUM(J4:J14)</f>
        <v>151243220.27700001</v>
      </c>
      <c r="K15" s="62"/>
    </row>
    <row r="16" spans="2:11" x14ac:dyDescent="0.15">
      <c r="B16" s="62"/>
      <c r="C16" s="63"/>
      <c r="D16" s="62"/>
      <c r="E16" s="62"/>
      <c r="F16" s="62"/>
      <c r="G16" s="65"/>
      <c r="H16" s="55"/>
      <c r="I16" s="55"/>
      <c r="J16" s="55"/>
    </row>
    <row r="17" spans="2:12" x14ac:dyDescent="0.15">
      <c r="B17" s="62"/>
      <c r="C17" s="63"/>
      <c r="D17" s="62"/>
      <c r="E17" s="62"/>
      <c r="F17" s="62"/>
      <c r="G17" s="65"/>
      <c r="H17" s="55"/>
      <c r="I17" s="55"/>
      <c r="J17" s="55"/>
    </row>
    <row r="18" spans="2:12" x14ac:dyDescent="0.15">
      <c r="B18" s="62"/>
      <c r="C18" s="63"/>
      <c r="D18" s="62"/>
      <c r="E18" s="62"/>
      <c r="F18" s="62"/>
      <c r="G18" s="65"/>
      <c r="H18" s="55"/>
      <c r="I18" s="55"/>
      <c r="J18" s="55"/>
    </row>
    <row r="19" spans="2:12" x14ac:dyDescent="0.15">
      <c r="B19" s="62"/>
      <c r="C19" s="63"/>
      <c r="D19" s="62"/>
      <c r="E19" s="62"/>
      <c r="F19" s="62"/>
      <c r="G19" s="65"/>
      <c r="H19" s="55"/>
      <c r="I19" s="55"/>
      <c r="J19" s="55"/>
    </row>
    <row r="20" spans="2:12" x14ac:dyDescent="0.15">
      <c r="B20" s="62"/>
      <c r="C20" s="63"/>
      <c r="D20" s="62"/>
      <c r="E20" s="62"/>
      <c r="F20" s="62"/>
      <c r="G20" s="65"/>
      <c r="H20" s="55"/>
      <c r="I20" s="55"/>
      <c r="J20" s="55"/>
    </row>
    <row r="21" spans="2:12" x14ac:dyDescent="0.15">
      <c r="B21" s="9" t="s">
        <v>229</v>
      </c>
      <c r="L21" s="7">
        <v>85</v>
      </c>
    </row>
    <row r="22" spans="2:12" ht="15" customHeight="1" x14ac:dyDescent="0.15">
      <c r="B22" s="445" t="s">
        <v>58</v>
      </c>
      <c r="C22" s="445" t="s">
        <v>230</v>
      </c>
      <c r="D22" s="445" t="s">
        <v>231</v>
      </c>
      <c r="E22" s="445" t="s">
        <v>91</v>
      </c>
      <c r="F22" s="447" t="s">
        <v>60</v>
      </c>
      <c r="G22" s="447" t="s">
        <v>234</v>
      </c>
      <c r="H22" s="447" t="s">
        <v>235</v>
      </c>
      <c r="I22" s="447" t="s">
        <v>202</v>
      </c>
      <c r="J22" s="447" t="s">
        <v>203</v>
      </c>
      <c r="L22" s="7">
        <v>94</v>
      </c>
    </row>
    <row r="23" spans="2:12" ht="14.25" customHeight="1" x14ac:dyDescent="0.15">
      <c r="B23" s="446"/>
      <c r="C23" s="446"/>
      <c r="D23" s="446"/>
      <c r="E23" s="446"/>
      <c r="F23" s="448"/>
      <c r="G23" s="448"/>
      <c r="H23" s="448"/>
      <c r="I23" s="451"/>
      <c r="J23" s="451"/>
      <c r="L23" s="7">
        <f>SUM(L4:L22)</f>
        <v>179</v>
      </c>
    </row>
    <row r="24" spans="2:12" x14ac:dyDescent="0.15">
      <c r="B24" s="4"/>
      <c r="C24" s="5"/>
      <c r="D24" s="4"/>
      <c r="E24" s="4"/>
      <c r="F24" s="36"/>
      <c r="G24" s="64"/>
      <c r="H24" s="54"/>
      <c r="I24" s="54"/>
      <c r="J24" s="54"/>
    </row>
    <row r="25" spans="2:12" x14ac:dyDescent="0.15">
      <c r="B25" s="4"/>
      <c r="C25" s="5"/>
      <c r="D25" s="4"/>
      <c r="E25" s="4"/>
      <c r="F25" s="36"/>
      <c r="G25" s="64"/>
      <c r="H25" s="54"/>
      <c r="I25" s="54"/>
      <c r="J25" s="54"/>
    </row>
    <row r="26" spans="2:12" x14ac:dyDescent="0.15">
      <c r="B26" s="4"/>
      <c r="C26" s="5"/>
      <c r="D26" s="4"/>
      <c r="E26" s="4"/>
      <c r="F26" s="36"/>
      <c r="G26" s="64"/>
      <c r="H26" s="54"/>
      <c r="I26" s="54"/>
      <c r="J26" s="54"/>
    </row>
    <row r="27" spans="2:12" x14ac:dyDescent="0.15">
      <c r="B27" s="4"/>
      <c r="C27" s="5"/>
      <c r="D27" s="4"/>
      <c r="E27" s="4"/>
      <c r="F27" s="36"/>
      <c r="G27" s="64"/>
      <c r="H27" s="54"/>
      <c r="I27" s="54"/>
      <c r="J27" s="54"/>
    </row>
    <row r="28" spans="2:12" x14ac:dyDescent="0.15">
      <c r="B28" s="4"/>
      <c r="C28" s="5"/>
      <c r="D28" s="4"/>
      <c r="E28" s="4"/>
      <c r="F28" s="36"/>
      <c r="G28" s="64"/>
      <c r="H28" s="54"/>
      <c r="I28" s="54"/>
      <c r="J28" s="54"/>
    </row>
    <row r="29" spans="2:12" x14ac:dyDescent="0.15">
      <c r="B29" s="4"/>
      <c r="C29" s="5"/>
      <c r="D29" s="4"/>
      <c r="E29" s="4"/>
      <c r="F29" s="36"/>
      <c r="G29" s="64"/>
      <c r="H29" s="54"/>
      <c r="I29" s="54"/>
      <c r="J29" s="54"/>
    </row>
    <row r="30" spans="2:12" x14ac:dyDescent="0.15">
      <c r="B30" s="4"/>
      <c r="C30" s="4"/>
      <c r="D30" s="4"/>
      <c r="E30" s="4"/>
      <c r="F30" s="36"/>
      <c r="G30" s="64"/>
      <c r="H30" s="54"/>
      <c r="I30" s="54"/>
      <c r="J30" s="54"/>
    </row>
    <row r="31" spans="2:12" x14ac:dyDescent="0.15">
      <c r="B31" s="9"/>
      <c r="H31" s="55">
        <f>SUM(H24:H30)</f>
        <v>0</v>
      </c>
      <c r="I31" s="55">
        <f>SUM(I24:I30)</f>
        <v>0</v>
      </c>
      <c r="J31" s="55">
        <f>SUM(J24:J30)</f>
        <v>0</v>
      </c>
    </row>
    <row r="32" spans="2:12" x14ac:dyDescent="0.15">
      <c r="B32" s="9" t="s">
        <v>233</v>
      </c>
    </row>
    <row r="33" spans="1:16" ht="14.25" customHeight="1" x14ac:dyDescent="0.15">
      <c r="B33" s="445" t="s">
        <v>58</v>
      </c>
      <c r="C33" s="445" t="s">
        <v>230</v>
      </c>
      <c r="D33" s="445" t="s">
        <v>231</v>
      </c>
      <c r="E33" s="445" t="s">
        <v>91</v>
      </c>
      <c r="F33" s="447" t="s">
        <v>60</v>
      </c>
      <c r="G33" s="447" t="s">
        <v>234</v>
      </c>
      <c r="H33" s="447" t="s">
        <v>235</v>
      </c>
      <c r="I33" s="447" t="s">
        <v>202</v>
      </c>
      <c r="J33" s="447" t="s">
        <v>203</v>
      </c>
    </row>
    <row r="34" spans="1:16" ht="14.25" customHeight="1" x14ac:dyDescent="0.15">
      <c r="B34" s="446"/>
      <c r="C34" s="446"/>
      <c r="D34" s="446"/>
      <c r="E34" s="446"/>
      <c r="F34" s="448"/>
      <c r="G34" s="448"/>
      <c r="H34" s="448"/>
      <c r="I34" s="448"/>
      <c r="J34" s="448"/>
    </row>
    <row r="35" spans="1:16" x14ac:dyDescent="0.15">
      <c r="B35" s="4"/>
      <c r="C35" s="61"/>
      <c r="D35" s="4"/>
      <c r="E35" s="4"/>
      <c r="F35" s="36"/>
      <c r="G35" s="64"/>
      <c r="H35" s="54"/>
      <c r="I35" s="54"/>
      <c r="J35" s="54"/>
    </row>
    <row r="36" spans="1:16" x14ac:dyDescent="0.15">
      <c r="B36" s="4"/>
      <c r="C36" s="5"/>
      <c r="D36" s="4"/>
      <c r="E36" s="4"/>
      <c r="F36" s="56"/>
      <c r="G36" s="64"/>
      <c r="H36" s="54"/>
      <c r="I36" s="54"/>
      <c r="J36" s="54"/>
    </row>
    <row r="37" spans="1:16" x14ac:dyDescent="0.15">
      <c r="B37" s="57"/>
      <c r="C37" s="57"/>
      <c r="D37" s="57"/>
      <c r="E37" s="58"/>
      <c r="F37" s="58"/>
      <c r="G37" s="58"/>
      <c r="H37" s="57"/>
      <c r="I37" s="57"/>
      <c r="J37" s="58"/>
    </row>
    <row r="38" spans="1:16" x14ac:dyDescent="0.15">
      <c r="B38" s="57"/>
      <c r="C38" s="57"/>
      <c r="D38" s="57"/>
      <c r="E38" s="58"/>
      <c r="F38" s="58"/>
      <c r="G38" s="58"/>
      <c r="H38" s="57"/>
      <c r="I38" s="57"/>
      <c r="J38" s="58"/>
    </row>
    <row r="39" spans="1:16" x14ac:dyDescent="0.15">
      <c r="J39" s="55">
        <f>SUM(J37:J38)</f>
        <v>0</v>
      </c>
    </row>
    <row r="40" spans="1:16" x14ac:dyDescent="0.15">
      <c r="B40" s="7" t="s">
        <v>243</v>
      </c>
      <c r="J40" s="66"/>
      <c r="K40" s="66"/>
    </row>
    <row r="41" spans="1:16" ht="14.25" customHeight="1" x14ac:dyDescent="0.15">
      <c r="B41" s="445" t="s">
        <v>58</v>
      </c>
      <c r="C41" s="445" t="s">
        <v>62</v>
      </c>
      <c r="D41" s="445" t="s">
        <v>92</v>
      </c>
      <c r="E41" s="445" t="s">
        <v>91</v>
      </c>
      <c r="F41" s="447" t="s">
        <v>238</v>
      </c>
      <c r="G41" s="447" t="s">
        <v>239</v>
      </c>
      <c r="H41" s="449" t="s">
        <v>240</v>
      </c>
      <c r="I41" s="449" t="s">
        <v>241</v>
      </c>
      <c r="J41" s="452" t="s">
        <v>236</v>
      </c>
      <c r="K41" s="452" t="s">
        <v>237</v>
      </c>
      <c r="L41" s="452" t="s">
        <v>242</v>
      </c>
      <c r="N41" s="452" t="s">
        <v>384</v>
      </c>
      <c r="O41" s="452" t="s">
        <v>385</v>
      </c>
      <c r="P41" s="452" t="s">
        <v>386</v>
      </c>
    </row>
    <row r="42" spans="1:16" ht="14.25" customHeight="1" x14ac:dyDescent="0.15">
      <c r="B42" s="446"/>
      <c r="C42" s="446"/>
      <c r="D42" s="446"/>
      <c r="E42" s="446"/>
      <c r="F42" s="448"/>
      <c r="G42" s="448"/>
      <c r="H42" s="450"/>
      <c r="I42" s="450"/>
      <c r="J42" s="453"/>
      <c r="K42" s="453"/>
      <c r="L42" s="453"/>
      <c r="N42" s="453"/>
      <c r="O42" s="453"/>
      <c r="P42" s="453"/>
    </row>
    <row r="43" spans="1:16" x14ac:dyDescent="0.15">
      <c r="A43" s="7" t="s">
        <v>375</v>
      </c>
      <c r="B43" s="4" t="s">
        <v>27</v>
      </c>
      <c r="C43" s="5" t="s">
        <v>507</v>
      </c>
      <c r="D43" s="4" t="s">
        <v>506</v>
      </c>
      <c r="E43" s="60" t="s">
        <v>468</v>
      </c>
      <c r="F43" s="67">
        <v>3506</v>
      </c>
      <c r="G43" s="67">
        <v>436</v>
      </c>
      <c r="H43" s="67">
        <f>F43*J43</f>
        <v>56429070</v>
      </c>
      <c r="I43" s="67">
        <f>G43*K43</f>
        <v>7314772</v>
      </c>
      <c r="J43" s="67">
        <v>16095</v>
      </c>
      <c r="K43" s="67">
        <v>16777</v>
      </c>
      <c r="L43" s="69">
        <f t="shared" ref="L43" si="2">IF(G43&lt;F43,G43*(K43-J43),F43*(K43-J43))</f>
        <v>297352</v>
      </c>
    </row>
    <row r="44" spans="1:16" x14ac:dyDescent="0.15">
      <c r="A44" s="7" t="s">
        <v>375</v>
      </c>
      <c r="B44" s="4" t="s">
        <v>27</v>
      </c>
      <c r="C44" s="5" t="s">
        <v>533</v>
      </c>
      <c r="D44" s="4" t="s">
        <v>505</v>
      </c>
      <c r="E44" s="60" t="s">
        <v>535</v>
      </c>
      <c r="F44" s="67">
        <v>1695</v>
      </c>
      <c r="G44" s="67">
        <v>2287</v>
      </c>
      <c r="H44" s="67">
        <f t="shared" ref="H44:H55" si="3">F44*J44</f>
        <v>27281025</v>
      </c>
      <c r="I44" s="67">
        <f t="shared" ref="I44:I55" si="4">G44*K44</f>
        <v>38368999</v>
      </c>
      <c r="J44" s="67">
        <v>16095</v>
      </c>
      <c r="K44" s="67">
        <v>16777</v>
      </c>
      <c r="L44" s="69">
        <f t="shared" ref="L44:L46" si="5">IF(G44&lt;F44,G44*(K44-J44),F44*(K44-J44))</f>
        <v>1155990</v>
      </c>
    </row>
    <row r="45" spans="1:16" x14ac:dyDescent="0.15">
      <c r="A45" s="7" t="s">
        <v>375</v>
      </c>
      <c r="B45" s="4" t="s">
        <v>27</v>
      </c>
      <c r="C45" s="5" t="s">
        <v>552</v>
      </c>
      <c r="D45" s="4" t="s">
        <v>505</v>
      </c>
      <c r="E45" s="60" t="s">
        <v>228</v>
      </c>
      <c r="F45" s="67">
        <v>721</v>
      </c>
      <c r="G45" s="67">
        <v>16631</v>
      </c>
      <c r="H45" s="67">
        <f t="shared" si="3"/>
        <v>11604495</v>
      </c>
      <c r="I45" s="67">
        <f t="shared" si="4"/>
        <v>279018287</v>
      </c>
      <c r="J45" s="67">
        <v>16095</v>
      </c>
      <c r="K45" s="67">
        <v>16777</v>
      </c>
      <c r="L45" s="69">
        <f t="shared" si="5"/>
        <v>491722</v>
      </c>
    </row>
    <row r="46" spans="1:16" x14ac:dyDescent="0.15">
      <c r="A46" s="7" t="s">
        <v>375</v>
      </c>
      <c r="B46" s="4" t="s">
        <v>27</v>
      </c>
      <c r="C46" s="5" t="s">
        <v>555</v>
      </c>
      <c r="D46" s="4" t="s">
        <v>506</v>
      </c>
      <c r="E46" s="60" t="s">
        <v>228</v>
      </c>
      <c r="F46" s="67">
        <v>19413</v>
      </c>
      <c r="G46" s="67">
        <v>10084</v>
      </c>
      <c r="H46" s="67">
        <f t="shared" si="3"/>
        <v>312452235</v>
      </c>
      <c r="I46" s="67">
        <f t="shared" si="4"/>
        <v>169179268</v>
      </c>
      <c r="J46" s="67">
        <v>16095</v>
      </c>
      <c r="K46" s="67">
        <v>16777</v>
      </c>
      <c r="L46" s="69">
        <f t="shared" si="5"/>
        <v>6877288</v>
      </c>
    </row>
    <row r="47" spans="1:16" x14ac:dyDescent="0.15">
      <c r="A47" s="7" t="s">
        <v>375</v>
      </c>
      <c r="B47" s="4" t="s">
        <v>27</v>
      </c>
      <c r="C47" s="5" t="s">
        <v>590</v>
      </c>
      <c r="D47" s="4" t="s">
        <v>505</v>
      </c>
      <c r="E47" s="60" t="s">
        <v>378</v>
      </c>
      <c r="F47" s="67">
        <v>6222</v>
      </c>
      <c r="G47" s="67">
        <v>16730</v>
      </c>
      <c r="H47" s="67">
        <f t="shared" si="3"/>
        <v>100143090</v>
      </c>
      <c r="I47" s="67">
        <f t="shared" si="4"/>
        <v>280679210</v>
      </c>
      <c r="J47" s="67">
        <v>16095</v>
      </c>
      <c r="K47" s="67">
        <v>16777</v>
      </c>
      <c r="L47" s="69">
        <f t="shared" ref="L47" si="6">IF(G47&lt;F47,G47*(K47-J47),F47*(K47-J47))</f>
        <v>4243404</v>
      </c>
    </row>
    <row r="48" spans="1:16" x14ac:dyDescent="0.15">
      <c r="A48" s="7" t="s">
        <v>375</v>
      </c>
      <c r="B48" s="4" t="s">
        <v>27</v>
      </c>
      <c r="C48" s="5" t="s">
        <v>637</v>
      </c>
      <c r="D48" s="4" t="s">
        <v>631</v>
      </c>
      <c r="E48" s="60" t="s">
        <v>636</v>
      </c>
      <c r="F48" s="67">
        <v>2221</v>
      </c>
      <c r="G48" s="67">
        <v>4574</v>
      </c>
      <c r="H48" s="67">
        <f t="shared" si="3"/>
        <v>35746995</v>
      </c>
      <c r="I48" s="67">
        <f t="shared" si="4"/>
        <v>76737998</v>
      </c>
      <c r="J48" s="67">
        <v>16095</v>
      </c>
      <c r="K48" s="67">
        <v>16777</v>
      </c>
      <c r="L48" s="69">
        <f t="shared" ref="L48:L49" si="7">IF(G48&lt;F48,G48*(K48-J48),F48*(K48-J48))</f>
        <v>1514722</v>
      </c>
    </row>
    <row r="49" spans="1:12" x14ac:dyDescent="0.15">
      <c r="A49" s="7" t="s">
        <v>375</v>
      </c>
      <c r="B49" s="4" t="s">
        <v>27</v>
      </c>
      <c r="C49" s="5" t="s">
        <v>638</v>
      </c>
      <c r="D49" s="4" t="s">
        <v>505</v>
      </c>
      <c r="E49" s="60" t="s">
        <v>636</v>
      </c>
      <c r="F49" s="67">
        <v>0</v>
      </c>
      <c r="G49" s="67">
        <v>14</v>
      </c>
      <c r="H49" s="67">
        <f t="shared" si="3"/>
        <v>0</v>
      </c>
      <c r="I49" s="67">
        <f t="shared" si="4"/>
        <v>234878</v>
      </c>
      <c r="J49" s="67">
        <v>16095</v>
      </c>
      <c r="K49" s="67">
        <v>16777</v>
      </c>
      <c r="L49" s="69">
        <f t="shared" si="7"/>
        <v>0</v>
      </c>
    </row>
    <row r="50" spans="1:12" x14ac:dyDescent="0.15">
      <c r="B50" s="4" t="s">
        <v>27</v>
      </c>
      <c r="C50" s="5" t="s">
        <v>719</v>
      </c>
      <c r="D50" s="4" t="s">
        <v>505</v>
      </c>
      <c r="E50" s="60" t="s">
        <v>713</v>
      </c>
      <c r="F50" s="67">
        <v>5636</v>
      </c>
      <c r="G50" s="67">
        <v>73</v>
      </c>
      <c r="H50" s="67">
        <f t="shared" si="3"/>
        <v>90711420</v>
      </c>
      <c r="I50" s="67">
        <f t="shared" si="4"/>
        <v>1224721</v>
      </c>
      <c r="J50" s="67">
        <v>16095</v>
      </c>
      <c r="K50" s="67">
        <v>16777</v>
      </c>
      <c r="L50" s="69">
        <f t="shared" ref="L50:L55" si="8">IF(G50&lt;F50,G50*(K50-J50),F50*(K50-J50))</f>
        <v>49786</v>
      </c>
    </row>
    <row r="51" spans="1:12" x14ac:dyDescent="0.15">
      <c r="B51" s="4" t="s">
        <v>27</v>
      </c>
      <c r="C51" s="5" t="s">
        <v>720</v>
      </c>
      <c r="D51" s="4" t="s">
        <v>506</v>
      </c>
      <c r="E51" s="60" t="s">
        <v>713</v>
      </c>
      <c r="F51" s="67">
        <v>0</v>
      </c>
      <c r="G51" s="67">
        <v>559</v>
      </c>
      <c r="H51" s="67">
        <f t="shared" si="3"/>
        <v>0</v>
      </c>
      <c r="I51" s="67">
        <f t="shared" si="4"/>
        <v>9378343</v>
      </c>
      <c r="J51" s="67">
        <v>16095</v>
      </c>
      <c r="K51" s="67">
        <v>16777</v>
      </c>
      <c r="L51" s="69">
        <f t="shared" si="8"/>
        <v>0</v>
      </c>
    </row>
    <row r="52" spans="1:12" x14ac:dyDescent="0.15">
      <c r="B52" s="4" t="s">
        <v>27</v>
      </c>
      <c r="C52" s="5" t="s">
        <v>787</v>
      </c>
      <c r="D52" s="4" t="s">
        <v>506</v>
      </c>
      <c r="E52" s="60" t="s">
        <v>380</v>
      </c>
      <c r="F52" s="67">
        <v>11</v>
      </c>
      <c r="G52" s="67">
        <v>15331</v>
      </c>
      <c r="H52" s="67">
        <f t="shared" si="3"/>
        <v>177045</v>
      </c>
      <c r="I52" s="67">
        <f t="shared" si="4"/>
        <v>257208187</v>
      </c>
      <c r="J52" s="67">
        <v>16095</v>
      </c>
      <c r="K52" s="67">
        <v>16777</v>
      </c>
      <c r="L52" s="69">
        <f t="shared" si="8"/>
        <v>7502</v>
      </c>
    </row>
    <row r="53" spans="1:12" x14ac:dyDescent="0.15">
      <c r="B53" s="4" t="s">
        <v>27</v>
      </c>
      <c r="C53" s="5" t="s">
        <v>792</v>
      </c>
      <c r="D53" s="4" t="s">
        <v>505</v>
      </c>
      <c r="E53" s="60" t="s">
        <v>380</v>
      </c>
      <c r="F53" s="67">
        <v>3334</v>
      </c>
      <c r="G53" s="67">
        <v>918</v>
      </c>
      <c r="H53" s="67">
        <f t="shared" si="3"/>
        <v>53660730</v>
      </c>
      <c r="I53" s="67">
        <f t="shared" si="4"/>
        <v>15401286</v>
      </c>
      <c r="J53" s="67">
        <v>16095</v>
      </c>
      <c r="K53" s="67">
        <v>16777</v>
      </c>
      <c r="L53" s="69">
        <f t="shared" si="8"/>
        <v>626076</v>
      </c>
    </row>
    <row r="54" spans="1:12" x14ac:dyDescent="0.15">
      <c r="B54" s="4" t="s">
        <v>27</v>
      </c>
      <c r="C54" s="5" t="s">
        <v>789</v>
      </c>
      <c r="D54" s="4" t="s">
        <v>505</v>
      </c>
      <c r="E54" s="60" t="s">
        <v>380</v>
      </c>
      <c r="F54" s="67">
        <v>0</v>
      </c>
      <c r="G54" s="67">
        <v>4374</v>
      </c>
      <c r="H54" s="67">
        <f t="shared" si="3"/>
        <v>0</v>
      </c>
      <c r="I54" s="67">
        <f t="shared" si="4"/>
        <v>73382598</v>
      </c>
      <c r="J54" s="67">
        <v>16095</v>
      </c>
      <c r="K54" s="67">
        <v>16777</v>
      </c>
      <c r="L54" s="69">
        <f t="shared" si="8"/>
        <v>0</v>
      </c>
    </row>
    <row r="55" spans="1:12" x14ac:dyDescent="0.15">
      <c r="B55" s="4" t="s">
        <v>27</v>
      </c>
      <c r="C55" s="5" t="s">
        <v>791</v>
      </c>
      <c r="D55" s="4" t="s">
        <v>506</v>
      </c>
      <c r="E55" s="60" t="s">
        <v>380</v>
      </c>
      <c r="F55" s="67">
        <v>0</v>
      </c>
      <c r="G55" s="67">
        <v>4949</v>
      </c>
      <c r="H55" s="67">
        <f t="shared" si="3"/>
        <v>0</v>
      </c>
      <c r="I55" s="67">
        <f t="shared" si="4"/>
        <v>83029373</v>
      </c>
      <c r="J55" s="67">
        <v>16095</v>
      </c>
      <c r="K55" s="67">
        <v>16777</v>
      </c>
      <c r="L55" s="69">
        <f t="shared" si="8"/>
        <v>0</v>
      </c>
    </row>
    <row r="56" spans="1:12" x14ac:dyDescent="0.15">
      <c r="B56" s="4"/>
      <c r="C56" s="5"/>
      <c r="D56" s="4"/>
      <c r="E56" s="60"/>
      <c r="F56" s="67"/>
      <c r="G56" s="67"/>
      <c r="H56" s="67"/>
      <c r="I56" s="67"/>
      <c r="J56" s="67"/>
      <c r="K56" s="67"/>
      <c r="L56" s="69"/>
    </row>
    <row r="57" spans="1:12" x14ac:dyDescent="0.15">
      <c r="B57" s="4"/>
      <c r="C57" s="5"/>
      <c r="D57" s="4"/>
      <c r="E57" s="60"/>
      <c r="F57" s="67"/>
      <c r="G57" s="67"/>
      <c r="H57" s="67"/>
      <c r="I57" s="67"/>
      <c r="J57" s="67"/>
      <c r="K57" s="67"/>
      <c r="L57" s="69"/>
    </row>
    <row r="58" spans="1:12" x14ac:dyDescent="0.15">
      <c r="B58" s="4" t="s">
        <v>188</v>
      </c>
      <c r="C58" s="5" t="s">
        <v>514</v>
      </c>
      <c r="D58" s="4" t="s">
        <v>578</v>
      </c>
      <c r="E58" s="60" t="s">
        <v>513</v>
      </c>
      <c r="F58" s="67">
        <v>0</v>
      </c>
      <c r="G58" s="67">
        <v>22298</v>
      </c>
      <c r="H58" s="67">
        <f t="shared" ref="H58:H78" si="9">F58*J58</f>
        <v>0</v>
      </c>
      <c r="I58" s="67">
        <f t="shared" ref="I58:I91" si="10">G58*K58</f>
        <v>374093546</v>
      </c>
      <c r="J58" s="67">
        <v>16095</v>
      </c>
      <c r="K58" s="67">
        <v>16777</v>
      </c>
      <c r="L58" s="69">
        <f t="shared" ref="L58:L78" si="11">IF(G58&lt;F58,G58*(K58-J58),F58*(K58-J58))</f>
        <v>0</v>
      </c>
    </row>
    <row r="59" spans="1:12" x14ac:dyDescent="0.15">
      <c r="B59" s="4" t="s">
        <v>42</v>
      </c>
      <c r="C59" s="5" t="s">
        <v>518</v>
      </c>
      <c r="D59" s="4" t="s">
        <v>578</v>
      </c>
      <c r="E59" s="60" t="s">
        <v>529</v>
      </c>
      <c r="F59" s="67">
        <v>0</v>
      </c>
      <c r="G59" s="67">
        <v>120000</v>
      </c>
      <c r="H59" s="67">
        <f>F59*J59</f>
        <v>0</v>
      </c>
      <c r="I59" s="67">
        <f t="shared" si="10"/>
        <v>2013240000</v>
      </c>
      <c r="J59" s="67">
        <v>16095</v>
      </c>
      <c r="K59" s="67">
        <v>16777</v>
      </c>
      <c r="L59" s="69">
        <f t="shared" si="11"/>
        <v>0</v>
      </c>
    </row>
    <row r="60" spans="1:12" x14ac:dyDescent="0.15">
      <c r="B60" s="4" t="s">
        <v>42</v>
      </c>
      <c r="C60" s="5" t="s">
        <v>547</v>
      </c>
      <c r="D60" s="4" t="s">
        <v>578</v>
      </c>
      <c r="E60" s="60" t="s">
        <v>535</v>
      </c>
      <c r="F60" s="67">
        <v>0</v>
      </c>
      <c r="G60" s="67">
        <v>200000</v>
      </c>
      <c r="H60" s="67">
        <f t="shared" si="9"/>
        <v>0</v>
      </c>
      <c r="I60" s="67">
        <f t="shared" si="10"/>
        <v>3355400000</v>
      </c>
      <c r="J60" s="67">
        <v>16095</v>
      </c>
      <c r="K60" s="67">
        <v>16777</v>
      </c>
      <c r="L60" s="69">
        <f t="shared" si="11"/>
        <v>0</v>
      </c>
    </row>
    <row r="61" spans="1:12" x14ac:dyDescent="0.15">
      <c r="B61" s="4" t="s">
        <v>42</v>
      </c>
      <c r="C61" s="5" t="s">
        <v>571</v>
      </c>
      <c r="D61" s="4" t="s">
        <v>579</v>
      </c>
      <c r="E61" s="60" t="s">
        <v>228</v>
      </c>
      <c r="F61" s="67">
        <v>41443</v>
      </c>
      <c r="G61" s="67">
        <v>41389</v>
      </c>
      <c r="H61" s="67">
        <f t="shared" si="9"/>
        <v>667025085</v>
      </c>
      <c r="I61" s="67">
        <f t="shared" si="10"/>
        <v>694383253</v>
      </c>
      <c r="J61" s="67">
        <v>16095</v>
      </c>
      <c r="K61" s="67">
        <v>16777</v>
      </c>
      <c r="L61" s="69">
        <f t="shared" si="11"/>
        <v>28227298</v>
      </c>
    </row>
    <row r="62" spans="1:12" x14ac:dyDescent="0.15">
      <c r="B62" s="4" t="s">
        <v>42</v>
      </c>
      <c r="C62" s="5" t="s">
        <v>580</v>
      </c>
      <c r="D62" s="4" t="s">
        <v>579</v>
      </c>
      <c r="E62" s="60" t="s">
        <v>228</v>
      </c>
      <c r="F62" s="67">
        <v>344868</v>
      </c>
      <c r="G62" s="67">
        <v>355380</v>
      </c>
      <c r="H62" s="67">
        <f t="shared" si="9"/>
        <v>5550650460</v>
      </c>
      <c r="I62" s="67">
        <f t="shared" si="10"/>
        <v>5962210260</v>
      </c>
      <c r="J62" s="67">
        <v>16095</v>
      </c>
      <c r="K62" s="67">
        <v>16777</v>
      </c>
      <c r="L62" s="69">
        <f t="shared" si="11"/>
        <v>235199976</v>
      </c>
    </row>
    <row r="63" spans="1:12" x14ac:dyDescent="0.15">
      <c r="B63" s="4" t="s">
        <v>42</v>
      </c>
      <c r="C63" s="5" t="s">
        <v>574</v>
      </c>
      <c r="D63" s="4" t="s">
        <v>578</v>
      </c>
      <c r="E63" s="60" t="s">
        <v>228</v>
      </c>
      <c r="F63" s="67">
        <v>94885</v>
      </c>
      <c r="G63" s="67">
        <v>109500</v>
      </c>
      <c r="H63" s="67">
        <f t="shared" si="9"/>
        <v>1527174075</v>
      </c>
      <c r="I63" s="67">
        <f t="shared" si="10"/>
        <v>1837081500</v>
      </c>
      <c r="J63" s="67">
        <v>16095</v>
      </c>
      <c r="K63" s="67">
        <v>16777</v>
      </c>
      <c r="L63" s="69">
        <f t="shared" si="11"/>
        <v>64711570</v>
      </c>
    </row>
    <row r="64" spans="1:12" x14ac:dyDescent="0.15">
      <c r="B64" s="4" t="s">
        <v>42</v>
      </c>
      <c r="C64" s="5" t="s">
        <v>575</v>
      </c>
      <c r="D64" s="4" t="s">
        <v>578</v>
      </c>
      <c r="E64" s="60" t="s">
        <v>228</v>
      </c>
      <c r="F64" s="67">
        <v>188870</v>
      </c>
      <c r="G64" s="67">
        <v>196500</v>
      </c>
      <c r="H64" s="67">
        <f t="shared" si="9"/>
        <v>3039862650</v>
      </c>
      <c r="I64" s="67">
        <f t="shared" si="10"/>
        <v>3296680500</v>
      </c>
      <c r="J64" s="67">
        <v>16095</v>
      </c>
      <c r="K64" s="67">
        <v>16777</v>
      </c>
      <c r="L64" s="69">
        <f t="shared" si="11"/>
        <v>128809340</v>
      </c>
    </row>
    <row r="65" spans="2:16" x14ac:dyDescent="0.15">
      <c r="B65" s="4" t="s">
        <v>42</v>
      </c>
      <c r="C65" s="92" t="s">
        <v>587</v>
      </c>
      <c r="D65" s="4" t="s">
        <v>579</v>
      </c>
      <c r="E65" s="60" t="s">
        <v>228</v>
      </c>
      <c r="F65" s="67">
        <v>0</v>
      </c>
      <c r="G65" s="67">
        <v>107578</v>
      </c>
      <c r="H65" s="67">
        <f t="shared" si="9"/>
        <v>0</v>
      </c>
      <c r="I65" s="67">
        <f t="shared" si="10"/>
        <v>1804836106</v>
      </c>
      <c r="J65" s="67">
        <v>16095</v>
      </c>
      <c r="K65" s="67">
        <v>16777</v>
      </c>
      <c r="L65" s="69">
        <f t="shared" si="11"/>
        <v>0</v>
      </c>
    </row>
    <row r="66" spans="2:16" x14ac:dyDescent="0.15">
      <c r="B66" s="4" t="s">
        <v>42</v>
      </c>
      <c r="C66" s="5" t="s">
        <v>581</v>
      </c>
      <c r="D66" s="4" t="s">
        <v>579</v>
      </c>
      <c r="E66" s="60" t="s">
        <v>228</v>
      </c>
      <c r="F66" s="67">
        <v>0</v>
      </c>
      <c r="G66" s="67">
        <v>248883</v>
      </c>
      <c r="H66" s="67">
        <f t="shared" si="9"/>
        <v>0</v>
      </c>
      <c r="I66" s="67">
        <f t="shared" si="10"/>
        <v>4175510091</v>
      </c>
      <c r="J66" s="67">
        <v>16095</v>
      </c>
      <c r="K66" s="67">
        <v>16777</v>
      </c>
      <c r="L66" s="69">
        <f t="shared" si="11"/>
        <v>0</v>
      </c>
    </row>
    <row r="67" spans="2:16" x14ac:dyDescent="0.15">
      <c r="B67" s="4" t="s">
        <v>42</v>
      </c>
      <c r="C67" s="5" t="s">
        <v>582</v>
      </c>
      <c r="D67" s="4" t="s">
        <v>579</v>
      </c>
      <c r="E67" s="60" t="s">
        <v>228</v>
      </c>
      <c r="F67" s="67">
        <v>0</v>
      </c>
      <c r="G67" s="67">
        <v>41023</v>
      </c>
      <c r="H67" s="67">
        <f t="shared" si="9"/>
        <v>0</v>
      </c>
      <c r="I67" s="67">
        <f t="shared" si="10"/>
        <v>688242871</v>
      </c>
      <c r="J67" s="67">
        <v>16095</v>
      </c>
      <c r="K67" s="67">
        <v>16777</v>
      </c>
      <c r="L67" s="69">
        <f t="shared" si="11"/>
        <v>0</v>
      </c>
    </row>
    <row r="68" spans="2:16" x14ac:dyDescent="0.15">
      <c r="B68" s="4" t="s">
        <v>42</v>
      </c>
      <c r="C68" s="5" t="s">
        <v>583</v>
      </c>
      <c r="D68" s="4" t="s">
        <v>579</v>
      </c>
      <c r="E68" s="60" t="s">
        <v>228</v>
      </c>
      <c r="F68" s="67">
        <v>0</v>
      </c>
      <c r="G68" s="67">
        <v>99463</v>
      </c>
      <c r="H68" s="67">
        <f t="shared" si="9"/>
        <v>0</v>
      </c>
      <c r="I68" s="67">
        <f t="shared" si="10"/>
        <v>1668690751</v>
      </c>
      <c r="J68" s="67">
        <v>16095</v>
      </c>
      <c r="K68" s="67">
        <v>16777</v>
      </c>
      <c r="L68" s="69">
        <f t="shared" si="11"/>
        <v>0</v>
      </c>
      <c r="M68" s="98"/>
      <c r="N68" s="96"/>
      <c r="O68" s="97"/>
      <c r="P68" s="95"/>
    </row>
    <row r="69" spans="2:16" x14ac:dyDescent="0.15">
      <c r="B69" s="4" t="s">
        <v>42</v>
      </c>
      <c r="C69" s="5" t="s">
        <v>584</v>
      </c>
      <c r="D69" s="4" t="s">
        <v>579</v>
      </c>
      <c r="E69" s="60" t="s">
        <v>228</v>
      </c>
      <c r="F69" s="67">
        <v>0</v>
      </c>
      <c r="G69" s="67">
        <v>108640</v>
      </c>
      <c r="H69" s="67">
        <f t="shared" si="9"/>
        <v>0</v>
      </c>
      <c r="I69" s="67">
        <f t="shared" si="10"/>
        <v>1822653280</v>
      </c>
      <c r="J69" s="67">
        <v>16095</v>
      </c>
      <c r="K69" s="67">
        <v>16777</v>
      </c>
      <c r="L69" s="69">
        <f t="shared" si="11"/>
        <v>0</v>
      </c>
      <c r="M69" s="98"/>
      <c r="N69" s="96"/>
      <c r="O69" s="97"/>
      <c r="P69" s="95"/>
    </row>
    <row r="70" spans="2:16" x14ac:dyDescent="0.15">
      <c r="B70" s="4" t="s">
        <v>42</v>
      </c>
      <c r="C70" s="5" t="s">
        <v>585</v>
      </c>
      <c r="D70" s="4" t="s">
        <v>579</v>
      </c>
      <c r="E70" s="60" t="s">
        <v>228</v>
      </c>
      <c r="F70" s="67">
        <v>0</v>
      </c>
      <c r="G70" s="67">
        <v>107467</v>
      </c>
      <c r="H70" s="67">
        <f t="shared" si="9"/>
        <v>0</v>
      </c>
      <c r="I70" s="67">
        <f t="shared" si="10"/>
        <v>1802973859</v>
      </c>
      <c r="J70" s="67">
        <v>16095</v>
      </c>
      <c r="K70" s="67">
        <v>16777</v>
      </c>
      <c r="L70" s="69">
        <f t="shared" si="11"/>
        <v>0</v>
      </c>
      <c r="M70" s="99"/>
      <c r="N70" s="96"/>
      <c r="O70" s="97"/>
      <c r="P70" s="95"/>
    </row>
    <row r="71" spans="2:16" x14ac:dyDescent="0.15">
      <c r="B71" s="4" t="s">
        <v>42</v>
      </c>
      <c r="C71" s="5" t="s">
        <v>586</v>
      </c>
      <c r="D71" s="4" t="s">
        <v>579</v>
      </c>
      <c r="E71" s="60" t="s">
        <v>228</v>
      </c>
      <c r="F71" s="67">
        <v>0</v>
      </c>
      <c r="G71" s="67">
        <v>117454</v>
      </c>
      <c r="H71" s="67">
        <f t="shared" si="9"/>
        <v>0</v>
      </c>
      <c r="I71" s="67">
        <f t="shared" si="10"/>
        <v>1970525758</v>
      </c>
      <c r="J71" s="67">
        <v>16095</v>
      </c>
      <c r="K71" s="67">
        <v>16777</v>
      </c>
      <c r="L71" s="69">
        <f t="shared" si="11"/>
        <v>0</v>
      </c>
      <c r="M71" s="99"/>
      <c r="N71" s="96"/>
      <c r="O71" s="97"/>
      <c r="P71" s="95"/>
    </row>
    <row r="72" spans="2:16" x14ac:dyDescent="0.15">
      <c r="B72" s="4" t="s">
        <v>42</v>
      </c>
      <c r="C72" s="5" t="s">
        <v>602</v>
      </c>
      <c r="D72" s="4" t="s">
        <v>578</v>
      </c>
      <c r="E72" s="93" t="s">
        <v>378</v>
      </c>
      <c r="F72" s="67">
        <v>50000</v>
      </c>
      <c r="G72" s="67">
        <v>120000</v>
      </c>
      <c r="H72" s="67">
        <f t="shared" si="9"/>
        <v>804750000</v>
      </c>
      <c r="I72" s="67">
        <f t="shared" si="10"/>
        <v>2013240000</v>
      </c>
      <c r="J72" s="67">
        <v>16095</v>
      </c>
      <c r="K72" s="67">
        <v>16777</v>
      </c>
      <c r="L72" s="69">
        <f t="shared" si="11"/>
        <v>34100000</v>
      </c>
      <c r="M72" s="99"/>
      <c r="N72" s="96"/>
      <c r="O72" s="97"/>
      <c r="P72" s="95"/>
    </row>
    <row r="73" spans="2:16" x14ac:dyDescent="0.15">
      <c r="B73" s="4" t="s">
        <v>42</v>
      </c>
      <c r="C73" s="5" t="s">
        <v>517</v>
      </c>
      <c r="D73" s="4" t="s">
        <v>578</v>
      </c>
      <c r="E73" s="93" t="s">
        <v>378</v>
      </c>
      <c r="F73" s="67">
        <v>200000</v>
      </c>
      <c r="G73" s="67">
        <v>120000</v>
      </c>
      <c r="H73" s="67">
        <f t="shared" si="9"/>
        <v>3219000000</v>
      </c>
      <c r="I73" s="67">
        <f t="shared" si="10"/>
        <v>2013240000</v>
      </c>
      <c r="J73" s="67">
        <v>16095</v>
      </c>
      <c r="K73" s="67">
        <v>16777</v>
      </c>
      <c r="L73" s="69">
        <f t="shared" si="11"/>
        <v>81840000</v>
      </c>
      <c r="N73" s="96"/>
      <c r="O73" s="97"/>
      <c r="P73" s="95"/>
    </row>
    <row r="74" spans="2:16" x14ac:dyDescent="0.15">
      <c r="B74" s="4" t="s">
        <v>42</v>
      </c>
      <c r="C74" s="5" t="s">
        <v>603</v>
      </c>
      <c r="D74" s="4" t="s">
        <v>578</v>
      </c>
      <c r="E74" s="93" t="s">
        <v>378</v>
      </c>
      <c r="F74" s="67">
        <v>200000</v>
      </c>
      <c r="G74" s="67">
        <v>200000</v>
      </c>
      <c r="H74" s="67">
        <f t="shared" si="9"/>
        <v>3219000000</v>
      </c>
      <c r="I74" s="67">
        <f t="shared" si="10"/>
        <v>3355400000</v>
      </c>
      <c r="J74" s="67">
        <v>16095</v>
      </c>
      <c r="K74" s="67">
        <v>16777</v>
      </c>
      <c r="L74" s="69">
        <f t="shared" si="11"/>
        <v>136400000</v>
      </c>
      <c r="N74" s="96"/>
      <c r="O74" s="97"/>
      <c r="P74" s="95"/>
    </row>
    <row r="75" spans="2:16" x14ac:dyDescent="0.15">
      <c r="B75" s="4" t="s">
        <v>42</v>
      </c>
      <c r="C75" s="5" t="s">
        <v>585</v>
      </c>
      <c r="D75" s="4" t="s">
        <v>578</v>
      </c>
      <c r="E75" s="93" t="s">
        <v>378</v>
      </c>
      <c r="F75" s="67">
        <v>0</v>
      </c>
      <c r="G75" s="67">
        <v>110000</v>
      </c>
      <c r="H75" s="67">
        <f t="shared" si="9"/>
        <v>0</v>
      </c>
      <c r="I75" s="67">
        <f t="shared" si="10"/>
        <v>1845470000</v>
      </c>
      <c r="J75" s="67">
        <v>16095</v>
      </c>
      <c r="K75" s="67">
        <v>16777</v>
      </c>
      <c r="L75" s="69">
        <f t="shared" si="11"/>
        <v>0</v>
      </c>
    </row>
    <row r="76" spans="2:16" x14ac:dyDescent="0.15">
      <c r="B76" s="4" t="s">
        <v>42</v>
      </c>
      <c r="C76" s="5" t="s">
        <v>604</v>
      </c>
      <c r="D76" s="4" t="s">
        <v>578</v>
      </c>
      <c r="E76" s="93" t="s">
        <v>378</v>
      </c>
      <c r="F76" s="67">
        <v>0</v>
      </c>
      <c r="G76" s="67">
        <v>200000</v>
      </c>
      <c r="H76" s="67">
        <f t="shared" si="9"/>
        <v>0</v>
      </c>
      <c r="I76" s="67">
        <f t="shared" si="10"/>
        <v>3355400000</v>
      </c>
      <c r="J76" s="67">
        <v>16095</v>
      </c>
      <c r="K76" s="67">
        <v>16777</v>
      </c>
      <c r="L76" s="69">
        <f t="shared" si="11"/>
        <v>0</v>
      </c>
    </row>
    <row r="77" spans="2:16" x14ac:dyDescent="0.15">
      <c r="B77" s="4" t="s">
        <v>42</v>
      </c>
      <c r="C77" s="5" t="s">
        <v>605</v>
      </c>
      <c r="D77" s="4" t="s">
        <v>578</v>
      </c>
      <c r="E77" s="93" t="s">
        <v>378</v>
      </c>
      <c r="F77" s="67">
        <v>0</v>
      </c>
      <c r="G77" s="67">
        <v>200000</v>
      </c>
      <c r="H77" s="67">
        <f t="shared" si="9"/>
        <v>0</v>
      </c>
      <c r="I77" s="67">
        <f t="shared" si="10"/>
        <v>3355400000</v>
      </c>
      <c r="J77" s="67">
        <v>16095</v>
      </c>
      <c r="K77" s="67">
        <v>16777</v>
      </c>
      <c r="L77" s="69">
        <f t="shared" si="11"/>
        <v>0</v>
      </c>
    </row>
    <row r="78" spans="2:16" x14ac:dyDescent="0.15">
      <c r="B78" s="4" t="s">
        <v>42</v>
      </c>
      <c r="C78" s="5" t="s">
        <v>606</v>
      </c>
      <c r="D78" s="4" t="s">
        <v>578</v>
      </c>
      <c r="E78" s="60" t="s">
        <v>378</v>
      </c>
      <c r="F78" s="67">
        <v>0</v>
      </c>
      <c r="G78" s="67">
        <v>180000</v>
      </c>
      <c r="H78" s="67">
        <f t="shared" si="9"/>
        <v>0</v>
      </c>
      <c r="I78" s="67">
        <f t="shared" si="10"/>
        <v>3019860000</v>
      </c>
      <c r="J78" s="67">
        <v>16095</v>
      </c>
      <c r="K78" s="67">
        <v>16777</v>
      </c>
      <c r="L78" s="69">
        <f t="shared" si="11"/>
        <v>0</v>
      </c>
    </row>
    <row r="79" spans="2:16" x14ac:dyDescent="0.15">
      <c r="B79" s="4" t="s">
        <v>42</v>
      </c>
      <c r="C79" s="5" t="s">
        <v>661</v>
      </c>
      <c r="D79" s="4" t="s">
        <v>578</v>
      </c>
      <c r="E79" s="60" t="s">
        <v>636</v>
      </c>
      <c r="F79" s="67">
        <v>171150</v>
      </c>
      <c r="G79" s="67">
        <v>174720</v>
      </c>
      <c r="H79" s="67">
        <v>2754659250</v>
      </c>
      <c r="I79" s="67">
        <f t="shared" si="10"/>
        <v>2931277440</v>
      </c>
      <c r="J79" s="67">
        <v>16095</v>
      </c>
      <c r="K79" s="67">
        <v>16777</v>
      </c>
      <c r="L79" s="69">
        <f t="shared" ref="L79:L91" si="12">IF(G79&lt;F79,G79*(K79-J79),F79*(K79-J79))</f>
        <v>116724300</v>
      </c>
    </row>
    <row r="80" spans="2:16" x14ac:dyDescent="0.15">
      <c r="B80" s="4" t="s">
        <v>42</v>
      </c>
      <c r="C80" s="5" t="s">
        <v>668</v>
      </c>
      <c r="D80" s="4" t="s">
        <v>578</v>
      </c>
      <c r="E80" s="60" t="s">
        <v>636</v>
      </c>
      <c r="F80" s="67">
        <v>0</v>
      </c>
      <c r="G80" s="67">
        <v>159600</v>
      </c>
      <c r="H80" s="67">
        <v>0</v>
      </c>
      <c r="I80" s="67">
        <f t="shared" si="10"/>
        <v>2677609200</v>
      </c>
      <c r="J80" s="67">
        <v>16095</v>
      </c>
      <c r="K80" s="67">
        <v>16777</v>
      </c>
      <c r="L80" s="69">
        <f t="shared" si="12"/>
        <v>0</v>
      </c>
    </row>
    <row r="81" spans="2:12" x14ac:dyDescent="0.15">
      <c r="B81" s="4" t="s">
        <v>42</v>
      </c>
      <c r="C81" s="5" t="s">
        <v>755</v>
      </c>
      <c r="D81" s="4" t="s">
        <v>578</v>
      </c>
      <c r="E81" s="60" t="s">
        <v>713</v>
      </c>
      <c r="F81" s="67">
        <v>134691</v>
      </c>
      <c r="G81" s="67">
        <v>42800</v>
      </c>
      <c r="H81" s="67">
        <v>2167851645</v>
      </c>
      <c r="I81" s="67">
        <f t="shared" si="10"/>
        <v>718055600</v>
      </c>
      <c r="J81" s="67">
        <v>16095</v>
      </c>
      <c r="K81" s="67">
        <v>16777</v>
      </c>
      <c r="L81" s="69">
        <f t="shared" si="12"/>
        <v>29189600</v>
      </c>
    </row>
    <row r="82" spans="2:12" x14ac:dyDescent="0.15">
      <c r="B82" s="4" t="s">
        <v>51</v>
      </c>
      <c r="C82" s="5" t="s">
        <v>760</v>
      </c>
      <c r="D82" s="4" t="s">
        <v>579</v>
      </c>
      <c r="E82" s="60" t="s">
        <v>713</v>
      </c>
      <c r="F82" s="67">
        <v>0</v>
      </c>
      <c r="G82" s="67">
        <v>29595</v>
      </c>
      <c r="H82" s="67">
        <v>0</v>
      </c>
      <c r="I82" s="67">
        <f t="shared" si="10"/>
        <v>496515315</v>
      </c>
      <c r="J82" s="67">
        <v>16095</v>
      </c>
      <c r="K82" s="67">
        <v>16777</v>
      </c>
      <c r="L82" s="69">
        <f t="shared" si="12"/>
        <v>0</v>
      </c>
    </row>
    <row r="83" spans="2:12" x14ac:dyDescent="0.15">
      <c r="B83" s="4" t="s">
        <v>42</v>
      </c>
      <c r="C83" s="5" t="s">
        <v>761</v>
      </c>
      <c r="D83" s="4" t="s">
        <v>579</v>
      </c>
      <c r="E83" s="60" t="s">
        <v>713</v>
      </c>
      <c r="F83" s="67">
        <v>0</v>
      </c>
      <c r="G83" s="67">
        <v>66878</v>
      </c>
      <c r="H83" s="67">
        <v>0</v>
      </c>
      <c r="I83" s="67">
        <f t="shared" si="10"/>
        <v>1122012206</v>
      </c>
      <c r="J83" s="67">
        <v>16095</v>
      </c>
      <c r="K83" s="67">
        <v>16777</v>
      </c>
      <c r="L83" s="69">
        <f t="shared" si="12"/>
        <v>0</v>
      </c>
    </row>
    <row r="84" spans="2:12" x14ac:dyDescent="0.15">
      <c r="B84" s="4" t="s">
        <v>42</v>
      </c>
      <c r="C84" s="5" t="s">
        <v>762</v>
      </c>
      <c r="D84" s="4" t="s">
        <v>579</v>
      </c>
      <c r="E84" s="60" t="s">
        <v>713</v>
      </c>
      <c r="F84" s="67">
        <v>0</v>
      </c>
      <c r="G84" s="67">
        <v>141200</v>
      </c>
      <c r="H84" s="67">
        <v>0</v>
      </c>
      <c r="I84" s="67">
        <f t="shared" si="10"/>
        <v>2368912400</v>
      </c>
      <c r="J84" s="67">
        <v>16095</v>
      </c>
      <c r="K84" s="67">
        <v>16777</v>
      </c>
      <c r="L84" s="69">
        <f t="shared" si="12"/>
        <v>0</v>
      </c>
    </row>
    <row r="85" spans="2:12" x14ac:dyDescent="0.15">
      <c r="B85" s="4" t="s">
        <v>42</v>
      </c>
      <c r="C85" s="5" t="s">
        <v>763</v>
      </c>
      <c r="D85" s="4" t="s">
        <v>579</v>
      </c>
      <c r="E85" s="60" t="s">
        <v>713</v>
      </c>
      <c r="F85" s="67">
        <v>0</v>
      </c>
      <c r="G85" s="67">
        <v>150350</v>
      </c>
      <c r="H85" s="67">
        <v>0</v>
      </c>
      <c r="I85" s="67">
        <f t="shared" si="10"/>
        <v>2522421950</v>
      </c>
      <c r="J85" s="67">
        <v>16095</v>
      </c>
      <c r="K85" s="67">
        <v>16777</v>
      </c>
      <c r="L85" s="69">
        <f t="shared" si="12"/>
        <v>0</v>
      </c>
    </row>
    <row r="86" spans="2:12" x14ac:dyDescent="0.15">
      <c r="B86" s="4" t="s">
        <v>42</v>
      </c>
      <c r="C86" s="5" t="s">
        <v>770</v>
      </c>
      <c r="D86" s="4" t="s">
        <v>578</v>
      </c>
      <c r="E86" s="60" t="s">
        <v>380</v>
      </c>
      <c r="F86" s="67">
        <v>527799</v>
      </c>
      <c r="G86" s="67">
        <v>522291</v>
      </c>
      <c r="H86" s="67">
        <v>8494924905</v>
      </c>
      <c r="I86" s="67">
        <f t="shared" si="10"/>
        <v>8762476107</v>
      </c>
      <c r="J86" s="67">
        <v>16095</v>
      </c>
      <c r="K86" s="67">
        <v>16777</v>
      </c>
      <c r="L86" s="69">
        <f t="shared" si="12"/>
        <v>356202462</v>
      </c>
    </row>
    <row r="87" spans="2:12" x14ac:dyDescent="0.15">
      <c r="B87" s="4" t="s">
        <v>42</v>
      </c>
      <c r="C87" s="5" t="s">
        <v>772</v>
      </c>
      <c r="D87" s="4" t="s">
        <v>579</v>
      </c>
      <c r="E87" s="60" t="s">
        <v>380</v>
      </c>
      <c r="F87" s="67">
        <v>250000</v>
      </c>
      <c r="G87" s="67">
        <v>185123</v>
      </c>
      <c r="H87" s="67">
        <v>4023750000</v>
      </c>
      <c r="I87" s="67">
        <f t="shared" si="10"/>
        <v>3105808571</v>
      </c>
      <c r="J87" s="67">
        <v>16095</v>
      </c>
      <c r="K87" s="67">
        <v>16777</v>
      </c>
      <c r="L87" s="69">
        <f t="shared" si="12"/>
        <v>126253886</v>
      </c>
    </row>
    <row r="88" spans="2:12" x14ac:dyDescent="0.15">
      <c r="B88" s="4" t="s">
        <v>42</v>
      </c>
      <c r="C88" s="5" t="s">
        <v>779</v>
      </c>
      <c r="D88" s="4" t="s">
        <v>579</v>
      </c>
      <c r="E88" s="60" t="s">
        <v>380</v>
      </c>
      <c r="F88" s="67">
        <v>143942.21808014912</v>
      </c>
      <c r="G88" s="67">
        <v>150000</v>
      </c>
      <c r="H88" s="67">
        <v>2316750000</v>
      </c>
      <c r="I88" s="67">
        <f t="shared" si="10"/>
        <v>2516550000</v>
      </c>
      <c r="J88" s="67">
        <v>16095</v>
      </c>
      <c r="K88" s="67">
        <v>16777</v>
      </c>
      <c r="L88" s="69">
        <f t="shared" si="12"/>
        <v>98168592.730661705</v>
      </c>
    </row>
    <row r="89" spans="2:12" x14ac:dyDescent="0.15">
      <c r="B89" s="4" t="s">
        <v>42</v>
      </c>
      <c r="C89" s="5" t="s">
        <v>784</v>
      </c>
      <c r="D89" s="4" t="s">
        <v>578</v>
      </c>
      <c r="E89" s="60" t="s">
        <v>380</v>
      </c>
      <c r="F89" s="67">
        <v>60000</v>
      </c>
      <c r="G89" s="67">
        <v>59464</v>
      </c>
      <c r="H89" s="67">
        <v>965700000</v>
      </c>
      <c r="I89" s="67">
        <f t="shared" si="10"/>
        <v>997627528</v>
      </c>
      <c r="J89" s="67">
        <v>16095</v>
      </c>
      <c r="K89" s="67">
        <v>16777</v>
      </c>
      <c r="L89" s="69">
        <f t="shared" si="12"/>
        <v>40554448</v>
      </c>
    </row>
    <row r="90" spans="2:12" x14ac:dyDescent="0.15">
      <c r="B90" s="4" t="s">
        <v>42</v>
      </c>
      <c r="C90" s="5" t="s">
        <v>793</v>
      </c>
      <c r="D90" s="4" t="s">
        <v>579</v>
      </c>
      <c r="E90" s="60" t="s">
        <v>380</v>
      </c>
      <c r="F90" s="67">
        <v>0</v>
      </c>
      <c r="G90" s="67">
        <v>61226</v>
      </c>
      <c r="H90" s="67">
        <v>0</v>
      </c>
      <c r="I90" s="67">
        <f t="shared" si="10"/>
        <v>1027188602</v>
      </c>
      <c r="J90" s="67">
        <v>16095</v>
      </c>
      <c r="K90" s="67">
        <v>16777</v>
      </c>
      <c r="L90" s="69">
        <f t="shared" si="12"/>
        <v>0</v>
      </c>
    </row>
    <row r="91" spans="2:12" x14ac:dyDescent="0.15">
      <c r="B91" s="4" t="s">
        <v>42</v>
      </c>
      <c r="C91" s="5" t="s">
        <v>794</v>
      </c>
      <c r="D91" s="4" t="s">
        <v>579</v>
      </c>
      <c r="E91" s="60" t="s">
        <v>380</v>
      </c>
      <c r="F91" s="67">
        <v>0</v>
      </c>
      <c r="G91" s="67">
        <v>105988</v>
      </c>
      <c r="H91" s="67">
        <v>0</v>
      </c>
      <c r="I91" s="67">
        <f t="shared" si="10"/>
        <v>1778160676</v>
      </c>
      <c r="J91" s="67">
        <v>16095</v>
      </c>
      <c r="K91" s="67">
        <v>16777</v>
      </c>
      <c r="L91" s="69">
        <f t="shared" si="12"/>
        <v>0</v>
      </c>
    </row>
    <row r="92" spans="2:12" x14ac:dyDescent="0.15">
      <c r="B92" s="4"/>
      <c r="C92" s="5"/>
      <c r="D92" s="4"/>
      <c r="E92" s="60"/>
      <c r="F92" s="67"/>
      <c r="G92" s="67"/>
      <c r="H92" s="67"/>
      <c r="I92" s="67"/>
      <c r="J92" s="67"/>
      <c r="K92" s="67"/>
      <c r="L92" s="69"/>
    </row>
    <row r="93" spans="2:12" x14ac:dyDescent="0.15">
      <c r="B93" s="442" t="s">
        <v>243</v>
      </c>
      <c r="C93" s="443"/>
      <c r="D93" s="443"/>
      <c r="E93" s="444"/>
      <c r="F93" s="71">
        <f>SUM(F43:F77)</f>
        <v>1162825</v>
      </c>
      <c r="G93" s="71">
        <f>SUM(G43:G92)</f>
        <v>4931770</v>
      </c>
      <c r="H93" s="71">
        <f>SUM(H43:H77)</f>
        <v>18715668375</v>
      </c>
      <c r="I93" s="71">
        <f>SUM(I43:I92)</f>
        <v>82740305290</v>
      </c>
      <c r="J93" s="70"/>
      <c r="K93" s="68"/>
      <c r="L93" s="71">
        <f>SUM(L43:L92)</f>
        <v>1491645314.7306616</v>
      </c>
    </row>
    <row r="96" spans="2:12" x14ac:dyDescent="0.15">
      <c r="D96" s="7" t="s">
        <v>391</v>
      </c>
      <c r="E96" s="7" t="s">
        <v>392</v>
      </c>
    </row>
    <row r="97" spans="2:8" x14ac:dyDescent="0.15">
      <c r="B97" s="7" t="s">
        <v>379</v>
      </c>
      <c r="C97" s="7" t="s">
        <v>375</v>
      </c>
      <c r="D97" s="7">
        <f>ROUNDDOWN(E97,0)</f>
        <v>16777</v>
      </c>
      <c r="E97" s="7">
        <v>16777</v>
      </c>
    </row>
    <row r="98" spans="2:8" x14ac:dyDescent="0.15">
      <c r="C98" s="7" t="s">
        <v>376</v>
      </c>
      <c r="D98" s="7">
        <v>1</v>
      </c>
      <c r="E98" s="7">
        <v>1</v>
      </c>
    </row>
    <row r="100" spans="2:8" x14ac:dyDescent="0.15">
      <c r="B100" s="9" t="s">
        <v>684</v>
      </c>
      <c r="G100" s="7"/>
    </row>
    <row r="101" spans="2:8" x14ac:dyDescent="0.15">
      <c r="B101" s="109" t="s">
        <v>685</v>
      </c>
      <c r="C101" s="109" t="s">
        <v>686</v>
      </c>
      <c r="D101" s="109" t="s">
        <v>687</v>
      </c>
      <c r="E101" s="109" t="s">
        <v>688</v>
      </c>
      <c r="F101" s="109" t="s">
        <v>689</v>
      </c>
      <c r="G101" s="109" t="s">
        <v>690</v>
      </c>
    </row>
    <row r="102" spans="2:8" x14ac:dyDescent="0.15">
      <c r="B102" s="57" t="s">
        <v>696</v>
      </c>
      <c r="C102" s="110">
        <v>45672</v>
      </c>
      <c r="D102" s="57" t="s">
        <v>694</v>
      </c>
      <c r="E102" s="57">
        <f>G102/F102</f>
        <v>40000</v>
      </c>
      <c r="F102" s="111">
        <v>135</v>
      </c>
      <c r="G102" s="58">
        <v>5400000</v>
      </c>
      <c r="H102" s="57" t="s">
        <v>696</v>
      </c>
    </row>
    <row r="103" spans="2:8" x14ac:dyDescent="0.15">
      <c r="B103" s="57" t="s">
        <v>709</v>
      </c>
      <c r="C103" s="110">
        <v>45672</v>
      </c>
      <c r="D103" s="57" t="s">
        <v>693</v>
      </c>
      <c r="E103" s="57">
        <f>G103/F103</f>
        <v>75000</v>
      </c>
      <c r="F103" s="111">
        <v>106.84</v>
      </c>
      <c r="G103" s="58">
        <v>8013000</v>
      </c>
      <c r="H103" s="57" t="s">
        <v>709</v>
      </c>
    </row>
    <row r="104" spans="2:8" x14ac:dyDescent="0.15">
      <c r="B104" s="57" t="s">
        <v>244</v>
      </c>
      <c r="C104" s="110">
        <v>45758</v>
      </c>
      <c r="D104" s="57" t="s">
        <v>692</v>
      </c>
      <c r="E104" s="57">
        <f>G104/F104</f>
        <v>145000</v>
      </c>
      <c r="F104" s="111">
        <v>250</v>
      </c>
      <c r="G104" s="58">
        <v>36250000</v>
      </c>
      <c r="H104" s="57" t="s">
        <v>244</v>
      </c>
    </row>
    <row r="105" spans="2:8" x14ac:dyDescent="0.15">
      <c r="B105" s="57" t="s">
        <v>696</v>
      </c>
      <c r="C105" s="110">
        <v>45770</v>
      </c>
      <c r="D105" s="57" t="s">
        <v>694</v>
      </c>
      <c r="E105" s="57">
        <f>G105/F105</f>
        <v>40000</v>
      </c>
      <c r="F105" s="111">
        <v>208.4</v>
      </c>
      <c r="G105" s="58">
        <v>8336000</v>
      </c>
      <c r="H105" s="57" t="s">
        <v>696</v>
      </c>
    </row>
    <row r="106" spans="2:8" x14ac:dyDescent="0.15">
      <c r="B106" s="57" t="s">
        <v>706</v>
      </c>
      <c r="C106" s="110">
        <v>45772</v>
      </c>
      <c r="D106" s="57" t="s">
        <v>697</v>
      </c>
      <c r="E106" s="57">
        <v>40330</v>
      </c>
      <c r="F106" s="111">
        <v>374.06</v>
      </c>
      <c r="G106" s="58">
        <v>15086486</v>
      </c>
      <c r="H106" s="57" t="s">
        <v>706</v>
      </c>
    </row>
    <row r="107" spans="2:8" x14ac:dyDescent="0.15">
      <c r="B107" s="57" t="s">
        <v>707</v>
      </c>
      <c r="C107" s="110">
        <v>45824</v>
      </c>
      <c r="D107" s="57" t="s">
        <v>698</v>
      </c>
      <c r="E107" s="57">
        <f>G107/F107</f>
        <v>40000</v>
      </c>
      <c r="F107" s="111">
        <v>53.4</v>
      </c>
      <c r="G107" s="58">
        <v>2136000</v>
      </c>
      <c r="H107" s="57" t="s">
        <v>707</v>
      </c>
    </row>
    <row r="108" spans="2:8" x14ac:dyDescent="0.15">
      <c r="B108" s="57" t="s">
        <v>708</v>
      </c>
      <c r="C108" s="110">
        <v>45828</v>
      </c>
      <c r="D108" s="57" t="s">
        <v>695</v>
      </c>
      <c r="E108" s="57">
        <v>180000</v>
      </c>
      <c r="F108" s="111">
        <v>212.47</v>
      </c>
      <c r="G108" s="58">
        <v>38243972</v>
      </c>
      <c r="H108" s="57" t="s">
        <v>708</v>
      </c>
    </row>
    <row r="109" spans="2:8" x14ac:dyDescent="0.15">
      <c r="B109" s="57" t="s">
        <v>709</v>
      </c>
      <c r="C109" s="110">
        <v>45834</v>
      </c>
      <c r="D109" s="57" t="s">
        <v>693</v>
      </c>
      <c r="E109" s="57">
        <f>G109/F109</f>
        <v>75000</v>
      </c>
      <c r="F109" s="111">
        <v>166.69</v>
      </c>
      <c r="G109" s="58">
        <v>12501750</v>
      </c>
      <c r="H109" s="57" t="s">
        <v>709</v>
      </c>
    </row>
    <row r="110" spans="2:8" x14ac:dyDescent="0.15">
      <c r="B110" s="57" t="s">
        <v>710</v>
      </c>
      <c r="C110" s="110">
        <v>45840</v>
      </c>
      <c r="D110" s="57" t="s">
        <v>699</v>
      </c>
      <c r="E110" s="57">
        <v>30000</v>
      </c>
      <c r="F110" s="111">
        <v>182.08</v>
      </c>
      <c r="G110" s="58">
        <v>5462431</v>
      </c>
      <c r="H110" s="57" t="s">
        <v>710</v>
      </c>
    </row>
    <row r="111" spans="2:8" x14ac:dyDescent="0.15">
      <c r="B111" s="57" t="s">
        <v>704</v>
      </c>
      <c r="C111" s="110">
        <v>45847</v>
      </c>
      <c r="D111" s="57" t="s">
        <v>700</v>
      </c>
      <c r="E111" s="57">
        <f t="shared" ref="E111:E114" si="13">G111/F111</f>
        <v>500000</v>
      </c>
      <c r="F111" s="111">
        <v>2</v>
      </c>
      <c r="G111" s="58">
        <v>1000000</v>
      </c>
      <c r="H111" s="57" t="s">
        <v>704</v>
      </c>
    </row>
    <row r="112" spans="2:8" x14ac:dyDescent="0.15">
      <c r="B112" s="57" t="s">
        <v>711</v>
      </c>
      <c r="C112" s="110">
        <v>45856</v>
      </c>
      <c r="D112" s="57" t="s">
        <v>701</v>
      </c>
      <c r="E112" s="57">
        <f t="shared" si="13"/>
        <v>50000</v>
      </c>
      <c r="F112" s="111">
        <v>50</v>
      </c>
      <c r="G112" s="58">
        <v>2500000</v>
      </c>
      <c r="H112" s="57" t="s">
        <v>711</v>
      </c>
    </row>
    <row r="113" spans="2:8" x14ac:dyDescent="0.15">
      <c r="B113" s="57" t="s">
        <v>712</v>
      </c>
      <c r="C113" s="110">
        <v>45856</v>
      </c>
      <c r="D113" s="57" t="s">
        <v>702</v>
      </c>
      <c r="E113" s="57">
        <f t="shared" si="13"/>
        <v>50000</v>
      </c>
      <c r="F113" s="111">
        <v>65</v>
      </c>
      <c r="G113" s="58">
        <v>3250000</v>
      </c>
      <c r="H113" s="57" t="s">
        <v>712</v>
      </c>
    </row>
    <row r="114" spans="2:8" x14ac:dyDescent="0.15">
      <c r="B114" s="57" t="s">
        <v>704</v>
      </c>
      <c r="C114" s="110">
        <v>46002</v>
      </c>
      <c r="D114" s="57" t="s">
        <v>700</v>
      </c>
      <c r="E114" s="57">
        <f t="shared" si="13"/>
        <v>500000</v>
      </c>
      <c r="F114" s="111">
        <v>7</v>
      </c>
      <c r="G114" s="58">
        <v>3500000</v>
      </c>
      <c r="H114" s="57" t="s">
        <v>704</v>
      </c>
    </row>
    <row r="115" spans="2:8" x14ac:dyDescent="0.15">
      <c r="B115" s="57" t="s">
        <v>705</v>
      </c>
      <c r="C115" s="110">
        <v>46002</v>
      </c>
      <c r="D115" s="57" t="s">
        <v>703</v>
      </c>
      <c r="E115" s="57">
        <f>G115/F115</f>
        <v>1063</v>
      </c>
      <c r="F115" s="111">
        <v>159</v>
      </c>
      <c r="G115" s="58">
        <v>169017</v>
      </c>
      <c r="H115" s="57" t="s">
        <v>705</v>
      </c>
    </row>
    <row r="116" spans="2:8" x14ac:dyDescent="0.15">
      <c r="B116" s="57" t="s">
        <v>244</v>
      </c>
      <c r="C116" s="110" t="s">
        <v>691</v>
      </c>
      <c r="D116" s="57" t="s">
        <v>692</v>
      </c>
      <c r="E116" s="57">
        <f>G116/F116</f>
        <v>145000</v>
      </c>
      <c r="F116" s="111">
        <v>55</v>
      </c>
      <c r="G116" s="58">
        <v>7975000</v>
      </c>
      <c r="H116" s="57" t="s">
        <v>244</v>
      </c>
    </row>
    <row r="117" spans="2:8" x14ac:dyDescent="0.15">
      <c r="G117" s="65">
        <f>SUM(G102:G116)</f>
        <v>149823656</v>
      </c>
    </row>
  </sheetData>
  <mergeCells count="42">
    <mergeCell ref="N41:N42"/>
    <mergeCell ref="O41:O42"/>
    <mergeCell ref="P41:P42"/>
    <mergeCell ref="B22:B23"/>
    <mergeCell ref="C22:C23"/>
    <mergeCell ref="D22:D23"/>
    <mergeCell ref="E22:E23"/>
    <mergeCell ref="F22:F23"/>
    <mergeCell ref="G22:G23"/>
    <mergeCell ref="H22:H23"/>
    <mergeCell ref="L41:L42"/>
    <mergeCell ref="F41:F42"/>
    <mergeCell ref="G41:G42"/>
    <mergeCell ref="J41:J42"/>
    <mergeCell ref="K41:K42"/>
    <mergeCell ref="I41:I42"/>
    <mergeCell ref="J2:J3"/>
    <mergeCell ref="B2:B3"/>
    <mergeCell ref="C2:C3"/>
    <mergeCell ref="D2:D3"/>
    <mergeCell ref="E2:E3"/>
    <mergeCell ref="F2:F3"/>
    <mergeCell ref="G2:G3"/>
    <mergeCell ref="H2:H3"/>
    <mergeCell ref="I2:I3"/>
    <mergeCell ref="H41:H42"/>
    <mergeCell ref="I22:I23"/>
    <mergeCell ref="J22:J23"/>
    <mergeCell ref="G33:G34"/>
    <mergeCell ref="J33:J34"/>
    <mergeCell ref="H33:H34"/>
    <mergeCell ref="I33:I34"/>
    <mergeCell ref="B93:E93"/>
    <mergeCell ref="E33:E34"/>
    <mergeCell ref="F33:F34"/>
    <mergeCell ref="B33:B34"/>
    <mergeCell ref="C33:C34"/>
    <mergeCell ref="D33:D34"/>
    <mergeCell ref="B41:B42"/>
    <mergeCell ref="C41:C42"/>
    <mergeCell ref="D41:D42"/>
    <mergeCell ref="E41:E42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AA16-CA53-415E-93DE-9071D223448A}">
  <sheetPr codeName="Sheet3">
    <tabColor rgb="FFFF0000"/>
  </sheetPr>
  <dimension ref="A1:S101"/>
  <sheetViews>
    <sheetView showGridLines="0" zoomScale="80" zoomScaleNormal="80" workbookViewId="0">
      <selection activeCell="B11" sqref="B11:E11"/>
    </sheetView>
  </sheetViews>
  <sheetFormatPr baseColWidth="10" defaultColWidth="8.83203125" defaultRowHeight="15" x14ac:dyDescent="0.2"/>
  <cols>
    <col min="2" max="2" width="32.6640625" customWidth="1"/>
    <col min="3" max="5" width="17.1640625" customWidth="1"/>
    <col min="6" max="6" width="28.1640625" style="72" customWidth="1"/>
    <col min="7" max="7" width="27" bestFit="1" customWidth="1"/>
    <col min="8" max="8" width="6.83203125" customWidth="1"/>
    <col min="9" max="9" width="19.5" bestFit="1" customWidth="1"/>
    <col min="10" max="10" width="19.33203125" customWidth="1"/>
    <col min="11" max="11" width="19" bestFit="1" customWidth="1"/>
    <col min="12" max="12" width="18" bestFit="1" customWidth="1"/>
    <col min="13" max="13" width="19" bestFit="1" customWidth="1"/>
    <col min="14" max="14" width="16.6640625" bestFit="1" customWidth="1"/>
    <col min="15" max="15" width="17.1640625" bestFit="1" customWidth="1"/>
    <col min="16" max="16" width="18.33203125" bestFit="1" customWidth="1"/>
    <col min="17" max="17" width="20.83203125" bestFit="1" customWidth="1"/>
    <col min="18" max="18" width="18.5" bestFit="1" customWidth="1"/>
    <col min="19" max="19" width="14" bestFit="1" customWidth="1"/>
  </cols>
  <sheetData>
    <row r="1" spans="1:14" ht="47" x14ac:dyDescent="0.55000000000000004">
      <c r="B1" s="379" t="s">
        <v>1092</v>
      </c>
    </row>
    <row r="2" spans="1:14" x14ac:dyDescent="0.2">
      <c r="B2" s="30" t="s">
        <v>170</v>
      </c>
      <c r="C2" s="30">
        <v>2024</v>
      </c>
      <c r="D2" s="30" t="s">
        <v>183</v>
      </c>
      <c r="E2" s="30" t="s">
        <v>184</v>
      </c>
    </row>
    <row r="3" spans="1:14" ht="15" customHeight="1" x14ac:dyDescent="0.2">
      <c r="B3" s="31" t="s">
        <v>171</v>
      </c>
      <c r="C3" s="32">
        <f>KAS!N$5</f>
        <v>14579487152</v>
      </c>
      <c r="D3" s="49">
        <f>KAS!J$5</f>
        <v>11475827934</v>
      </c>
      <c r="E3" s="32">
        <f>KAS!J$5</f>
        <v>11475827934</v>
      </c>
      <c r="F3" s="371"/>
      <c r="G3" s="457" t="s">
        <v>1032</v>
      </c>
      <c r="H3" s="457" t="s">
        <v>59</v>
      </c>
      <c r="I3" s="454" t="s">
        <v>171</v>
      </c>
      <c r="J3" s="455"/>
      <c r="K3" s="454" t="s">
        <v>173</v>
      </c>
      <c r="L3" s="455"/>
      <c r="M3" s="454" t="s">
        <v>542</v>
      </c>
      <c r="N3" s="455"/>
    </row>
    <row r="4" spans="1:14" x14ac:dyDescent="0.2">
      <c r="B4" s="31" t="s">
        <v>172</v>
      </c>
      <c r="C4" s="32">
        <f>PIUTANG!K$5</f>
        <v>0</v>
      </c>
      <c r="D4" s="35">
        <f>PIUTANG!I$5</f>
        <v>0</v>
      </c>
      <c r="E4" s="32">
        <f>PIUTANG!I$5</f>
        <v>0</v>
      </c>
      <c r="G4" s="457"/>
      <c r="H4" s="457"/>
      <c r="I4" s="30">
        <v>2024</v>
      </c>
      <c r="J4" s="30">
        <v>2025</v>
      </c>
      <c r="K4" s="30">
        <v>2024</v>
      </c>
      <c r="L4" s="30">
        <v>2025</v>
      </c>
      <c r="M4" s="30">
        <v>2024</v>
      </c>
      <c r="N4" s="30">
        <v>2025</v>
      </c>
    </row>
    <row r="5" spans="1:14" x14ac:dyDescent="0.2">
      <c r="B5" s="31" t="s">
        <v>173</v>
      </c>
      <c r="C5" s="32">
        <f>INVEST!P$5</f>
        <v>157557581602</v>
      </c>
      <c r="D5" s="32">
        <f>INVEST!J$5</f>
        <v>229892184504</v>
      </c>
      <c r="E5" s="32">
        <f>INVEST!L$5</f>
        <v>230091984504</v>
      </c>
      <c r="F5" s="372"/>
      <c r="G5" s="355" t="s">
        <v>529</v>
      </c>
      <c r="H5" s="355" t="s">
        <v>515</v>
      </c>
      <c r="I5" s="108">
        <f>SUMIFS(KAS!$N$8:$N$211,KAS!$F$8:$F$211,$G5)</f>
        <v>271005371</v>
      </c>
      <c r="J5" s="108">
        <f>SUMIFS(KAS!$J$8:$J$211,KAS!$F$8:$F$211,$G5)</f>
        <v>479109679</v>
      </c>
      <c r="K5" s="108">
        <f>SUMIFS(INVEST!$P$8:$P$215,INVEST!$H$8:$H$215,RECAP!$H5)</f>
        <v>6385118067</v>
      </c>
      <c r="L5" s="108">
        <f>SUMIFS(INVEST!$J$8:$J$215,INVEST!$H$8:$H$215,RECAP!$H5)</f>
        <v>30768099335</v>
      </c>
      <c r="M5" s="352">
        <f>SUM(I5,K5)</f>
        <v>6656123438</v>
      </c>
      <c r="N5" s="352">
        <f>SUM(J5,L5)</f>
        <v>31247209014</v>
      </c>
    </row>
    <row r="6" spans="1:14" x14ac:dyDescent="0.2">
      <c r="B6" s="31" t="s">
        <v>174</v>
      </c>
      <c r="C6" s="32">
        <f>'HARTA BERGERAK'!M$5</f>
        <v>2287500000</v>
      </c>
      <c r="D6" s="32">
        <f>'HARTA BERGERAK'!J$5</f>
        <v>1858000000</v>
      </c>
      <c r="E6" s="32">
        <f>'HARTA BERGERAK'!K$5</f>
        <v>1251300000</v>
      </c>
      <c r="F6" s="372"/>
      <c r="G6" s="355" t="s">
        <v>535</v>
      </c>
      <c r="H6" s="355" t="s">
        <v>543</v>
      </c>
      <c r="I6" s="108">
        <f>SUMIFS(KAS!$N$8:$N$211,KAS!$F$8:$F$211,$G6)</f>
        <v>4775316278</v>
      </c>
      <c r="J6" s="108">
        <f>SUMIFS(KAS!$J$8:$J$211,KAS!$F$8:$F$211,$G6)</f>
        <v>4479793691</v>
      </c>
      <c r="K6" s="108">
        <f>SUMIFS(INVEST!$P$8:$P$215,INVEST!$H$8:$H$215,RECAP!$H6)</f>
        <v>3619000000</v>
      </c>
      <c r="L6" s="108">
        <f>SUMIFS(INVEST!$J$8:$J$215,INVEST!$H$8:$H$215,RECAP!$H6)</f>
        <v>3355400000</v>
      </c>
      <c r="M6" s="352">
        <f t="shared" ref="M6:N6" si="0">SUM(I6,K6)</f>
        <v>8394316278</v>
      </c>
      <c r="N6" s="352">
        <f t="shared" si="0"/>
        <v>7835193691</v>
      </c>
    </row>
    <row r="7" spans="1:14" x14ac:dyDescent="0.2">
      <c r="B7" s="31" t="s">
        <v>175</v>
      </c>
      <c r="C7" s="32">
        <f>'HARTA TIDAK BERGERAK'!N$5</f>
        <v>21454481063</v>
      </c>
      <c r="D7" s="32">
        <f>'HARTA TIDAK BERGERAK'!K$5</f>
        <v>21454481063</v>
      </c>
      <c r="E7" s="32">
        <f>'HARTA TIDAK BERGERAK'!L$5</f>
        <v>57938723564</v>
      </c>
      <c r="F7" s="372"/>
      <c r="G7" s="355" t="s">
        <v>228</v>
      </c>
      <c r="H7" s="355" t="s">
        <v>549</v>
      </c>
      <c r="I7" s="108">
        <f>SUMIFS(KAS!$N$8:$N$211,KAS!$F$8:$F$211,$G7)</f>
        <v>2616448367</v>
      </c>
      <c r="J7" s="108">
        <f>SUMIFS(KAS!$J$8:$J$211,KAS!$F$8:$F$211,$G7)</f>
        <v>2298137063</v>
      </c>
      <c r="K7" s="108">
        <f>SUMIFS(INVEST!$P$8:$P$215,INVEST!$H$8:$H$215,RECAP!$H7)</f>
        <v>39884712270</v>
      </c>
      <c r="L7" s="108">
        <f>SUMIFS(INVEST!$J$8:$J$215,INVEST!$H$8:$H$215,RECAP!$H7)</f>
        <v>52573788229</v>
      </c>
      <c r="M7" s="352">
        <f t="shared" ref="M7" si="1">SUM(I7,K7)</f>
        <v>42501160637</v>
      </c>
      <c r="N7" s="352">
        <f t="shared" ref="N7" si="2">SUM(J7,L7)</f>
        <v>54871925292</v>
      </c>
    </row>
    <row r="8" spans="1:14" x14ac:dyDescent="0.2">
      <c r="B8" s="31" t="s">
        <v>176</v>
      </c>
      <c r="C8" s="32">
        <f>'HARTA LAINNYA'!J$5</f>
        <v>7113010000</v>
      </c>
      <c r="D8" s="32">
        <f>'HARTA LAINNYA'!G$5</f>
        <v>6964760000</v>
      </c>
      <c r="E8" s="32">
        <f>'HARTA LAINNYA'!H$5</f>
        <v>20319280000</v>
      </c>
      <c r="F8" s="372"/>
      <c r="G8" s="355" t="s">
        <v>378</v>
      </c>
      <c r="H8" s="355" t="s">
        <v>591</v>
      </c>
      <c r="I8" s="108">
        <f>SUMIFS(KAS!$N$8:$N$211,KAS!$F$8:$F$211,$G8)</f>
        <v>179521963</v>
      </c>
      <c r="J8" s="108">
        <f>SUMIFS(KAS!$J$8:$J$211,KAS!$F$8:$F$211,$G8)</f>
        <v>520301174</v>
      </c>
      <c r="K8" s="108">
        <f>SUMIFS(INVEST!$P$8:$P$215,INVEST!$H$8:$H$215,RECAP!$H8)</f>
        <v>34499750000</v>
      </c>
      <c r="L8" s="108">
        <f>SUMIFS(INVEST!$J$8:$J$215,INVEST!$H$8:$H$215,RECAP!$H8)</f>
        <v>33958010000</v>
      </c>
      <c r="M8" s="352">
        <f t="shared" ref="M8" si="3">SUM(I8,K8)</f>
        <v>34679271963</v>
      </c>
      <c r="N8" s="352">
        <f t="shared" ref="N8" si="4">SUM(J8,L8)</f>
        <v>34478311174</v>
      </c>
    </row>
    <row r="9" spans="1:14" x14ac:dyDescent="0.2">
      <c r="B9" s="33" t="s">
        <v>177</v>
      </c>
      <c r="C9" s="34">
        <f t="shared" ref="C9:D9" si="5">SUM(C3:C8)</f>
        <v>202992059817</v>
      </c>
      <c r="D9" s="34">
        <f t="shared" si="5"/>
        <v>271645253501</v>
      </c>
      <c r="E9" s="34">
        <f>SUM(E3:E8)</f>
        <v>321077116002</v>
      </c>
      <c r="F9" s="372" t="s">
        <v>1094</v>
      </c>
      <c r="G9" s="355" t="s">
        <v>611</v>
      </c>
      <c r="H9" s="355" t="s">
        <v>622</v>
      </c>
      <c r="I9" s="108">
        <f>SUMIFS(KAS!$N$8:$N$211,KAS!$F$8:$F$211,$G9)</f>
        <v>3833567707</v>
      </c>
      <c r="J9" s="108">
        <f>SUMIFS(KAS!$J$8:$J$211,KAS!$F$8:$F$211,$G9)</f>
        <v>703053335</v>
      </c>
      <c r="K9" s="108">
        <f>SUMIFS(INVEST!$P$8:$P$215,INVEST!$H$8:$H$215,RECAP!$H9)</f>
        <v>1100000000</v>
      </c>
      <c r="L9" s="108">
        <f>SUMIFS(INVEST!$J$8:$J$215,INVEST!$H$8:$H$215,RECAP!$H9)</f>
        <v>6862623126</v>
      </c>
      <c r="M9" s="352">
        <f t="shared" ref="M9" si="6">SUM(I9,K9)</f>
        <v>4933567707</v>
      </c>
      <c r="N9" s="352">
        <f t="shared" ref="N9" si="7">SUM(J9,L9)</f>
        <v>7565676461</v>
      </c>
    </row>
    <row r="10" spans="1:14" x14ac:dyDescent="0.2">
      <c r="B10" s="50" t="s">
        <v>199</v>
      </c>
      <c r="C10" s="51">
        <f>HUTANG!J$5</f>
        <v>0</v>
      </c>
      <c r="D10" s="51">
        <f>HUTANG!H5</f>
        <v>0</v>
      </c>
      <c r="E10" s="51">
        <f>D10</f>
        <v>0</v>
      </c>
      <c r="F10" s="372"/>
      <c r="G10" s="355" t="s">
        <v>624</v>
      </c>
      <c r="H10" s="355" t="s">
        <v>639</v>
      </c>
      <c r="I10" s="108">
        <f>SUMIFS(KAS!$N$8:$N$211,KAS!$F$8:$F$211,$G10)</f>
        <v>225113597</v>
      </c>
      <c r="J10" s="108">
        <f>SUMIFS(KAS!$J$8:$J$211,KAS!$F$8:$F$211,$G10)</f>
        <v>282662537</v>
      </c>
      <c r="K10" s="108">
        <f>SUMIFS(INVEST!$P$8:$P$215,INVEST!$H$8:$H$215,RECAP!$H10)</f>
        <v>1000000000</v>
      </c>
      <c r="L10" s="108">
        <f>SUMIFS(INVEST!$J$8:$J$215,INVEST!$H$8:$H$215,RECAP!$H10)</f>
        <v>1000000000</v>
      </c>
      <c r="M10" s="352">
        <f t="shared" ref="M10:M11" si="8">SUM(I10,K10)</f>
        <v>1225113597</v>
      </c>
      <c r="N10" s="352">
        <f t="shared" ref="N10:N11" si="9">SUM(J10,L10)</f>
        <v>1282662537</v>
      </c>
    </row>
    <row r="11" spans="1:14" x14ac:dyDescent="0.2">
      <c r="B11" s="52" t="s">
        <v>200</v>
      </c>
      <c r="C11" s="53">
        <f>C9-C10</f>
        <v>202992059817</v>
      </c>
      <c r="D11" s="53">
        <f t="shared" ref="D11:E11" si="10">D9-D10</f>
        <v>271645253501</v>
      </c>
      <c r="E11" s="53">
        <f t="shared" si="10"/>
        <v>321077116002</v>
      </c>
      <c r="F11" s="372"/>
      <c r="G11" s="355" t="s">
        <v>383</v>
      </c>
      <c r="H11" s="355" t="s">
        <v>640</v>
      </c>
      <c r="I11" s="108">
        <f>SUMIFS(KAS!$N$8:$N$211,KAS!$F$8:$F$211,$G11)</f>
        <v>131871464</v>
      </c>
      <c r="J11" s="108">
        <f>SUMIFS(KAS!$J$8:$J$211,KAS!$F$8:$F$211,$G11)</f>
        <v>69884414</v>
      </c>
      <c r="K11" s="108">
        <f>SUMIFS(INVEST!$P$8:$P$215,INVEST!$H$8:$H$215,RECAP!$H11)</f>
        <v>0</v>
      </c>
      <c r="L11" s="108">
        <f>SUMIFS(INVEST!$J$8:$J$215,INVEST!$H$8:$H$215,RECAP!$H11)</f>
        <v>0</v>
      </c>
      <c r="M11" s="352">
        <f t="shared" si="8"/>
        <v>131871464</v>
      </c>
      <c r="N11" s="352">
        <f t="shared" si="9"/>
        <v>69884414</v>
      </c>
    </row>
    <row r="12" spans="1:14" x14ac:dyDescent="0.2">
      <c r="C12" s="40">
        <f>C9+C27-C39</f>
        <v>217232726937.24066</v>
      </c>
      <c r="D12" s="40">
        <f>C12-D9</f>
        <v>-54412526563.759338</v>
      </c>
      <c r="F12" s="372"/>
      <c r="G12" s="355" t="s">
        <v>636</v>
      </c>
      <c r="H12" s="355" t="s">
        <v>666</v>
      </c>
      <c r="I12" s="108">
        <f>SUMIFS(KAS!$N$8:$N$211,KAS!$F$8:$F$211,$G12)</f>
        <v>50013915</v>
      </c>
      <c r="J12" s="108">
        <f>SUMIFS(KAS!$J$8:$J$211,KAS!$F$8:$F$211,$G12)</f>
        <v>227131466</v>
      </c>
      <c r="K12" s="108">
        <f>SUMIFS(INVEST!$P$8:$P$215,INVEST!$H$8:$H$215,RECAP!$H12)</f>
        <v>18689385072</v>
      </c>
      <c r="L12" s="108">
        <f>SUMIFS(INVEST!$J$8:$J$215,INVEST!$H$8:$H$215,RECAP!$H12)</f>
        <v>28748005396</v>
      </c>
      <c r="M12" s="352">
        <f t="shared" ref="M12" si="11">SUM(I12,K12)</f>
        <v>18739398987</v>
      </c>
      <c r="N12" s="352">
        <f t="shared" ref="N12" si="12">SUM(J12,L12)</f>
        <v>28975136862</v>
      </c>
    </row>
    <row r="13" spans="1:14" x14ac:dyDescent="0.2">
      <c r="C13" s="40">
        <v>257411554758</v>
      </c>
      <c r="D13" s="40">
        <f>D9-C9</f>
        <v>68653193684</v>
      </c>
      <c r="E13">
        <v>86598327637</v>
      </c>
      <c r="G13" s="355" t="s">
        <v>680</v>
      </c>
      <c r="H13" s="355" t="s">
        <v>679</v>
      </c>
      <c r="I13" s="108">
        <f>SUMIFS(KAS!$N$8:$N$211,KAS!$F$8:$F$211,$G13)</f>
        <v>0</v>
      </c>
      <c r="J13" s="108">
        <f>SUMIFS(KAS!$J$8:$J$211,KAS!$F$8:$F$211,$G13)</f>
        <v>0</v>
      </c>
      <c r="K13" s="108">
        <f>SUMIFS(INVEST!$P$8:$P$215,INVEST!$H$8:$H$215,RECAP!$H13)</f>
        <v>914048481</v>
      </c>
      <c r="L13" s="108">
        <f>SUMIFS(INVEST!$J$8:$J$215,INVEST!$H$8:$H$215,RECAP!$H13)</f>
        <v>1821210544</v>
      </c>
      <c r="M13" s="352">
        <f t="shared" ref="M13:M14" si="13">SUM(I13,K13)</f>
        <v>914048481</v>
      </c>
      <c r="N13" s="352">
        <f t="shared" ref="N13:N14" si="14">SUM(J13,L13)</f>
        <v>1821210544</v>
      </c>
    </row>
    <row r="14" spans="1:14" x14ac:dyDescent="0.2">
      <c r="C14" s="40">
        <f>C13-C11</f>
        <v>54419494941</v>
      </c>
      <c r="G14" s="355" t="s">
        <v>682</v>
      </c>
      <c r="H14" s="355" t="s">
        <v>683</v>
      </c>
      <c r="I14" s="108">
        <f>SUMIFS(KAS!$N$8:$N$211,KAS!$F$8:$F$211,$G14)</f>
        <v>0</v>
      </c>
      <c r="J14" s="108">
        <f>SUMIFS(KAS!$J$8:$J$211,KAS!$F$8:$F$211,$G14)</f>
        <v>0</v>
      </c>
      <c r="K14" s="108">
        <f>SUMIFS(INVEST!$P$8:$P$215,INVEST!$H$8:$H$215,RECAP!$H14)</f>
        <v>1770860000</v>
      </c>
      <c r="L14" s="108">
        <f>SUMIFS(INVEST!$J$8:$J$215,INVEST!$H$8:$H$215,RECAP!$H14)</f>
        <v>3657152090</v>
      </c>
      <c r="M14" s="352">
        <f t="shared" si="13"/>
        <v>1770860000</v>
      </c>
      <c r="N14" s="352">
        <f t="shared" si="14"/>
        <v>3657152090</v>
      </c>
    </row>
    <row r="15" spans="1:14" x14ac:dyDescent="0.2">
      <c r="B15" s="42" t="s">
        <v>179</v>
      </c>
      <c r="C15" s="41">
        <f>OMSET!U23</f>
        <v>3277160000</v>
      </c>
      <c r="F15" s="372"/>
      <c r="G15" s="355" t="s">
        <v>802</v>
      </c>
      <c r="H15" s="355" t="s">
        <v>795</v>
      </c>
      <c r="I15" s="108">
        <f>SUMIFS(KAS!$N$8:$N$211,KAS!$F$8:$F$211,$G15)</f>
        <v>11225950</v>
      </c>
      <c r="J15" s="108">
        <f>SUMIFS(KAS!$J$8:$J$211,KAS!$F$8:$F$211,$G15)</f>
        <v>289120215</v>
      </c>
      <c r="K15" s="108">
        <f>SUMIFS(INVEST!$P$8:$P$215,INVEST!$H$8:$H$215,RECAP!$H15)</f>
        <v>12380000000</v>
      </c>
      <c r="L15" s="108">
        <f>SUMIFS(INVEST!$J$8:$J$215,INVEST!$H$8:$H$215,RECAP!$H15)</f>
        <v>10140000000</v>
      </c>
      <c r="M15" s="352">
        <f t="shared" ref="M15" si="15">SUM(I15,K15)</f>
        <v>12391225950</v>
      </c>
      <c r="N15" s="352">
        <f t="shared" ref="N15" si="16">SUM(J15,L15)</f>
        <v>10429120215</v>
      </c>
    </row>
    <row r="16" spans="1:14" ht="16" x14ac:dyDescent="0.2">
      <c r="A16" s="59">
        <v>0.3</v>
      </c>
      <c r="B16" s="43" t="s">
        <v>189</v>
      </c>
      <c r="C16" s="44">
        <f>C15*A16</f>
        <v>983148000</v>
      </c>
      <c r="F16" s="372"/>
      <c r="G16" s="355" t="s">
        <v>713</v>
      </c>
      <c r="H16" s="355" t="s">
        <v>759</v>
      </c>
      <c r="I16" s="108">
        <f>SUMIFS(KAS!$N$8:$N$211,KAS!$F$8:$F$211,$G16)</f>
        <v>116829497</v>
      </c>
      <c r="J16" s="108">
        <f>SUMIFS(KAS!$J$8:$J$211,KAS!$F$8:$F$211,$G16)</f>
        <v>96981465</v>
      </c>
      <c r="K16" s="108">
        <f>SUMIFS(INVEST!$P$8:$P$215,INVEST!$H$8:$H$215,RECAP!$H16)</f>
        <v>12102305545</v>
      </c>
      <c r="L16" s="108">
        <f>SUMIFS(INVEST!$J$8:$J$215,INVEST!$H$8:$H$215,RECAP!$H16)</f>
        <v>31407917471</v>
      </c>
      <c r="M16" s="352">
        <f t="shared" ref="M16:M17" si="17">SUM(I16,K16)</f>
        <v>12219135042</v>
      </c>
      <c r="N16" s="352">
        <f t="shared" ref="N16:N17" si="18">SUM(J16,L16)</f>
        <v>31504898936</v>
      </c>
    </row>
    <row r="17" spans="1:15" ht="16" x14ac:dyDescent="0.2">
      <c r="B17" s="43" t="s">
        <v>180</v>
      </c>
      <c r="C17" s="45">
        <f>OMSET!Y23</f>
        <v>13885800</v>
      </c>
      <c r="F17" s="372"/>
      <c r="G17" s="355" t="s">
        <v>380</v>
      </c>
      <c r="H17" s="355" t="s">
        <v>786</v>
      </c>
      <c r="I17" s="108">
        <f>SUMIFS(KAS!$N$8:$N$211,KAS!$F$8:$F$211,$G17)</f>
        <v>353573043</v>
      </c>
      <c r="J17" s="108">
        <f>SUMIFS(KAS!$J$8:$J$211,KAS!$F$8:$F$211,$G17)</f>
        <v>1129652895</v>
      </c>
      <c r="K17" s="108">
        <f>SUMIFS(INVEST!$P$8:$P$215,INVEST!$H$8:$H$215,RECAP!$H17)</f>
        <v>20689652167</v>
      </c>
      <c r="L17" s="108">
        <f>SUMIFS(INVEST!$J$8:$J$215,INVEST!$H$8:$H$215,RECAP!$H17)</f>
        <v>21077228313</v>
      </c>
      <c r="M17" s="352">
        <f t="shared" si="17"/>
        <v>21043225210</v>
      </c>
      <c r="N17" s="352">
        <f t="shared" si="18"/>
        <v>22206881208</v>
      </c>
    </row>
    <row r="18" spans="1:15" ht="16" x14ac:dyDescent="0.2">
      <c r="B18" s="43" t="s">
        <v>181</v>
      </c>
      <c r="C18" s="45">
        <v>0</v>
      </c>
      <c r="G18" s="355" t="s">
        <v>924</v>
      </c>
      <c r="H18" s="355" t="s">
        <v>923</v>
      </c>
      <c r="I18" s="108">
        <f>SUMIFS(KAS!$N$8:$N$211,KAS!$F$8:$F$211,$G18)</f>
        <v>0</v>
      </c>
      <c r="J18" s="108">
        <f>SUMIFS(KAS!$J$8:$J$211,KAS!$F$8:$F$211,$G18)</f>
        <v>0</v>
      </c>
      <c r="K18" s="108">
        <f>SUMIFS(INVEST!$P$8:$P$215,INVEST!$H$8:$H$215,RECAP!$H18)</f>
        <v>2316750000</v>
      </c>
      <c r="L18" s="108">
        <f>SUMIFS(INVEST!$J$8:$J$215,INVEST!$H$8:$H$215,RECAP!$H18)</f>
        <v>2316750000</v>
      </c>
      <c r="M18" s="352">
        <f t="shared" ref="M18" si="19">SUM(I18,K18)</f>
        <v>2316750000</v>
      </c>
      <c r="N18" s="352">
        <f t="shared" ref="N18" si="20">SUM(J18,L18)</f>
        <v>2316750000</v>
      </c>
      <c r="O18" s="100"/>
    </row>
    <row r="19" spans="1:15" ht="16" x14ac:dyDescent="0.2">
      <c r="B19" s="43" t="s">
        <v>1055</v>
      </c>
      <c r="C19" s="45">
        <f>MID(B19,13,2)*12*1000000</f>
        <v>540000000</v>
      </c>
      <c r="G19" s="357" t="s">
        <v>227</v>
      </c>
      <c r="H19" s="358"/>
      <c r="I19" s="354">
        <f t="shared" ref="I19:N19" si="21">SUM(I5:I18)</f>
        <v>12564487152</v>
      </c>
      <c r="J19" s="354">
        <f t="shared" si="21"/>
        <v>10575827934</v>
      </c>
      <c r="K19" s="354">
        <f t="shared" si="21"/>
        <v>155351581602</v>
      </c>
      <c r="L19" s="354">
        <f t="shared" si="21"/>
        <v>227686184504</v>
      </c>
      <c r="M19" s="354">
        <f t="shared" si="21"/>
        <v>167916068754</v>
      </c>
      <c r="N19" s="354">
        <f t="shared" si="21"/>
        <v>238262012438</v>
      </c>
      <c r="O19" s="40"/>
    </row>
    <row r="20" spans="1:15" x14ac:dyDescent="0.2">
      <c r="K20" s="40"/>
      <c r="L20" s="40"/>
    </row>
    <row r="21" spans="1:15" x14ac:dyDescent="0.2">
      <c r="B21" s="39" t="s">
        <v>182</v>
      </c>
      <c r="C21" s="374">
        <f>C16-C17+C18-C19</f>
        <v>429262200</v>
      </c>
      <c r="D21" t="s">
        <v>1069</v>
      </c>
      <c r="K21" s="40"/>
      <c r="L21" s="40"/>
      <c r="N21" s="40"/>
    </row>
    <row r="22" spans="1:15" x14ac:dyDescent="0.2">
      <c r="B22" s="39"/>
      <c r="C22" s="46">
        <v>0</v>
      </c>
      <c r="G22" t="s">
        <v>815</v>
      </c>
      <c r="I22" s="40">
        <f>I19*1%</f>
        <v>125644871.52</v>
      </c>
      <c r="J22" s="40">
        <f>J19*1%</f>
        <v>105758279.34</v>
      </c>
      <c r="K22" s="40">
        <f>K19*6%</f>
        <v>9321094896.1199989</v>
      </c>
      <c r="L22" s="40">
        <f>L19*6%</f>
        <v>13661171070.24</v>
      </c>
      <c r="M22" s="40">
        <f>SUM(I22,K22)</f>
        <v>9446739767.6399994</v>
      </c>
      <c r="N22" s="40">
        <f>SUM(J22,L22)</f>
        <v>13766929349.58</v>
      </c>
    </row>
    <row r="24" spans="1:15" x14ac:dyDescent="0.2">
      <c r="B24" s="39"/>
      <c r="C24" s="46"/>
      <c r="G24" t="s">
        <v>816</v>
      </c>
    </row>
    <row r="25" spans="1:15" x14ac:dyDescent="0.2">
      <c r="B25" s="164" t="s">
        <v>1071</v>
      </c>
      <c r="C25" s="361">
        <f>D9-C9</f>
        <v>68653193684</v>
      </c>
      <c r="G25" s="114">
        <v>5.5E-2</v>
      </c>
      <c r="K25" s="46">
        <f>K$19*$G25</f>
        <v>8544336988.1099997</v>
      </c>
      <c r="L25" s="46">
        <f>L$19*$G25</f>
        <v>12522740147.719999</v>
      </c>
    </row>
    <row r="26" spans="1:15" x14ac:dyDescent="0.2">
      <c r="G26" s="114">
        <f>G25+0.25%</f>
        <v>5.7500000000000002E-2</v>
      </c>
      <c r="K26" s="46">
        <f t="shared" ref="K26:L31" si="22">K$19*$G26</f>
        <v>8932715942.1149998</v>
      </c>
      <c r="L26" s="46">
        <f t="shared" si="22"/>
        <v>13091955608.980001</v>
      </c>
    </row>
    <row r="27" spans="1:15" x14ac:dyDescent="0.2">
      <c r="B27" s="358" t="s">
        <v>388</v>
      </c>
      <c r="C27" s="363">
        <f>SUM(C28:C36)</f>
        <v>16695317120.240662</v>
      </c>
      <c r="D27" s="366" t="s">
        <v>840</v>
      </c>
      <c r="E27" s="366" t="s">
        <v>841</v>
      </c>
      <c r="G27" s="114">
        <f t="shared" ref="G27:G31" si="23">G26+0.25%</f>
        <v>6.0000000000000005E-2</v>
      </c>
      <c r="K27" s="46">
        <f t="shared" si="22"/>
        <v>9321094896.1200008</v>
      </c>
      <c r="L27" s="46">
        <f t="shared" si="22"/>
        <v>13661171070.240002</v>
      </c>
    </row>
    <row r="28" spans="1:15" x14ac:dyDescent="0.2">
      <c r="B28" s="356" t="s">
        <v>817</v>
      </c>
      <c r="C28" s="364">
        <f>D28-E28</f>
        <v>114592500</v>
      </c>
      <c r="D28" s="367">
        <v>117000000</v>
      </c>
      <c r="E28" s="367">
        <v>2407500</v>
      </c>
      <c r="G28" s="114">
        <f t="shared" si="23"/>
        <v>6.25E-2</v>
      </c>
      <c r="K28" s="46">
        <f t="shared" si="22"/>
        <v>9709473850.125</v>
      </c>
      <c r="L28" s="46">
        <f t="shared" si="22"/>
        <v>14230386531.5</v>
      </c>
    </row>
    <row r="29" spans="1:15" x14ac:dyDescent="0.2">
      <c r="A29" t="s">
        <v>1078</v>
      </c>
      <c r="B29" s="356" t="s">
        <v>843</v>
      </c>
      <c r="C29" s="364">
        <f>D29-E29</f>
        <v>100570500</v>
      </c>
      <c r="D29" s="367">
        <f>BUPOT!F9</f>
        <v>105850526</v>
      </c>
      <c r="E29" s="367">
        <f>BUPOT!G9</f>
        <v>5280026</v>
      </c>
      <c r="G29" s="114">
        <f t="shared" si="23"/>
        <v>6.5000000000000002E-2</v>
      </c>
      <c r="K29" s="46">
        <f t="shared" si="22"/>
        <v>10097852804.130001</v>
      </c>
      <c r="L29" s="46">
        <f t="shared" si="22"/>
        <v>14799601992.76</v>
      </c>
    </row>
    <row r="30" spans="1:15" x14ac:dyDescent="0.2">
      <c r="A30" t="s">
        <v>1078</v>
      </c>
      <c r="B30" s="356" t="s">
        <v>267</v>
      </c>
      <c r="C30" s="364">
        <f>D30-E30</f>
        <v>108000000</v>
      </c>
      <c r="D30" s="367">
        <v>120000000</v>
      </c>
      <c r="E30" s="367">
        <f>D30*10%</f>
        <v>12000000</v>
      </c>
      <c r="G30" s="114">
        <f t="shared" si="23"/>
        <v>6.7500000000000004E-2</v>
      </c>
      <c r="H30" s="100"/>
      <c r="K30" s="46">
        <f t="shared" si="22"/>
        <v>10486231758.135</v>
      </c>
      <c r="L30" s="46">
        <f t="shared" si="22"/>
        <v>15368817454.02</v>
      </c>
    </row>
    <row r="31" spans="1:15" x14ac:dyDescent="0.2">
      <c r="A31" t="s">
        <v>1078</v>
      </c>
      <c r="B31" s="356" t="s">
        <v>842</v>
      </c>
      <c r="C31" s="364">
        <f>BUNGA!G117</f>
        <v>149823656</v>
      </c>
      <c r="D31" s="367">
        <f>C31</f>
        <v>149823656</v>
      </c>
      <c r="E31" s="367">
        <f>D31*0%</f>
        <v>0</v>
      </c>
      <c r="G31" s="114">
        <f t="shared" si="23"/>
        <v>7.0000000000000007E-2</v>
      </c>
      <c r="K31" s="46">
        <f t="shared" si="22"/>
        <v>10874610712.140001</v>
      </c>
      <c r="L31" s="46">
        <f t="shared" si="22"/>
        <v>15938032915.280001</v>
      </c>
    </row>
    <row r="32" spans="1:15" x14ac:dyDescent="0.2">
      <c r="B32" s="356" t="s">
        <v>833</v>
      </c>
      <c r="C32" s="364">
        <v>150000000</v>
      </c>
      <c r="D32" s="367"/>
      <c r="E32" s="367"/>
    </row>
    <row r="33" spans="1:14" ht="16" thickBot="1" x14ac:dyDescent="0.25">
      <c r="B33" s="356" t="s">
        <v>1054</v>
      </c>
      <c r="C33" s="364">
        <f>BUNGA!L93</f>
        <v>1491645314.7306616</v>
      </c>
      <c r="D33" s="367"/>
      <c r="E33" s="367"/>
    </row>
    <row r="34" spans="1:14" x14ac:dyDescent="0.2">
      <c r="A34" t="s">
        <v>1078</v>
      </c>
      <c r="B34" s="356" t="s">
        <v>1059</v>
      </c>
      <c r="C34" s="364">
        <f>D34-E34</f>
        <v>13463098731.486</v>
      </c>
      <c r="D34" s="367">
        <f>SUM(I99,J99)</f>
        <v>14958998590.540001</v>
      </c>
      <c r="E34" s="367">
        <f>D34*10%</f>
        <v>1495899859.0540001</v>
      </c>
      <c r="G34" s="370" t="s">
        <v>834</v>
      </c>
      <c r="H34" s="326"/>
      <c r="I34" s="326"/>
      <c r="J34" s="326"/>
      <c r="K34" s="326"/>
      <c r="L34" s="326"/>
      <c r="M34" s="326"/>
      <c r="N34" s="327"/>
    </row>
    <row r="35" spans="1:14" x14ac:dyDescent="0.2">
      <c r="A35" t="s">
        <v>1078</v>
      </c>
      <c r="B35" s="356" t="s">
        <v>1077</v>
      </c>
      <c r="C35" s="364">
        <f>D35-E35</f>
        <v>134438418.02399999</v>
      </c>
      <c r="D35" s="367">
        <f>O76</f>
        <v>168048022.53</v>
      </c>
      <c r="E35" s="367">
        <f>P76</f>
        <v>33609604.506000005</v>
      </c>
      <c r="G35" s="457" t="s">
        <v>1032</v>
      </c>
      <c r="H35" s="457" t="s">
        <v>59</v>
      </c>
      <c r="I35" s="454" t="s">
        <v>171</v>
      </c>
      <c r="J35" s="455"/>
      <c r="K35" s="454" t="s">
        <v>173</v>
      </c>
      <c r="L35" s="455"/>
      <c r="M35" s="454" t="s">
        <v>542</v>
      </c>
      <c r="N35" s="455"/>
    </row>
    <row r="36" spans="1:14" x14ac:dyDescent="0.2">
      <c r="B36" s="356" t="s">
        <v>1053</v>
      </c>
      <c r="C36" s="365">
        <f>C16</f>
        <v>983148000</v>
      </c>
      <c r="D36" s="367">
        <f>C15</f>
        <v>3277160000</v>
      </c>
      <c r="E36" s="367">
        <f>C17</f>
        <v>13885800</v>
      </c>
      <c r="G36" s="457"/>
      <c r="H36" s="457"/>
      <c r="I36" s="30" t="s">
        <v>376</v>
      </c>
      <c r="J36" s="30" t="s">
        <v>375</v>
      </c>
      <c r="K36" s="30" t="s">
        <v>376</v>
      </c>
      <c r="L36" s="30" t="s">
        <v>375</v>
      </c>
      <c r="M36" s="30" t="s">
        <v>376</v>
      </c>
      <c r="N36" s="30" t="s">
        <v>375</v>
      </c>
    </row>
    <row r="37" spans="1:14" x14ac:dyDescent="0.2">
      <c r="C37" s="40">
        <f>SUM(C28:C36)</f>
        <v>16695317120.240662</v>
      </c>
      <c r="D37" s="40">
        <f>SUM(D28:D36)</f>
        <v>18896880795.07</v>
      </c>
      <c r="E37" s="40">
        <f>SUM(E28:E36)</f>
        <v>1563082789.5600002</v>
      </c>
      <c r="F37" s="372"/>
      <c r="G37" s="355" t="s">
        <v>529</v>
      </c>
      <c r="H37" s="355" t="s">
        <v>515</v>
      </c>
      <c r="I37" s="153">
        <f>SUMIFS(KAS!$J$8:$J$211,KAS!$F$8:$F$211,$G37,KAS!$H$8:$H$211,I$36)</f>
        <v>471794907</v>
      </c>
      <c r="J37" s="154">
        <f>SUMIFS(KAS!$K$8:$K$211,KAS!$F$8:$F$211,$G37,KAS!$H$8:$H$211,J$36)</f>
        <v>436</v>
      </c>
      <c r="K37" s="153">
        <f>SUMIFS(INVEST!$L$8:$L$215,INVEST!$H$8:$H$215,RECAP!$H37,INVEST!$I$8:$I$215,K$36)</f>
        <v>28380765789</v>
      </c>
      <c r="L37" s="154">
        <f>SUMIFS(INVEST!$M$8:$M$215,INVEST!$H$8:$H$215,RECAP!$H37,INVEST!$I$8:$I$215,L$36)</f>
        <v>142298</v>
      </c>
      <c r="M37" s="153">
        <f>SUM(I37,K37)</f>
        <v>28852560696</v>
      </c>
      <c r="N37" s="330">
        <f>SUM(J37,L37)</f>
        <v>142734</v>
      </c>
    </row>
    <row r="38" spans="1:14" x14ac:dyDescent="0.2">
      <c r="F38" s="372"/>
      <c r="G38" s="355" t="s">
        <v>535</v>
      </c>
      <c r="H38" s="355" t="s">
        <v>543</v>
      </c>
      <c r="I38" s="153">
        <f>SUMIFS(KAS!$J$8:$J$211,KAS!$F$8:$F$211,$G38,KAS!$H$8:$H$211,I$36)</f>
        <v>4441424692</v>
      </c>
      <c r="J38" s="154">
        <f>SUMIFS(KAS!$K$8:$K$211,KAS!$F$8:$F$211,$G38,KAS!$H$8:$H$211,J$36)</f>
        <v>2287</v>
      </c>
      <c r="K38" s="153">
        <f>SUMIFS(INVEST!$L$8:$L$215,INVEST!$H$8:$H$215,RECAP!$H38,INVEST!$I$8:$I$215,K$36)</f>
        <v>0</v>
      </c>
      <c r="L38" s="154">
        <f>SUMIFS(INVEST!$M$8:$M$215,INVEST!$H$8:$H$215,RECAP!$H38,INVEST!$I$8:$I$215,L$36)</f>
        <v>200000</v>
      </c>
      <c r="M38" s="153">
        <f t="shared" ref="M38:M50" si="24">SUM(I38,K38)</f>
        <v>4441424692</v>
      </c>
      <c r="N38" s="330">
        <f t="shared" ref="N38:N50" si="25">SUM(J38,L38)</f>
        <v>202287</v>
      </c>
    </row>
    <row r="39" spans="1:14" x14ac:dyDescent="0.2">
      <c r="B39" s="164" t="s">
        <v>389</v>
      </c>
      <c r="C39" s="360">
        <f>SUM(C40:C42)</f>
        <v>2454650000</v>
      </c>
      <c r="F39" s="372"/>
      <c r="G39" s="355" t="s">
        <v>228</v>
      </c>
      <c r="H39" s="355" t="s">
        <v>549</v>
      </c>
      <c r="I39" s="153">
        <f>SUMIFS(KAS!$J$8:$J$211,KAS!$F$8:$F$211,$G39,KAS!$H$8:$H$211,I$36)</f>
        <v>1849939508</v>
      </c>
      <c r="J39" s="154">
        <f>SUMIFS(KAS!$K$8:$K$211,KAS!$F$8:$F$211,$G39,KAS!$H$8:$H$211,J$36)</f>
        <v>26715</v>
      </c>
      <c r="K39" s="153">
        <f>SUMIFS(INVEST!$L$8:$L$215,INVEST!$H$8:$H$215,RECAP!$H39,INVEST!$I$8:$I$215,K$36)</f>
        <v>26850000000</v>
      </c>
      <c r="L39" s="154">
        <f>SUMIFS(INVEST!$M$8:$M$215,INVEST!$H$8:$H$215,RECAP!$H39,INVEST!$I$8:$I$215,L$36)</f>
        <v>1533277</v>
      </c>
      <c r="M39" s="153">
        <f t="shared" si="24"/>
        <v>28699939508</v>
      </c>
      <c r="N39" s="330">
        <f t="shared" si="25"/>
        <v>1559992</v>
      </c>
    </row>
    <row r="40" spans="1:14" x14ac:dyDescent="0.2">
      <c r="B40" s="39" t="s">
        <v>1062</v>
      </c>
      <c r="C40" s="359">
        <f>C19</f>
        <v>540000000</v>
      </c>
      <c r="F40" s="372"/>
      <c r="G40" s="355" t="s">
        <v>378</v>
      </c>
      <c r="H40" s="355" t="s">
        <v>591</v>
      </c>
      <c r="I40" s="153">
        <f>SUMIFS(KAS!$J$8:$J$211,KAS!$F$8:$F$211,$G40,KAS!$H$8:$H$211,I$36)</f>
        <v>239621964</v>
      </c>
      <c r="J40" s="154">
        <f>SUMIFS(KAS!$K$8:$K$211,KAS!$F$8:$F$211,$G40,KAS!$H$8:$H$211,J$36)</f>
        <v>16730</v>
      </c>
      <c r="K40" s="153">
        <f>SUMIFS(INVEST!$L$8:$L$215,INVEST!$H$8:$H$215,RECAP!$H40,INVEST!$I$8:$I$215,K$36)</f>
        <v>15000000000</v>
      </c>
      <c r="L40" s="154">
        <f>SUMIFS(INVEST!$M$8:$M$215,INVEST!$H$8:$H$215,RECAP!$H40,INVEST!$I$8:$I$215,L$36)</f>
        <v>1130000</v>
      </c>
      <c r="M40" s="153">
        <f t="shared" si="24"/>
        <v>15239621964</v>
      </c>
      <c r="N40" s="330">
        <f t="shared" si="25"/>
        <v>1146730</v>
      </c>
    </row>
    <row r="41" spans="1:14" x14ac:dyDescent="0.2">
      <c r="B41" s="39" t="s">
        <v>1056</v>
      </c>
      <c r="C41" s="359">
        <f>1750000000</f>
        <v>1750000000</v>
      </c>
      <c r="F41" s="372"/>
      <c r="G41" s="355" t="s">
        <v>611</v>
      </c>
      <c r="H41" s="355" t="s">
        <v>622</v>
      </c>
      <c r="I41" s="153">
        <f>SUMIFS(KAS!$J$8:$J$211,KAS!$F$8:$F$211,$G41,KAS!$H$8:$H$211,I$36)</f>
        <v>703053335</v>
      </c>
      <c r="J41" s="154">
        <f>SUMIFS(KAS!$K$8:$K$211,KAS!$F$8:$F$211,$G41,KAS!$H$8:$H$211,J$36)</f>
        <v>0</v>
      </c>
      <c r="K41" s="153">
        <f>SUMIFS(INVEST!$L$8:$L$215,INVEST!$H$8:$H$215,RECAP!$H41,INVEST!$I$8:$I$215,K$36)</f>
        <v>6862623126</v>
      </c>
      <c r="L41" s="154">
        <f>SUMIFS(INVEST!$M$8:$M$215,INVEST!$H$8:$H$215,RECAP!$H41,INVEST!$I$8:$I$215,L$36)</f>
        <v>0</v>
      </c>
      <c r="M41" s="153">
        <f t="shared" si="24"/>
        <v>7565676461</v>
      </c>
      <c r="N41" s="330">
        <f t="shared" si="25"/>
        <v>0</v>
      </c>
    </row>
    <row r="42" spans="1:14" x14ac:dyDescent="0.2">
      <c r="B42" s="39" t="s">
        <v>1086</v>
      </c>
      <c r="C42" s="359">
        <f>(435000000+10000000)*37%</f>
        <v>164650000</v>
      </c>
      <c r="F42" s="372"/>
      <c r="G42" s="355" t="s">
        <v>624</v>
      </c>
      <c r="H42" s="355" t="s">
        <v>639</v>
      </c>
      <c r="I42" s="153">
        <f>SUMIFS(KAS!$J$8:$J$211,KAS!$F$8:$F$211,$G42,KAS!$H$8:$H$211,I$36)</f>
        <v>282662537</v>
      </c>
      <c r="J42" s="154">
        <f>SUMIFS(KAS!$K$8:$K$211,KAS!$F$8:$F$211,$G42,KAS!$H$8:$H$211,J$36)</f>
        <v>0</v>
      </c>
      <c r="K42" s="153">
        <f>SUMIFS(INVEST!$L$8:$L$215,INVEST!$H$8:$H$215,RECAP!$H42,INVEST!$I$8:$I$215,K$36)</f>
        <v>1000000000</v>
      </c>
      <c r="L42" s="154">
        <f>SUMIFS(INVEST!$M$8:$M$215,INVEST!$H$8:$H$215,RECAP!$H42,INVEST!$I$8:$I$215,L$36)</f>
        <v>0</v>
      </c>
      <c r="M42" s="153">
        <f t="shared" si="24"/>
        <v>1282662537</v>
      </c>
      <c r="N42" s="330">
        <f t="shared" si="25"/>
        <v>0</v>
      </c>
    </row>
    <row r="43" spans="1:14" x14ac:dyDescent="0.2">
      <c r="F43" s="372"/>
      <c r="G43" s="355" t="s">
        <v>383</v>
      </c>
      <c r="H43" s="355" t="s">
        <v>640</v>
      </c>
      <c r="I43" s="153">
        <f>SUMIFS(KAS!$J$8:$J$211,KAS!$F$8:$F$211,$G43,KAS!$H$8:$H$211,I$36)</f>
        <v>69884414</v>
      </c>
      <c r="J43" s="154">
        <f>SUMIFS(KAS!$K$8:$K$211,KAS!$F$8:$F$211,$G43,KAS!$H$8:$H$211,J$36)</f>
        <v>0</v>
      </c>
      <c r="K43" s="153">
        <f>SUMIFS(INVEST!$L$8:$L$215,INVEST!$H$8:$H$215,RECAP!$H43,INVEST!$I$8:$I$215,K$36)</f>
        <v>0</v>
      </c>
      <c r="L43" s="154">
        <f>SUMIFS(INVEST!$M$8:$M$215,INVEST!$H$8:$H$215,RECAP!$H43,INVEST!$I$8:$I$215,L$36)</f>
        <v>0</v>
      </c>
      <c r="M43" s="153">
        <f t="shared" si="24"/>
        <v>69884414</v>
      </c>
      <c r="N43" s="330">
        <f t="shared" si="25"/>
        <v>0</v>
      </c>
    </row>
    <row r="44" spans="1:14" x14ac:dyDescent="0.2">
      <c r="B44" s="362" t="s">
        <v>1057</v>
      </c>
      <c r="C44" s="353">
        <f>C27-C39</f>
        <v>14240667120.240662</v>
      </c>
      <c r="F44" s="372"/>
      <c r="G44" s="355" t="s">
        <v>636</v>
      </c>
      <c r="H44" s="355" t="s">
        <v>666</v>
      </c>
      <c r="I44" s="153">
        <f>SUMIFS(KAS!$J$8:$J$211,KAS!$F$8:$F$211,$G44,KAS!$H$8:$H$211,I$36)</f>
        <v>150158590</v>
      </c>
      <c r="J44" s="154">
        <f>SUMIFS(KAS!$K$8:$K$211,KAS!$F$8:$F$211,$G44,KAS!$H$8:$H$211,J$36)</f>
        <v>4588</v>
      </c>
      <c r="K44" s="153">
        <f>SUMIFS(INVEST!$L$8:$L$215,INVEST!$H$8:$H$215,RECAP!$H44,INVEST!$I$8:$I$215,K$36)</f>
        <v>23139118756</v>
      </c>
      <c r="L44" s="154">
        <f>SUMIFS(INVEST!$M$8:$M$215,INVEST!$H$8:$H$215,RECAP!$H44,INVEST!$I$8:$I$215,L$36)</f>
        <v>334320</v>
      </c>
      <c r="M44" s="153">
        <f t="shared" si="24"/>
        <v>23289277346</v>
      </c>
      <c r="N44" s="330">
        <f t="shared" si="25"/>
        <v>338908</v>
      </c>
    </row>
    <row r="45" spans="1:14" x14ac:dyDescent="0.2">
      <c r="G45" s="355" t="s">
        <v>680</v>
      </c>
      <c r="H45" s="355" t="s">
        <v>679</v>
      </c>
      <c r="I45" s="153">
        <f>SUMIFS(KAS!$J$8:$J$211,KAS!$F$8:$F$211,$G45,KAS!$H$8:$H$211,I$36)</f>
        <v>0</v>
      </c>
      <c r="J45" s="154">
        <f>SUMIFS(KAS!$K$8:$K$211,KAS!$F$8:$F$211,$G45,KAS!$H$8:$H$211,J$36)</f>
        <v>0</v>
      </c>
      <c r="K45" s="153">
        <f>SUMIFS(INVEST!$L$8:$L$215,INVEST!$H$8:$H$215,RECAP!$H45,INVEST!$I$8:$I$215,K$36)</f>
        <v>1821210544</v>
      </c>
      <c r="L45" s="154">
        <f>SUMIFS(INVEST!$M$8:$M$215,INVEST!$H$8:$H$215,RECAP!$H45,INVEST!$I$8:$I$215,L$36)</f>
        <v>0</v>
      </c>
      <c r="M45" s="153">
        <f t="shared" si="24"/>
        <v>1821210544</v>
      </c>
      <c r="N45" s="330">
        <f t="shared" si="25"/>
        <v>0</v>
      </c>
    </row>
    <row r="46" spans="1:14" x14ac:dyDescent="0.2">
      <c r="B46" s="368" t="s">
        <v>1058</v>
      </c>
      <c r="C46" s="369">
        <f>C25-C44</f>
        <v>54412526563.759338</v>
      </c>
      <c r="G46" s="355" t="s">
        <v>682</v>
      </c>
      <c r="H46" s="355" t="s">
        <v>683</v>
      </c>
      <c r="I46" s="153">
        <f>SUMIFS(KAS!$J$8:$J$211,KAS!$F$8:$F$211,$G46,KAS!$H$8:$H$211,I$36)</f>
        <v>0</v>
      </c>
      <c r="J46" s="154">
        <f>SUMIFS(KAS!$K$8:$K$211,KAS!$F$8:$F$211,$G46,KAS!$H$8:$H$211,J$36)</f>
        <v>0</v>
      </c>
      <c r="K46" s="153">
        <f>SUMIFS(INVEST!$L$8:$L$215,INVEST!$H$8:$H$215,RECAP!$H46,INVEST!$I$8:$I$215,K$36)</f>
        <v>3657152090</v>
      </c>
      <c r="L46" s="154">
        <f>SUMIFS(INVEST!$M$8:$M$215,INVEST!$H$8:$H$215,RECAP!$H46,INVEST!$I$8:$I$215,L$36)</f>
        <v>0</v>
      </c>
      <c r="M46" s="153">
        <f t="shared" si="24"/>
        <v>3657152090</v>
      </c>
      <c r="N46" s="330">
        <f t="shared" si="25"/>
        <v>0</v>
      </c>
    </row>
    <row r="47" spans="1:14" x14ac:dyDescent="0.2">
      <c r="F47" s="372"/>
      <c r="G47" s="355" t="s">
        <v>802</v>
      </c>
      <c r="H47" s="355" t="s">
        <v>795</v>
      </c>
      <c r="I47" s="153">
        <f>SUMIFS(KAS!$J$8:$J$211,KAS!$F$8:$F$211,$G47,KAS!$H$8:$H$211,I$36)</f>
        <v>289120215</v>
      </c>
      <c r="J47" s="154">
        <f>SUMIFS(KAS!$K$8:$K$211,KAS!$F$8:$F$211,$G47,KAS!$H$8:$H$211,J$36)</f>
        <v>0</v>
      </c>
      <c r="K47" s="153">
        <f>SUMIFS(INVEST!$L$8:$L$215,INVEST!$H$8:$H$215,RECAP!$H47,INVEST!$I$8:$I$215,K$36)</f>
        <v>10140000000</v>
      </c>
      <c r="L47" s="154">
        <f>SUMIFS(INVEST!$M$8:$M$215,INVEST!$H$8:$H$215,RECAP!$H47,INVEST!$I$8:$I$215,L$36)</f>
        <v>0</v>
      </c>
      <c r="M47" s="153">
        <f t="shared" si="24"/>
        <v>10429120215</v>
      </c>
      <c r="N47" s="330">
        <f t="shared" si="25"/>
        <v>0</v>
      </c>
    </row>
    <row r="48" spans="1:14" x14ac:dyDescent="0.2">
      <c r="F48" s="372"/>
      <c r="G48" s="355" t="s">
        <v>713</v>
      </c>
      <c r="H48" s="355" t="s">
        <v>759</v>
      </c>
      <c r="I48" s="153">
        <f>SUMIFS(KAS!$J$8:$J$211,KAS!$F$8:$F$211,$G48,KAS!$H$8:$H$211,I$36)</f>
        <v>86378401</v>
      </c>
      <c r="J48" s="154">
        <f>SUMIFS(KAS!$K$8:$K$211,KAS!$F$8:$F$211,$G48,KAS!$H$8:$H$211,J$36)</f>
        <v>632</v>
      </c>
      <c r="K48" s="153">
        <f>SUMIFS(INVEST!$L$8:$L$215,INVEST!$H$8:$H$215,RECAP!$H48,INVEST!$I$8:$I$215,K$36)</f>
        <v>24180000000</v>
      </c>
      <c r="L48" s="154">
        <f>SUMIFS(INVEST!$M$8:$M$215,INVEST!$H$8:$H$215,RECAP!$H48,INVEST!$I$8:$I$215,L$36)</f>
        <v>430823</v>
      </c>
      <c r="M48" s="153">
        <f t="shared" si="24"/>
        <v>24266378401</v>
      </c>
      <c r="N48" s="330">
        <f t="shared" si="25"/>
        <v>431455</v>
      </c>
    </row>
    <row r="49" spans="1:19" x14ac:dyDescent="0.2">
      <c r="F49" s="372"/>
      <c r="G49" s="355" t="s">
        <v>380</v>
      </c>
      <c r="H49" s="355" t="s">
        <v>786</v>
      </c>
      <c r="I49" s="153">
        <f>SUMIFS(KAS!$J$8:$J$211,KAS!$F$8:$F$211,$G49,KAS!$H$8:$H$211,I$36)</f>
        <v>700631451</v>
      </c>
      <c r="J49" s="154">
        <f>SUMIFS(KAS!$K$8:$K$211,KAS!$F$8:$F$211,$G49,KAS!$H$8:$H$211,J$36)</f>
        <v>25572</v>
      </c>
      <c r="K49" s="153">
        <f>SUMIFS(INVEST!$L$8:$L$215,INVEST!$H$8:$H$215,RECAP!$H49,INVEST!$I$8:$I$215,K$36)</f>
        <v>5405966829</v>
      </c>
      <c r="L49" s="154">
        <f>SUMIFS(INVEST!$M$8:$M$215,INVEST!$H$8:$H$215,RECAP!$H49,INVEST!$I$8:$I$215,L$36)</f>
        <v>934092</v>
      </c>
      <c r="M49" s="153">
        <f t="shared" ref="M49" si="26">SUM(I49,K49)</f>
        <v>6106598280</v>
      </c>
      <c r="N49" s="330">
        <f t="shared" ref="N49" si="27">SUM(J49,L49)</f>
        <v>959664</v>
      </c>
    </row>
    <row r="50" spans="1:19" x14ac:dyDescent="0.2">
      <c r="A50" s="157" t="s">
        <v>273</v>
      </c>
      <c r="B50" s="157" t="s">
        <v>1075</v>
      </c>
      <c r="C50" s="157" t="s">
        <v>1076</v>
      </c>
      <c r="G50" s="355" t="s">
        <v>924</v>
      </c>
      <c r="H50" s="355" t="s">
        <v>923</v>
      </c>
      <c r="I50" s="153">
        <f>SUMIFS(KAS!$J$8:$J$211,KAS!$F$8:$F$211,$G50,KAS!$H$8:$H$211,I$36)</f>
        <v>0</v>
      </c>
      <c r="J50" s="154">
        <f>SUMIFS(KAS!$K$8:$K$211,KAS!$F$8:$F$211,$G50,KAS!$H$8:$H$211,J$36)</f>
        <v>0</v>
      </c>
      <c r="K50" s="153">
        <f>SUMIFS(INVEST!$L$8:$L$215,INVEST!$H$8:$H$215,RECAP!$H50,INVEST!$I$8:$I$215,K$36)</f>
        <v>0</v>
      </c>
      <c r="L50" s="154">
        <f>SUMIFS(INVEST!$M$8:$M$215,INVEST!$H$8:$H$215,RECAP!$H50,INVEST!$I$8:$I$215,L$36)</f>
        <v>150000</v>
      </c>
      <c r="M50" s="153">
        <f t="shared" si="24"/>
        <v>0</v>
      </c>
      <c r="N50" s="330">
        <f t="shared" si="25"/>
        <v>150000</v>
      </c>
    </row>
    <row r="51" spans="1:19" x14ac:dyDescent="0.2">
      <c r="A51" s="72">
        <v>2024</v>
      </c>
      <c r="B51" s="371">
        <f>SUM(C3:C5)</f>
        <v>172137068754</v>
      </c>
      <c r="C51" s="371">
        <f>B51*106.5%</f>
        <v>183325978223.00998</v>
      </c>
      <c r="G51" s="357" t="s">
        <v>227</v>
      </c>
      <c r="H51" s="358"/>
      <c r="I51" s="346">
        <f t="shared" ref="I51:N51" si="28">SUM(I37:I50)</f>
        <v>9284670014</v>
      </c>
      <c r="J51" s="347">
        <f t="shared" si="28"/>
        <v>76960</v>
      </c>
      <c r="K51" s="346">
        <f t="shared" si="28"/>
        <v>146436837134</v>
      </c>
      <c r="L51" s="347">
        <f t="shared" si="28"/>
        <v>4854810</v>
      </c>
      <c r="M51" s="346">
        <f t="shared" si="28"/>
        <v>155721507148</v>
      </c>
      <c r="N51" s="348">
        <f t="shared" si="28"/>
        <v>4931770</v>
      </c>
    </row>
    <row r="52" spans="1:19" x14ac:dyDescent="0.2">
      <c r="A52" s="72">
        <v>2025</v>
      </c>
      <c r="B52" s="371">
        <f>SUM(D3:D5)</f>
        <v>241368012438</v>
      </c>
      <c r="C52" s="72"/>
      <c r="G52" s="328" t="s">
        <v>835</v>
      </c>
      <c r="I52" s="155">
        <f>I53</f>
        <v>92846700.140000001</v>
      </c>
      <c r="J52" s="155">
        <f>J53*16777</f>
        <v>12911579.200000001</v>
      </c>
      <c r="K52" s="155">
        <f>K53</f>
        <v>10250578599.380001</v>
      </c>
      <c r="L52" s="155">
        <f>L53*16777</f>
        <v>3257965894.7999997</v>
      </c>
      <c r="M52" s="155">
        <f>M53</f>
        <v>10343425299.52</v>
      </c>
      <c r="N52" s="334">
        <f>N53*16777</f>
        <v>3270877474</v>
      </c>
    </row>
    <row r="53" spans="1:19" x14ac:dyDescent="0.2">
      <c r="A53" s="72" t="s">
        <v>1074</v>
      </c>
      <c r="B53" s="371">
        <f>B52-B51</f>
        <v>69230943684</v>
      </c>
      <c r="C53" s="72"/>
      <c r="G53" s="328" t="s">
        <v>1048</v>
      </c>
      <c r="I53" s="331">
        <f>I51*1%</f>
        <v>92846700.140000001</v>
      </c>
      <c r="J53" s="332">
        <f>J51*1%</f>
        <v>769.6</v>
      </c>
      <c r="K53" s="331">
        <f>K51*7%</f>
        <v>10250578599.380001</v>
      </c>
      <c r="L53" s="332">
        <f>L51*4%</f>
        <v>194192.4</v>
      </c>
      <c r="M53" s="331">
        <f>SUM(I53,K53)</f>
        <v>10343425299.52</v>
      </c>
      <c r="N53" s="333">
        <f>SUM(J53,L53)</f>
        <v>194962</v>
      </c>
      <c r="O53" s="155"/>
    </row>
    <row r="54" spans="1:19" x14ac:dyDescent="0.2">
      <c r="G54" s="335" t="s">
        <v>1051</v>
      </c>
      <c r="K54" s="336"/>
      <c r="L54" s="336"/>
      <c r="N54" s="329"/>
    </row>
    <row r="55" spans="1:19" x14ac:dyDescent="0.2">
      <c r="G55" s="335" t="s">
        <v>1050</v>
      </c>
      <c r="L55" s="349" t="s">
        <v>1049</v>
      </c>
      <c r="M55" s="350">
        <f>M52+N52</f>
        <v>13614302773.52</v>
      </c>
      <c r="N55" s="329"/>
    </row>
    <row r="56" spans="1:19" ht="16" thickBot="1" x14ac:dyDescent="0.25">
      <c r="G56" s="337"/>
      <c r="H56" s="338"/>
      <c r="I56" s="338"/>
      <c r="J56" s="338"/>
      <c r="K56" s="339"/>
      <c r="L56" s="339"/>
      <c r="M56" s="338"/>
      <c r="N56" s="340"/>
    </row>
    <row r="58" spans="1:19" ht="16" thickBot="1" x14ac:dyDescent="0.25"/>
    <row r="59" spans="1:19" x14ac:dyDescent="0.2">
      <c r="G59" s="370" t="s">
        <v>1045</v>
      </c>
      <c r="H59" s="326"/>
      <c r="I59" s="326"/>
      <c r="J59" s="326"/>
      <c r="K59" s="326"/>
      <c r="L59" s="326"/>
      <c r="M59" s="326"/>
      <c r="N59" s="327"/>
    </row>
    <row r="60" spans="1:19" x14ac:dyDescent="0.2">
      <c r="G60" s="457" t="s">
        <v>1032</v>
      </c>
      <c r="H60" s="457" t="s">
        <v>59</v>
      </c>
      <c r="I60" s="454" t="s">
        <v>27</v>
      </c>
      <c r="J60" s="455"/>
      <c r="K60" s="454" t="s">
        <v>16</v>
      </c>
      <c r="L60" s="455"/>
      <c r="M60" s="454" t="s">
        <v>542</v>
      </c>
      <c r="N60" s="455"/>
    </row>
    <row r="61" spans="1:19" x14ac:dyDescent="0.2">
      <c r="G61" s="457"/>
      <c r="H61" s="457"/>
      <c r="I61" s="30" t="s">
        <v>376</v>
      </c>
      <c r="J61" s="30" t="s">
        <v>1043</v>
      </c>
      <c r="K61" s="30" t="s">
        <v>376</v>
      </c>
      <c r="L61" s="30" t="s">
        <v>1043</v>
      </c>
      <c r="M61" s="30" t="s">
        <v>376</v>
      </c>
      <c r="N61" s="30" t="s">
        <v>1043</v>
      </c>
    </row>
    <row r="62" spans="1:19" x14ac:dyDescent="0.2">
      <c r="F62" s="372" t="s">
        <v>527</v>
      </c>
      <c r="G62" s="355" t="s">
        <v>529</v>
      </c>
      <c r="H62" s="355" t="s">
        <v>515</v>
      </c>
      <c r="I62" s="153">
        <v>471794907</v>
      </c>
      <c r="J62" s="153">
        <v>7314772</v>
      </c>
      <c r="K62" s="153">
        <v>0</v>
      </c>
      <c r="L62" s="153">
        <v>0</v>
      </c>
      <c r="M62" s="153">
        <f>SUM(I62,K62)</f>
        <v>471794907</v>
      </c>
      <c r="N62" s="343">
        <f>SUM(J62,L62)</f>
        <v>7314772</v>
      </c>
      <c r="O62" s="155">
        <f>SUM(I62:J62)*1%+SUM(K62:L62)*4%</f>
        <v>4791096.79</v>
      </c>
      <c r="P62" s="155">
        <f>O62*20%</f>
        <v>958219.35800000001</v>
      </c>
      <c r="Q62" s="372"/>
      <c r="R62" s="46"/>
      <c r="S62" s="46"/>
    </row>
    <row r="63" spans="1:19" x14ac:dyDescent="0.2">
      <c r="F63" s="372" t="s">
        <v>548</v>
      </c>
      <c r="G63" s="355" t="s">
        <v>535</v>
      </c>
      <c r="H63" s="355" t="s">
        <v>543</v>
      </c>
      <c r="I63" s="153">
        <v>2365099919</v>
      </c>
      <c r="J63" s="153">
        <v>38368999</v>
      </c>
      <c r="K63" s="153">
        <v>2076324773</v>
      </c>
      <c r="L63" s="153">
        <v>0</v>
      </c>
      <c r="M63" s="153">
        <f t="shared" ref="M63:M75" si="29">SUM(I63,K63)</f>
        <v>4441424692</v>
      </c>
      <c r="N63" s="343">
        <f t="shared" ref="N63:N75" si="30">SUM(J63,L63)</f>
        <v>38368999</v>
      </c>
      <c r="O63" s="155">
        <f t="shared" ref="O63:O75" si="31">SUM(I63:J63)*1%+SUM(K63:L63)*4%</f>
        <v>107087680.09999999</v>
      </c>
      <c r="P63" s="155">
        <f t="shared" ref="P63:P75" si="32">O63*20%</f>
        <v>21417536.02</v>
      </c>
      <c r="Q63" s="372"/>
      <c r="R63" s="46"/>
      <c r="S63" s="46"/>
    </row>
    <row r="64" spans="1:19" x14ac:dyDescent="0.2">
      <c r="F64" s="372" t="s">
        <v>244</v>
      </c>
      <c r="G64" s="355" t="s">
        <v>228</v>
      </c>
      <c r="H64" s="355" t="s">
        <v>549</v>
      </c>
      <c r="I64" s="153">
        <v>1849939508</v>
      </c>
      <c r="J64" s="153">
        <v>448197555</v>
      </c>
      <c r="K64" s="153">
        <v>0</v>
      </c>
      <c r="L64" s="153">
        <v>0</v>
      </c>
      <c r="M64" s="153">
        <f t="shared" si="29"/>
        <v>1849939508</v>
      </c>
      <c r="N64" s="343">
        <f t="shared" si="30"/>
        <v>448197555</v>
      </c>
      <c r="O64" s="155">
        <f t="shared" si="31"/>
        <v>22981370.629999999</v>
      </c>
      <c r="P64" s="155">
        <f t="shared" si="32"/>
        <v>4596274.1260000002</v>
      </c>
      <c r="Q64" s="372"/>
      <c r="R64" s="46"/>
      <c r="S64" s="46"/>
    </row>
    <row r="65" spans="6:19" x14ac:dyDescent="0.2">
      <c r="F65" s="372" t="s">
        <v>607</v>
      </c>
      <c r="G65" s="355" t="s">
        <v>378</v>
      </c>
      <c r="H65" s="355" t="s">
        <v>591</v>
      </c>
      <c r="I65" s="153">
        <v>239621964</v>
      </c>
      <c r="J65" s="153">
        <v>280679210</v>
      </c>
      <c r="K65" s="153">
        <v>0</v>
      </c>
      <c r="L65" s="153">
        <v>0</v>
      </c>
      <c r="M65" s="153">
        <f t="shared" si="29"/>
        <v>239621964</v>
      </c>
      <c r="N65" s="343">
        <f t="shared" si="30"/>
        <v>280679210</v>
      </c>
      <c r="O65" s="155">
        <f t="shared" si="31"/>
        <v>5203011.74</v>
      </c>
      <c r="P65" s="155">
        <f t="shared" si="32"/>
        <v>1040602.3480000001</v>
      </c>
      <c r="Q65" s="372"/>
      <c r="R65" s="46"/>
      <c r="S65" s="46"/>
    </row>
    <row r="66" spans="6:19" x14ac:dyDescent="0.2">
      <c r="F66" s="372" t="s">
        <v>623</v>
      </c>
      <c r="G66" s="355" t="s">
        <v>611</v>
      </c>
      <c r="H66" s="355" t="s">
        <v>622</v>
      </c>
      <c r="I66" s="153">
        <v>703053335</v>
      </c>
      <c r="J66" s="153">
        <v>0</v>
      </c>
      <c r="K66" s="153">
        <v>0</v>
      </c>
      <c r="L66" s="153">
        <v>0</v>
      </c>
      <c r="M66" s="153">
        <f t="shared" si="29"/>
        <v>703053335</v>
      </c>
      <c r="N66" s="343">
        <f t="shared" si="30"/>
        <v>0</v>
      </c>
      <c r="O66" s="155">
        <f t="shared" si="31"/>
        <v>7030533.3500000006</v>
      </c>
      <c r="P66" s="155">
        <f t="shared" si="32"/>
        <v>1406106.6700000002</v>
      </c>
      <c r="Q66" s="372"/>
      <c r="R66" s="46"/>
      <c r="S66" s="46"/>
    </row>
    <row r="67" spans="6:19" x14ac:dyDescent="0.2">
      <c r="F67" s="372" t="s">
        <v>626</v>
      </c>
      <c r="G67" s="355" t="s">
        <v>624</v>
      </c>
      <c r="H67" s="355" t="s">
        <v>639</v>
      </c>
      <c r="I67" s="153">
        <v>282662537</v>
      </c>
      <c r="J67" s="153">
        <v>0</v>
      </c>
      <c r="K67" s="153">
        <v>0</v>
      </c>
      <c r="L67" s="153">
        <v>0</v>
      </c>
      <c r="M67" s="153">
        <f t="shared" si="29"/>
        <v>282662537</v>
      </c>
      <c r="N67" s="343">
        <f t="shared" si="30"/>
        <v>0</v>
      </c>
      <c r="O67" s="155">
        <f t="shared" si="31"/>
        <v>2826625.37</v>
      </c>
      <c r="P67" s="155">
        <f t="shared" si="32"/>
        <v>565325.07400000002</v>
      </c>
      <c r="Q67" s="372"/>
      <c r="R67" s="46"/>
      <c r="S67" s="46"/>
    </row>
    <row r="68" spans="6:19" x14ac:dyDescent="0.2">
      <c r="F68" s="372" t="s">
        <v>1060</v>
      </c>
      <c r="G68" s="355" t="s">
        <v>383</v>
      </c>
      <c r="H68" s="355" t="s">
        <v>640</v>
      </c>
      <c r="I68" s="153">
        <v>69884414</v>
      </c>
      <c r="J68" s="153">
        <v>0</v>
      </c>
      <c r="K68" s="153">
        <v>0</v>
      </c>
      <c r="L68" s="153">
        <v>0</v>
      </c>
      <c r="M68" s="153">
        <f t="shared" si="29"/>
        <v>69884414</v>
      </c>
      <c r="N68" s="343">
        <f t="shared" si="30"/>
        <v>0</v>
      </c>
      <c r="O68" s="155">
        <f t="shared" si="31"/>
        <v>698844.14</v>
      </c>
      <c r="P68" s="155">
        <f t="shared" si="32"/>
        <v>139768.82800000001</v>
      </c>
      <c r="Q68" s="372"/>
      <c r="R68" s="46"/>
      <c r="S68" s="46"/>
    </row>
    <row r="69" spans="6:19" x14ac:dyDescent="0.2">
      <c r="F69" s="372" t="s">
        <v>667</v>
      </c>
      <c r="G69" s="355" t="s">
        <v>636</v>
      </c>
      <c r="H69" s="355" t="s">
        <v>666</v>
      </c>
      <c r="I69" s="153">
        <v>150158590</v>
      </c>
      <c r="J69" s="153">
        <v>76972876</v>
      </c>
      <c r="K69" s="153">
        <v>0</v>
      </c>
      <c r="L69" s="153">
        <v>0</v>
      </c>
      <c r="M69" s="153">
        <f t="shared" si="29"/>
        <v>150158590</v>
      </c>
      <c r="N69" s="343">
        <f t="shared" si="30"/>
        <v>76972876</v>
      </c>
      <c r="O69" s="155">
        <f t="shared" si="31"/>
        <v>2271314.66</v>
      </c>
      <c r="P69" s="155">
        <f t="shared" si="32"/>
        <v>454262.93200000003</v>
      </c>
      <c r="Q69" s="372"/>
      <c r="R69" s="46"/>
      <c r="S69" s="46"/>
    </row>
    <row r="70" spans="6:19" x14ac:dyDescent="0.2">
      <c r="G70" s="355" t="s">
        <v>680</v>
      </c>
      <c r="H70" s="355" t="s">
        <v>679</v>
      </c>
      <c r="I70" s="153">
        <v>0</v>
      </c>
      <c r="J70" s="153">
        <v>0</v>
      </c>
      <c r="K70" s="153">
        <v>0</v>
      </c>
      <c r="L70" s="153">
        <v>0</v>
      </c>
      <c r="M70" s="153">
        <f t="shared" si="29"/>
        <v>0</v>
      </c>
      <c r="N70" s="343">
        <f t="shared" si="30"/>
        <v>0</v>
      </c>
      <c r="O70" s="155">
        <f t="shared" si="31"/>
        <v>0</v>
      </c>
      <c r="P70" s="155">
        <f t="shared" si="32"/>
        <v>0</v>
      </c>
      <c r="Q70" s="72"/>
      <c r="R70" s="46"/>
      <c r="S70" s="46"/>
    </row>
    <row r="71" spans="6:19" x14ac:dyDescent="0.2">
      <c r="G71" s="355" t="s">
        <v>682</v>
      </c>
      <c r="H71" s="355" t="s">
        <v>683</v>
      </c>
      <c r="I71" s="153">
        <v>0</v>
      </c>
      <c r="J71" s="153">
        <v>0</v>
      </c>
      <c r="K71" s="153">
        <v>0</v>
      </c>
      <c r="L71" s="153">
        <v>0</v>
      </c>
      <c r="M71" s="153">
        <f t="shared" si="29"/>
        <v>0</v>
      </c>
      <c r="N71" s="343">
        <f t="shared" si="30"/>
        <v>0</v>
      </c>
      <c r="O71" s="155">
        <f t="shared" si="31"/>
        <v>0</v>
      </c>
      <c r="P71" s="155">
        <f t="shared" si="32"/>
        <v>0</v>
      </c>
      <c r="Q71" s="72"/>
      <c r="R71" s="46"/>
      <c r="S71" s="46"/>
    </row>
    <row r="72" spans="6:19" x14ac:dyDescent="0.2">
      <c r="F72" s="372" t="s">
        <v>803</v>
      </c>
      <c r="G72" s="355" t="s">
        <v>802</v>
      </c>
      <c r="H72" s="355" t="s">
        <v>795</v>
      </c>
      <c r="I72" s="153">
        <v>289120215</v>
      </c>
      <c r="J72" s="153">
        <v>0</v>
      </c>
      <c r="K72" s="153">
        <v>0</v>
      </c>
      <c r="L72" s="153">
        <v>0</v>
      </c>
      <c r="M72" s="153">
        <f t="shared" si="29"/>
        <v>289120215</v>
      </c>
      <c r="N72" s="343">
        <f t="shared" si="30"/>
        <v>0</v>
      </c>
      <c r="O72" s="155">
        <f t="shared" si="31"/>
        <v>2891202.15</v>
      </c>
      <c r="P72" s="155">
        <f t="shared" si="32"/>
        <v>578240.43000000005</v>
      </c>
      <c r="Q72" s="372"/>
      <c r="R72" s="46"/>
      <c r="S72" s="46"/>
    </row>
    <row r="73" spans="6:19" x14ac:dyDescent="0.2">
      <c r="F73" s="372" t="s">
        <v>758</v>
      </c>
      <c r="G73" s="355" t="s">
        <v>713</v>
      </c>
      <c r="H73" s="355" t="s">
        <v>759</v>
      </c>
      <c r="I73" s="153">
        <v>86378401</v>
      </c>
      <c r="J73" s="153">
        <v>10603064</v>
      </c>
      <c r="K73" s="153">
        <v>0</v>
      </c>
      <c r="L73" s="153">
        <v>0</v>
      </c>
      <c r="M73" s="153">
        <f t="shared" si="29"/>
        <v>86378401</v>
      </c>
      <c r="N73" s="343">
        <f t="shared" si="30"/>
        <v>10603064</v>
      </c>
      <c r="O73" s="155">
        <f t="shared" si="31"/>
        <v>969814.65</v>
      </c>
      <c r="P73" s="155">
        <f t="shared" si="32"/>
        <v>193962.93000000002</v>
      </c>
      <c r="Q73" s="372"/>
      <c r="R73" s="46"/>
      <c r="S73" s="46"/>
    </row>
    <row r="74" spans="6:19" x14ac:dyDescent="0.2">
      <c r="F74" s="372" t="s">
        <v>785</v>
      </c>
      <c r="G74" s="355" t="s">
        <v>380</v>
      </c>
      <c r="H74" s="355" t="s">
        <v>786</v>
      </c>
      <c r="I74" s="153">
        <v>700631451</v>
      </c>
      <c r="J74" s="153">
        <v>429021444</v>
      </c>
      <c r="K74" s="153">
        <v>0</v>
      </c>
      <c r="L74" s="153">
        <v>0</v>
      </c>
      <c r="M74" s="153">
        <f t="shared" ref="M74" si="33">SUM(I74,K74)</f>
        <v>700631451</v>
      </c>
      <c r="N74" s="343">
        <f t="shared" ref="N74" si="34">SUM(J74,L74)</f>
        <v>429021444</v>
      </c>
      <c r="O74" s="155">
        <f t="shared" si="31"/>
        <v>11296528.950000001</v>
      </c>
      <c r="P74" s="155">
        <f t="shared" si="32"/>
        <v>2259305.7900000005</v>
      </c>
      <c r="Q74" s="372"/>
      <c r="R74" s="46"/>
      <c r="S74" s="46"/>
    </row>
    <row r="75" spans="6:19" x14ac:dyDescent="0.2">
      <c r="G75" s="355" t="s">
        <v>924</v>
      </c>
      <c r="H75" s="355" t="s">
        <v>923</v>
      </c>
      <c r="I75" s="153">
        <v>0</v>
      </c>
      <c r="J75" s="153">
        <v>0</v>
      </c>
      <c r="K75" s="153">
        <v>0</v>
      </c>
      <c r="L75" s="153">
        <v>0</v>
      </c>
      <c r="M75" s="153">
        <f t="shared" si="29"/>
        <v>0</v>
      </c>
      <c r="N75" s="343">
        <f t="shared" si="30"/>
        <v>0</v>
      </c>
      <c r="O75" s="155">
        <f t="shared" si="31"/>
        <v>0</v>
      </c>
      <c r="P75" s="155">
        <f t="shared" si="32"/>
        <v>0</v>
      </c>
      <c r="R75" s="46"/>
      <c r="S75" s="46"/>
    </row>
    <row r="76" spans="6:19" x14ac:dyDescent="0.2">
      <c r="G76" s="357" t="s">
        <v>227</v>
      </c>
      <c r="H76" s="358"/>
      <c r="I76" s="351">
        <f t="shared" ref="I76" si="35">SUM(I62:I75)</f>
        <v>7208345241</v>
      </c>
      <c r="J76" s="351">
        <f t="shared" ref="J76:P76" si="36">SUM(J62:J75)</f>
        <v>1291157920</v>
      </c>
      <c r="K76" s="351">
        <f t="shared" si="36"/>
        <v>2076324773</v>
      </c>
      <c r="L76" s="351">
        <f t="shared" si="36"/>
        <v>0</v>
      </c>
      <c r="M76" s="351">
        <f t="shared" si="36"/>
        <v>9284670014</v>
      </c>
      <c r="N76" s="351">
        <f t="shared" si="36"/>
        <v>1291157920</v>
      </c>
      <c r="O76" s="351">
        <f t="shared" si="36"/>
        <v>168048022.53</v>
      </c>
      <c r="P76" s="351">
        <f t="shared" si="36"/>
        <v>33609604.506000005</v>
      </c>
    </row>
    <row r="77" spans="6:19" x14ac:dyDescent="0.2">
      <c r="G77" s="328" t="s">
        <v>1046</v>
      </c>
      <c r="I77" s="331">
        <f>I76*1%</f>
        <v>72083452.409999996</v>
      </c>
      <c r="J77" s="331">
        <f>J76*1%</f>
        <v>12911579.200000001</v>
      </c>
      <c r="K77" s="331">
        <f>K76*4%</f>
        <v>83052990.920000002</v>
      </c>
      <c r="L77" s="331">
        <f>L76*4.5%</f>
        <v>0</v>
      </c>
      <c r="M77" s="331">
        <f>SUM(I77,K77)</f>
        <v>155136443.32999998</v>
      </c>
      <c r="N77" s="344">
        <f>SUM(J77,L77)</f>
        <v>12911579.200000001</v>
      </c>
    </row>
    <row r="78" spans="6:19" ht="16" thickBot="1" x14ac:dyDescent="0.25">
      <c r="G78" s="345" t="s">
        <v>1044</v>
      </c>
      <c r="H78" s="338"/>
      <c r="I78" s="338"/>
      <c r="J78" s="338"/>
      <c r="K78" s="338"/>
      <c r="L78" s="338"/>
      <c r="M78" s="338"/>
      <c r="N78" s="340"/>
    </row>
    <row r="80" spans="6:19" ht="16" thickBot="1" x14ac:dyDescent="0.25"/>
    <row r="81" spans="7:19" x14ac:dyDescent="0.2">
      <c r="G81" s="370" t="s">
        <v>1047</v>
      </c>
      <c r="H81" s="326"/>
      <c r="I81" s="326"/>
      <c r="J81" s="326"/>
      <c r="K81" s="326"/>
      <c r="L81" s="326"/>
      <c r="M81" s="326"/>
      <c r="N81" s="326"/>
      <c r="O81" s="326"/>
      <c r="P81" s="326"/>
      <c r="Q81" s="326"/>
      <c r="R81" s="326"/>
      <c r="S81" s="327"/>
    </row>
    <row r="82" spans="7:19" x14ac:dyDescent="0.2">
      <c r="G82" s="456" t="s">
        <v>1032</v>
      </c>
      <c r="H82" s="457" t="s">
        <v>59</v>
      </c>
      <c r="I82" s="454" t="s">
        <v>229</v>
      </c>
      <c r="J82" s="455"/>
      <c r="K82" s="454" t="s">
        <v>188</v>
      </c>
      <c r="L82" s="455"/>
      <c r="M82" s="454" t="s">
        <v>32</v>
      </c>
      <c r="N82" s="455"/>
      <c r="O82" s="454" t="s">
        <v>530</v>
      </c>
      <c r="P82" s="455"/>
      <c r="Q82" s="454" t="s">
        <v>51</v>
      </c>
      <c r="R82" s="455"/>
      <c r="S82" s="329"/>
    </row>
    <row r="83" spans="7:19" x14ac:dyDescent="0.2">
      <c r="G83" s="456"/>
      <c r="H83" s="457"/>
      <c r="I83" s="30" t="s">
        <v>376</v>
      </c>
      <c r="J83" s="30" t="s">
        <v>1043</v>
      </c>
      <c r="K83" s="30" t="s">
        <v>376</v>
      </c>
      <c r="L83" s="30" t="s">
        <v>1043</v>
      </c>
      <c r="M83" s="30" t="s">
        <v>376</v>
      </c>
      <c r="N83" s="30" t="s">
        <v>1043</v>
      </c>
      <c r="O83" s="30" t="s">
        <v>376</v>
      </c>
      <c r="P83" s="30" t="s">
        <v>1043</v>
      </c>
      <c r="Q83" s="30" t="s">
        <v>376</v>
      </c>
      <c r="R83" s="30" t="s">
        <v>1043</v>
      </c>
      <c r="S83" s="329"/>
    </row>
    <row r="84" spans="7:19" x14ac:dyDescent="0.2">
      <c r="G84" s="375" t="s">
        <v>529</v>
      </c>
      <c r="H84" s="355" t="s">
        <v>515</v>
      </c>
      <c r="I84" s="153">
        <v>23107474000</v>
      </c>
      <c r="J84" s="153">
        <v>2013240000</v>
      </c>
      <c r="K84" s="153">
        <v>3092117556</v>
      </c>
      <c r="L84" s="153">
        <v>374093546</v>
      </c>
      <c r="M84" s="153">
        <v>2181174233</v>
      </c>
      <c r="N84" s="153">
        <v>0</v>
      </c>
      <c r="O84" s="153">
        <v>0</v>
      </c>
      <c r="P84" s="153">
        <v>0</v>
      </c>
      <c r="Q84" s="153">
        <v>0</v>
      </c>
      <c r="R84" s="153">
        <v>0</v>
      </c>
      <c r="S84" s="329"/>
    </row>
    <row r="85" spans="7:19" x14ac:dyDescent="0.2">
      <c r="G85" s="375" t="s">
        <v>535</v>
      </c>
      <c r="H85" s="355" t="s">
        <v>543</v>
      </c>
      <c r="I85" s="153">
        <v>0</v>
      </c>
      <c r="J85" s="153">
        <v>3355400000</v>
      </c>
      <c r="K85" s="153">
        <v>0</v>
      </c>
      <c r="L85" s="153">
        <v>0</v>
      </c>
      <c r="M85" s="153">
        <v>0</v>
      </c>
      <c r="N85" s="153">
        <v>0</v>
      </c>
      <c r="O85" s="153">
        <v>0</v>
      </c>
      <c r="P85" s="153">
        <v>0</v>
      </c>
      <c r="Q85" s="153">
        <v>0</v>
      </c>
      <c r="R85" s="153">
        <v>0</v>
      </c>
      <c r="S85" s="329"/>
    </row>
    <row r="86" spans="7:19" x14ac:dyDescent="0.2">
      <c r="G86" s="375" t="s">
        <v>228</v>
      </c>
      <c r="H86" s="355" t="s">
        <v>549</v>
      </c>
      <c r="I86" s="153">
        <v>26850000000</v>
      </c>
      <c r="J86" s="153">
        <v>25723788229</v>
      </c>
      <c r="K86" s="153">
        <v>0</v>
      </c>
      <c r="L86" s="153">
        <v>0</v>
      </c>
      <c r="M86" s="153">
        <v>0</v>
      </c>
      <c r="N86" s="153">
        <v>0</v>
      </c>
      <c r="O86" s="153">
        <v>0</v>
      </c>
      <c r="P86" s="153">
        <v>0</v>
      </c>
      <c r="Q86" s="153">
        <v>0</v>
      </c>
      <c r="R86" s="153">
        <v>0</v>
      </c>
      <c r="S86" s="329"/>
    </row>
    <row r="87" spans="7:19" x14ac:dyDescent="0.2">
      <c r="G87" s="375" t="s">
        <v>378</v>
      </c>
      <c r="H87" s="355" t="s">
        <v>591</v>
      </c>
      <c r="I87" s="153">
        <v>15000000000</v>
      </c>
      <c r="J87" s="153">
        <v>18958010000</v>
      </c>
      <c r="K87" s="153">
        <v>0</v>
      </c>
      <c r="L87" s="153">
        <v>0</v>
      </c>
      <c r="M87" s="153">
        <v>0</v>
      </c>
      <c r="N87" s="153">
        <v>0</v>
      </c>
      <c r="O87" s="153">
        <v>0</v>
      </c>
      <c r="P87" s="153">
        <v>0</v>
      </c>
      <c r="Q87" s="153">
        <v>0</v>
      </c>
      <c r="R87" s="153">
        <v>0</v>
      </c>
      <c r="S87" s="329"/>
    </row>
    <row r="88" spans="7:19" x14ac:dyDescent="0.2">
      <c r="G88" s="375" t="s">
        <v>611</v>
      </c>
      <c r="H88" s="355" t="s">
        <v>622</v>
      </c>
      <c r="I88" s="153">
        <v>6100000000</v>
      </c>
      <c r="J88" s="153">
        <v>0</v>
      </c>
      <c r="K88" s="153">
        <v>0</v>
      </c>
      <c r="L88" s="153">
        <v>0</v>
      </c>
      <c r="M88" s="153">
        <v>0</v>
      </c>
      <c r="N88" s="153">
        <v>0</v>
      </c>
      <c r="O88" s="153">
        <v>0</v>
      </c>
      <c r="P88" s="153">
        <v>0</v>
      </c>
      <c r="Q88" s="153">
        <v>762623126</v>
      </c>
      <c r="R88" s="153">
        <v>0</v>
      </c>
      <c r="S88" s="329"/>
    </row>
    <row r="89" spans="7:19" x14ac:dyDescent="0.2">
      <c r="G89" s="375" t="s">
        <v>624</v>
      </c>
      <c r="H89" s="355" t="s">
        <v>639</v>
      </c>
      <c r="I89" s="153">
        <v>1000000000</v>
      </c>
      <c r="J89" s="153">
        <v>0</v>
      </c>
      <c r="K89" s="153">
        <v>0</v>
      </c>
      <c r="L89" s="153">
        <v>0</v>
      </c>
      <c r="M89" s="153">
        <v>0</v>
      </c>
      <c r="N89" s="153">
        <v>0</v>
      </c>
      <c r="O89" s="153">
        <v>0</v>
      </c>
      <c r="P89" s="153">
        <v>0</v>
      </c>
      <c r="Q89" s="153">
        <v>0</v>
      </c>
      <c r="R89" s="153">
        <v>0</v>
      </c>
      <c r="S89" s="329"/>
    </row>
    <row r="90" spans="7:19" x14ac:dyDescent="0.2">
      <c r="G90" s="375" t="s">
        <v>383</v>
      </c>
      <c r="H90" s="355" t="s">
        <v>640</v>
      </c>
      <c r="I90" s="153">
        <v>0</v>
      </c>
      <c r="J90" s="153">
        <v>0</v>
      </c>
      <c r="K90" s="153">
        <v>0</v>
      </c>
      <c r="L90" s="153">
        <v>0</v>
      </c>
      <c r="M90" s="153">
        <v>0</v>
      </c>
      <c r="N90" s="153">
        <v>0</v>
      </c>
      <c r="O90" s="153">
        <v>0</v>
      </c>
      <c r="P90" s="153">
        <v>0</v>
      </c>
      <c r="Q90" s="153">
        <v>0</v>
      </c>
      <c r="R90" s="153">
        <v>0</v>
      </c>
      <c r="S90" s="329"/>
    </row>
    <row r="91" spans="7:19" x14ac:dyDescent="0.2">
      <c r="G91" s="375" t="s">
        <v>636</v>
      </c>
      <c r="H91" s="355" t="s">
        <v>666</v>
      </c>
      <c r="I91" s="153">
        <v>19657400000</v>
      </c>
      <c r="J91" s="153">
        <v>5608886640</v>
      </c>
      <c r="K91" s="153">
        <v>3481718756</v>
      </c>
      <c r="L91" s="153">
        <v>0</v>
      </c>
      <c r="M91" s="153">
        <v>0</v>
      </c>
      <c r="N91" s="153">
        <v>0</v>
      </c>
      <c r="O91" s="153">
        <v>0</v>
      </c>
      <c r="P91" s="153">
        <v>0</v>
      </c>
      <c r="Q91" s="153">
        <v>0</v>
      </c>
      <c r="R91" s="153">
        <v>0</v>
      </c>
      <c r="S91" s="329"/>
    </row>
    <row r="92" spans="7:19" x14ac:dyDescent="0.2">
      <c r="G92" s="375" t="s">
        <v>680</v>
      </c>
      <c r="H92" s="355" t="s">
        <v>679</v>
      </c>
      <c r="I92" s="153">
        <v>0</v>
      </c>
      <c r="J92" s="153">
        <v>0</v>
      </c>
      <c r="K92" s="153">
        <v>1821210544</v>
      </c>
      <c r="L92" s="153">
        <v>0</v>
      </c>
      <c r="M92" s="153">
        <v>0</v>
      </c>
      <c r="N92" s="153">
        <v>0</v>
      </c>
      <c r="O92" s="153">
        <v>0</v>
      </c>
      <c r="P92" s="153">
        <v>0</v>
      </c>
      <c r="Q92" s="153">
        <v>0</v>
      </c>
      <c r="R92" s="153">
        <v>0</v>
      </c>
      <c r="S92" s="329"/>
    </row>
    <row r="93" spans="7:19" x14ac:dyDescent="0.2">
      <c r="G93" s="375" t="s">
        <v>682</v>
      </c>
      <c r="H93" s="355" t="s">
        <v>683</v>
      </c>
      <c r="I93" s="153">
        <v>0</v>
      </c>
      <c r="J93" s="153">
        <v>0</v>
      </c>
      <c r="K93" s="153">
        <v>0</v>
      </c>
      <c r="L93" s="153">
        <v>0</v>
      </c>
      <c r="M93" s="153">
        <v>0</v>
      </c>
      <c r="N93" s="153">
        <v>0</v>
      </c>
      <c r="O93" s="153">
        <v>3657152090</v>
      </c>
      <c r="P93" s="153">
        <v>0</v>
      </c>
      <c r="Q93" s="153">
        <v>0</v>
      </c>
      <c r="R93" s="153">
        <v>0</v>
      </c>
      <c r="S93" s="329"/>
    </row>
    <row r="94" spans="7:19" x14ac:dyDescent="0.2">
      <c r="G94" s="375" t="s">
        <v>802</v>
      </c>
      <c r="H94" s="355" t="s">
        <v>795</v>
      </c>
      <c r="I94" s="153">
        <v>10140000000</v>
      </c>
      <c r="J94" s="153">
        <v>0</v>
      </c>
      <c r="K94" s="153">
        <v>0</v>
      </c>
      <c r="L94" s="153">
        <v>0</v>
      </c>
      <c r="M94" s="153">
        <v>0</v>
      </c>
      <c r="N94" s="153">
        <v>0</v>
      </c>
      <c r="O94" s="153">
        <v>0</v>
      </c>
      <c r="P94" s="153">
        <v>0</v>
      </c>
      <c r="Q94" s="153">
        <v>0</v>
      </c>
      <c r="R94" s="153">
        <v>0</v>
      </c>
      <c r="S94" s="329"/>
    </row>
    <row r="95" spans="7:19" x14ac:dyDescent="0.2">
      <c r="G95" s="375" t="s">
        <v>713</v>
      </c>
      <c r="H95" s="355" t="s">
        <v>759</v>
      </c>
      <c r="I95" s="153">
        <v>24180000000</v>
      </c>
      <c r="J95" s="153">
        <v>6731402156</v>
      </c>
      <c r="K95" s="153">
        <v>0</v>
      </c>
      <c r="L95" s="153">
        <v>0</v>
      </c>
      <c r="M95" s="153">
        <v>0</v>
      </c>
      <c r="N95" s="153">
        <v>0</v>
      </c>
      <c r="O95" s="153">
        <v>0</v>
      </c>
      <c r="P95" s="153">
        <v>0</v>
      </c>
      <c r="Q95" s="153">
        <v>0</v>
      </c>
      <c r="R95" s="153">
        <v>496515315</v>
      </c>
      <c r="S95" s="329"/>
    </row>
    <row r="96" spans="7:19" x14ac:dyDescent="0.2">
      <c r="G96" s="375" t="s">
        <v>380</v>
      </c>
      <c r="H96" s="355" t="s">
        <v>786</v>
      </c>
      <c r="I96" s="153">
        <v>2406117000</v>
      </c>
      <c r="J96" s="153">
        <v>15671261484</v>
      </c>
      <c r="K96" s="153">
        <v>2999849829</v>
      </c>
      <c r="L96" s="153">
        <v>0</v>
      </c>
      <c r="M96" s="153">
        <v>0</v>
      </c>
      <c r="N96" s="153">
        <v>0</v>
      </c>
      <c r="O96" s="153">
        <v>0</v>
      </c>
      <c r="P96" s="153">
        <v>0</v>
      </c>
      <c r="Q96" s="153">
        <v>0</v>
      </c>
      <c r="R96" s="153">
        <v>0</v>
      </c>
      <c r="S96" s="329"/>
    </row>
    <row r="97" spans="7:19" x14ac:dyDescent="0.2">
      <c r="G97" s="375" t="s">
        <v>924</v>
      </c>
      <c r="H97" s="355" t="s">
        <v>923</v>
      </c>
      <c r="I97" s="153">
        <v>0</v>
      </c>
      <c r="J97" s="153">
        <v>0</v>
      </c>
      <c r="K97" s="153">
        <v>0</v>
      </c>
      <c r="L97" s="153">
        <v>2516550000</v>
      </c>
      <c r="M97" s="153">
        <v>0</v>
      </c>
      <c r="N97" s="153">
        <v>0</v>
      </c>
      <c r="O97" s="153">
        <v>0</v>
      </c>
      <c r="P97" s="153">
        <v>0</v>
      </c>
      <c r="Q97" s="153">
        <v>0</v>
      </c>
      <c r="R97" s="153">
        <v>0</v>
      </c>
      <c r="S97" s="329"/>
    </row>
    <row r="98" spans="7:19" x14ac:dyDescent="0.2">
      <c r="G98" s="376" t="s">
        <v>227</v>
      </c>
      <c r="H98" s="358"/>
      <c r="I98" s="351">
        <f t="shared" ref="I98" si="37">SUM(I84:I97)</f>
        <v>128440991000</v>
      </c>
      <c r="J98" s="351">
        <f>SUM(J84:J97)</f>
        <v>78061988509</v>
      </c>
      <c r="K98" s="351">
        <f>SUM(K84:K97)</f>
        <v>11394896685</v>
      </c>
      <c r="L98" s="351">
        <f>SUM(L84:L97)</f>
        <v>2890643546</v>
      </c>
      <c r="M98" s="351">
        <f t="shared" ref="M98:R98" si="38">SUM(M84:M97)</f>
        <v>2181174233</v>
      </c>
      <c r="N98" s="351">
        <f t="shared" si="38"/>
        <v>0</v>
      </c>
      <c r="O98" s="351">
        <f t="shared" si="38"/>
        <v>3657152090</v>
      </c>
      <c r="P98" s="351">
        <f t="shared" si="38"/>
        <v>0</v>
      </c>
      <c r="Q98" s="351">
        <f t="shared" si="38"/>
        <v>762623126</v>
      </c>
      <c r="R98" s="351">
        <f t="shared" si="38"/>
        <v>496515315</v>
      </c>
      <c r="S98" s="329"/>
    </row>
    <row r="99" spans="7:19" x14ac:dyDescent="0.2">
      <c r="G99" s="328" t="s">
        <v>1046</v>
      </c>
      <c r="I99" s="331">
        <f>I98*8%</f>
        <v>10275279280</v>
      </c>
      <c r="J99" s="331">
        <f>J98*6%</f>
        <v>4683719310.54</v>
      </c>
      <c r="K99" s="331"/>
      <c r="L99" s="331"/>
      <c r="M99" s="331"/>
      <c r="N99" s="331"/>
      <c r="O99" s="331">
        <f>O98*5%</f>
        <v>182857604.5</v>
      </c>
      <c r="P99" s="331" t="s">
        <v>1052</v>
      </c>
      <c r="Q99" s="331"/>
      <c r="R99" s="331"/>
      <c r="S99" s="329"/>
    </row>
    <row r="100" spans="7:19" x14ac:dyDescent="0.2">
      <c r="G100" s="328" t="s">
        <v>1073</v>
      </c>
      <c r="I100" s="331"/>
      <c r="J100" s="331"/>
      <c r="K100" s="331"/>
      <c r="L100" s="331"/>
      <c r="M100" s="331"/>
      <c r="N100" s="331"/>
      <c r="O100" s="331"/>
      <c r="P100" s="331"/>
      <c r="Q100" s="349" t="s">
        <v>1049</v>
      </c>
      <c r="R100" s="350">
        <f>SUM(I99:J99,O99)</f>
        <v>15141856195.040001</v>
      </c>
      <c r="S100" s="329"/>
    </row>
    <row r="101" spans="7:19" ht="16" thickBot="1" x14ac:dyDescent="0.25">
      <c r="G101" s="345"/>
      <c r="H101" s="338"/>
      <c r="I101" s="338"/>
      <c r="J101" s="338"/>
      <c r="K101" s="338"/>
      <c r="L101" s="338"/>
      <c r="M101" s="338"/>
      <c r="N101" s="338"/>
      <c r="O101" s="338"/>
      <c r="P101" s="338"/>
      <c r="Q101" s="338"/>
      <c r="R101" s="338"/>
      <c r="S101" s="340"/>
    </row>
  </sheetData>
  <mergeCells count="22">
    <mergeCell ref="I3:J3"/>
    <mergeCell ref="K3:L3"/>
    <mergeCell ref="M3:N3"/>
    <mergeCell ref="G82:G83"/>
    <mergeCell ref="H82:H83"/>
    <mergeCell ref="G3:G4"/>
    <mergeCell ref="H3:H4"/>
    <mergeCell ref="G35:G36"/>
    <mergeCell ref="H35:H36"/>
    <mergeCell ref="G60:G61"/>
    <mergeCell ref="H60:H61"/>
    <mergeCell ref="O82:P82"/>
    <mergeCell ref="Q82:R82"/>
    <mergeCell ref="I35:J35"/>
    <mergeCell ref="K35:L35"/>
    <mergeCell ref="M35:N35"/>
    <mergeCell ref="I60:J60"/>
    <mergeCell ref="K60:L60"/>
    <mergeCell ref="M60:N60"/>
    <mergeCell ref="I82:J82"/>
    <mergeCell ref="K82:L82"/>
    <mergeCell ref="M82:N82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99B5-19AA-4197-ACCF-19B781CFBEED}">
  <sheetPr codeName="Sheet12">
    <tabColor rgb="FF92D050"/>
  </sheetPr>
  <dimension ref="A1:W356"/>
  <sheetViews>
    <sheetView showGridLines="0" topLeftCell="A123" zoomScale="40" zoomScaleNormal="40" zoomScaleSheetLayoutView="70" workbookViewId="0">
      <selection activeCell="C6" sqref="C6:L137"/>
    </sheetView>
  </sheetViews>
  <sheetFormatPr baseColWidth="10" defaultColWidth="9.1640625" defaultRowHeight="14" x14ac:dyDescent="0.15"/>
  <cols>
    <col min="1" max="1" width="8.6640625" style="7" customWidth="1"/>
    <col min="2" max="2" width="8.33203125" style="7" customWidth="1"/>
    <col min="3" max="3" width="26.83203125" style="7" customWidth="1"/>
    <col min="4" max="4" width="21" style="8" bestFit="1" customWidth="1"/>
    <col min="5" max="5" width="58.6640625" style="7" customWidth="1"/>
    <col min="6" max="6" width="52.33203125" style="7" bestFit="1" customWidth="1"/>
    <col min="7" max="7" width="14.1640625" style="7" bestFit="1" customWidth="1"/>
    <col min="8" max="8" width="23.5" style="7" customWidth="1"/>
    <col min="9" max="9" width="18.6640625" style="7" customWidth="1"/>
    <col min="10" max="10" width="18.5" style="7" customWidth="1"/>
    <col min="11" max="14" width="22.1640625" style="7" customWidth="1"/>
    <col min="15" max="19" width="18.5" style="7" customWidth="1"/>
    <col min="20" max="20" width="9.1640625" style="7" customWidth="1"/>
    <col min="21" max="21" width="15.5" style="7" customWidth="1"/>
    <col min="22" max="22" width="73.83203125" style="7" bestFit="1" customWidth="1"/>
    <col min="23" max="16384" width="9.1640625" style="7"/>
  </cols>
  <sheetData>
    <row r="1" spans="1:23" ht="20" x14ac:dyDescent="0.2">
      <c r="C1" s="10" t="s">
        <v>2</v>
      </c>
    </row>
    <row r="2" spans="1:23" x14ac:dyDescent="0.15">
      <c r="C2" s="9" t="s">
        <v>3</v>
      </c>
    </row>
    <row r="3" spans="1:23" x14ac:dyDescent="0.15">
      <c r="C3" s="9"/>
    </row>
    <row r="4" spans="1:23" x14ac:dyDescent="0.15">
      <c r="C4" s="91" t="s">
        <v>372</v>
      </c>
      <c r="D4" s="8" t="s">
        <v>373</v>
      </c>
    </row>
    <row r="5" spans="1:23" x14ac:dyDescent="0.15">
      <c r="I5" s="29">
        <f>SUM(I7:I492)</f>
        <v>230091984504</v>
      </c>
      <c r="K5" s="29">
        <f>SUM(K7:K492)</f>
        <v>230091984504</v>
      </c>
      <c r="L5" s="29"/>
      <c r="M5" s="29"/>
      <c r="O5" s="29">
        <f>SUM(O7:O492)</f>
        <v>211977076543</v>
      </c>
      <c r="P5" s="29">
        <f>SUM(P7:P492)</f>
        <v>208727216054</v>
      </c>
      <c r="Q5" s="29">
        <f>SUM(Q7:Q492)</f>
        <v>206270384779</v>
      </c>
      <c r="R5" s="29">
        <f>SUM(R7:R492)</f>
        <v>181609091319</v>
      </c>
      <c r="S5" s="29">
        <f>SUM(S7:S492)</f>
        <v>169721004249</v>
      </c>
    </row>
    <row r="6" spans="1:23" s="3" customFormat="1" ht="30" customHeight="1" x14ac:dyDescent="0.2">
      <c r="A6" s="112" t="s">
        <v>55</v>
      </c>
      <c r="B6" s="112" t="s">
        <v>59</v>
      </c>
      <c r="C6" s="112" t="s">
        <v>58</v>
      </c>
      <c r="D6" s="112" t="s">
        <v>57</v>
      </c>
      <c r="E6" s="16" t="s">
        <v>64</v>
      </c>
      <c r="F6" s="112" t="s">
        <v>62</v>
      </c>
      <c r="G6" s="112" t="s">
        <v>516</v>
      </c>
      <c r="H6" s="112" t="s">
        <v>374</v>
      </c>
      <c r="I6" s="112" t="s">
        <v>61</v>
      </c>
      <c r="J6" s="112" t="s">
        <v>31</v>
      </c>
      <c r="K6" s="113" t="s">
        <v>60</v>
      </c>
      <c r="L6" s="113" t="s">
        <v>377</v>
      </c>
      <c r="M6" s="113" t="s">
        <v>374</v>
      </c>
      <c r="N6" s="112" t="s">
        <v>93</v>
      </c>
      <c r="O6" s="384" t="s">
        <v>54</v>
      </c>
      <c r="P6" s="385"/>
      <c r="Q6" s="385"/>
      <c r="R6" s="385"/>
      <c r="S6" s="386"/>
    </row>
    <row r="7" spans="1:23" s="3" customFormat="1" ht="30" customHeight="1" x14ac:dyDescent="0.2">
      <c r="A7" s="4">
        <v>1</v>
      </c>
      <c r="B7" s="5" t="str">
        <f t="shared" ref="B7:B38" si="0">VLOOKUP(C7,$V:$W,2,0)</f>
        <v>0305</v>
      </c>
      <c r="C7" s="23" t="s">
        <v>42</v>
      </c>
      <c r="D7" s="4" t="s">
        <v>225</v>
      </c>
      <c r="E7" s="23" t="s">
        <v>529</v>
      </c>
      <c r="F7" s="5" t="s">
        <v>844</v>
      </c>
      <c r="G7" s="4" t="s">
        <v>515</v>
      </c>
      <c r="H7" s="4" t="s">
        <v>376</v>
      </c>
      <c r="I7" s="75">
        <v>1095750000</v>
      </c>
      <c r="J7" s="4">
        <v>2025</v>
      </c>
      <c r="K7" s="56">
        <f t="shared" ref="K7:K70" si="1">ROUNDDOWN(L7*M7,0)</f>
        <v>1095750000</v>
      </c>
      <c r="L7" s="94">
        <v>1095750000</v>
      </c>
      <c r="M7" s="94">
        <f>VLOOKUP(H7,BUNGA!$C$97:$D$98,2,0)</f>
        <v>1</v>
      </c>
      <c r="N7" s="4" t="s">
        <v>578</v>
      </c>
      <c r="O7" s="102">
        <v>1000000000</v>
      </c>
      <c r="P7" s="12">
        <v>1000000000</v>
      </c>
      <c r="Q7" s="12">
        <v>1000000000</v>
      </c>
      <c r="R7" s="12">
        <v>1000000000</v>
      </c>
      <c r="S7" s="12">
        <v>1000000000</v>
      </c>
      <c r="T7" s="74"/>
      <c r="U7" s="17" t="s">
        <v>34</v>
      </c>
      <c r="V7" s="18" t="s">
        <v>35</v>
      </c>
      <c r="W7" s="17" t="s">
        <v>34</v>
      </c>
    </row>
    <row r="8" spans="1:23" s="3" customFormat="1" ht="30" customHeight="1" x14ac:dyDescent="0.2">
      <c r="A8" s="4">
        <f>A7+1</f>
        <v>2</v>
      </c>
      <c r="B8" s="5" t="str">
        <f t="shared" si="0"/>
        <v>0305</v>
      </c>
      <c r="C8" s="23" t="s">
        <v>42</v>
      </c>
      <c r="D8" s="4" t="s">
        <v>225</v>
      </c>
      <c r="E8" s="23" t="s">
        <v>529</v>
      </c>
      <c r="F8" s="5" t="s">
        <v>845</v>
      </c>
      <c r="G8" s="4" t="s">
        <v>515</v>
      </c>
      <c r="H8" s="4" t="s">
        <v>376</v>
      </c>
      <c r="I8" s="75">
        <v>437628000</v>
      </c>
      <c r="J8" s="4">
        <v>2025</v>
      </c>
      <c r="K8" s="56">
        <f t="shared" si="1"/>
        <v>437628000</v>
      </c>
      <c r="L8" s="94">
        <v>437628000</v>
      </c>
      <c r="M8" s="94">
        <f>VLOOKUP(H8,BUNGA!$C$97:$D$98,2,0)</f>
        <v>1</v>
      </c>
      <c r="N8" s="4" t="s">
        <v>578</v>
      </c>
      <c r="O8" s="102">
        <v>400000000</v>
      </c>
      <c r="P8" s="12">
        <v>400000000</v>
      </c>
      <c r="Q8" s="12">
        <v>400000000</v>
      </c>
      <c r="R8" s="12">
        <v>400000000</v>
      </c>
      <c r="S8" s="12">
        <v>400000000</v>
      </c>
      <c r="T8" s="74"/>
      <c r="U8" s="17" t="s">
        <v>36</v>
      </c>
      <c r="V8" s="18" t="s">
        <v>37</v>
      </c>
      <c r="W8" s="17" t="s">
        <v>36</v>
      </c>
    </row>
    <row r="9" spans="1:23" s="3" customFormat="1" ht="30" customHeight="1" x14ac:dyDescent="0.2">
      <c r="A9" s="4">
        <f t="shared" ref="A9:A72" si="2">A8+1</f>
        <v>3</v>
      </c>
      <c r="B9" s="5" t="str">
        <f t="shared" si="0"/>
        <v>0305</v>
      </c>
      <c r="C9" s="23" t="s">
        <v>42</v>
      </c>
      <c r="D9" s="4" t="s">
        <v>225</v>
      </c>
      <c r="E9" s="23" t="s">
        <v>529</v>
      </c>
      <c r="F9" s="5" t="s">
        <v>494</v>
      </c>
      <c r="G9" s="4" t="s">
        <v>515</v>
      </c>
      <c r="H9" s="4" t="s">
        <v>376</v>
      </c>
      <c r="I9" s="75">
        <v>1850000000</v>
      </c>
      <c r="J9" s="4">
        <v>2025</v>
      </c>
      <c r="K9" s="56">
        <f t="shared" si="1"/>
        <v>1850000000</v>
      </c>
      <c r="L9" s="94">
        <v>1850000000</v>
      </c>
      <c r="M9" s="94">
        <f>VLOOKUP(H9,BUNGA!$C$97:$D$98,2,0)</f>
        <v>1</v>
      </c>
      <c r="N9" s="4" t="s">
        <v>30</v>
      </c>
      <c r="O9" s="102">
        <v>1850000000</v>
      </c>
      <c r="P9" s="12">
        <v>1850000000</v>
      </c>
      <c r="Q9" s="12">
        <v>0</v>
      </c>
      <c r="R9" s="12">
        <v>0</v>
      </c>
      <c r="S9" s="12">
        <v>0</v>
      </c>
      <c r="T9" s="74"/>
      <c r="U9" s="17" t="s">
        <v>38</v>
      </c>
      <c r="V9" s="18" t="s">
        <v>530</v>
      </c>
      <c r="W9" s="17" t="s">
        <v>38</v>
      </c>
    </row>
    <row r="10" spans="1:23" s="3" customFormat="1" ht="30" customHeight="1" x14ac:dyDescent="0.2">
      <c r="A10" s="4">
        <f t="shared" si="2"/>
        <v>4</v>
      </c>
      <c r="B10" s="5" t="str">
        <f t="shared" si="0"/>
        <v>0305</v>
      </c>
      <c r="C10" s="23" t="s">
        <v>42</v>
      </c>
      <c r="D10" s="4" t="s">
        <v>225</v>
      </c>
      <c r="E10" s="23" t="s">
        <v>529</v>
      </c>
      <c r="F10" s="5" t="s">
        <v>496</v>
      </c>
      <c r="G10" s="4" t="s">
        <v>515</v>
      </c>
      <c r="H10" s="4" t="s">
        <v>376</v>
      </c>
      <c r="I10" s="75">
        <v>2370000000</v>
      </c>
      <c r="J10" s="4">
        <v>2025</v>
      </c>
      <c r="K10" s="56">
        <f t="shared" si="1"/>
        <v>2370000000</v>
      </c>
      <c r="L10" s="94">
        <v>2370000000</v>
      </c>
      <c r="M10" s="94">
        <f>VLOOKUP(H10,BUNGA!$C$97:$D$98,2,0)</f>
        <v>1</v>
      </c>
      <c r="N10" s="4" t="s">
        <v>579</v>
      </c>
      <c r="O10" s="102">
        <v>2370000000</v>
      </c>
      <c r="P10" s="12">
        <v>2370000000</v>
      </c>
      <c r="Q10" s="12">
        <v>0</v>
      </c>
      <c r="R10" s="12">
        <v>0</v>
      </c>
      <c r="S10" s="12">
        <v>0</v>
      </c>
      <c r="T10" s="74"/>
      <c r="U10" s="17" t="s">
        <v>39</v>
      </c>
      <c r="V10" s="18" t="s">
        <v>40</v>
      </c>
      <c r="W10" s="17" t="s">
        <v>39</v>
      </c>
    </row>
    <row r="11" spans="1:23" s="3" customFormat="1" ht="30" customHeight="1" x14ac:dyDescent="0.2">
      <c r="A11" s="4">
        <f t="shared" si="2"/>
        <v>5</v>
      </c>
      <c r="B11" s="5" t="str">
        <f t="shared" si="0"/>
        <v>0399</v>
      </c>
      <c r="C11" s="23" t="s">
        <v>32</v>
      </c>
      <c r="D11" s="4" t="s">
        <v>225</v>
      </c>
      <c r="E11" s="23" t="s">
        <v>529</v>
      </c>
      <c r="F11" s="5" t="s">
        <v>846</v>
      </c>
      <c r="G11" s="4" t="s">
        <v>515</v>
      </c>
      <c r="H11" s="4" t="s">
        <v>376</v>
      </c>
      <c r="I11" s="75">
        <v>901170423</v>
      </c>
      <c r="J11" s="4">
        <v>2025</v>
      </c>
      <c r="K11" s="56">
        <f t="shared" si="1"/>
        <v>901170423</v>
      </c>
      <c r="L11" s="94">
        <v>901170423</v>
      </c>
      <c r="M11" s="94">
        <f>VLOOKUP(H11,BUNGA!$C$97:$D$98,2,0)</f>
        <v>1</v>
      </c>
      <c r="N11" s="4" t="s">
        <v>578</v>
      </c>
      <c r="O11" s="102">
        <v>109394265</v>
      </c>
      <c r="P11" s="12">
        <v>0</v>
      </c>
      <c r="Q11" s="12">
        <v>0</v>
      </c>
      <c r="R11" s="12">
        <v>0</v>
      </c>
      <c r="S11" s="12">
        <v>0</v>
      </c>
      <c r="T11" s="74"/>
      <c r="U11" s="17" t="s">
        <v>41</v>
      </c>
      <c r="V11" s="18" t="s">
        <v>42</v>
      </c>
      <c r="W11" s="17" t="s">
        <v>41</v>
      </c>
    </row>
    <row r="12" spans="1:23" s="3" customFormat="1" ht="30" customHeight="1" x14ac:dyDescent="0.2">
      <c r="A12" s="4">
        <f t="shared" si="2"/>
        <v>6</v>
      </c>
      <c r="B12" s="5" t="str">
        <f t="shared" si="0"/>
        <v>0399</v>
      </c>
      <c r="C12" s="23" t="s">
        <v>32</v>
      </c>
      <c r="D12" s="4" t="s">
        <v>225</v>
      </c>
      <c r="E12" s="23" t="s">
        <v>529</v>
      </c>
      <c r="F12" s="5" t="s">
        <v>847</v>
      </c>
      <c r="G12" s="4" t="s">
        <v>515</v>
      </c>
      <c r="H12" s="4" t="s">
        <v>376</v>
      </c>
      <c r="I12" s="75">
        <v>1280003810</v>
      </c>
      <c r="J12" s="4">
        <v>2025</v>
      </c>
      <c r="K12" s="56">
        <f t="shared" si="1"/>
        <v>1280003810</v>
      </c>
      <c r="L12" s="94">
        <v>1280003810</v>
      </c>
      <c r="M12" s="94">
        <f>VLOOKUP(H12,BUNGA!$C$97:$D$98,2,0)</f>
        <v>1</v>
      </c>
      <c r="N12" s="4" t="s">
        <v>578</v>
      </c>
      <c r="O12" s="102">
        <v>197646600</v>
      </c>
      <c r="P12" s="12">
        <v>0</v>
      </c>
      <c r="Q12" s="12">
        <v>0</v>
      </c>
      <c r="R12" s="12">
        <v>0</v>
      </c>
      <c r="S12" s="12">
        <v>0</v>
      </c>
      <c r="T12" s="74"/>
      <c r="U12" s="17" t="s">
        <v>43</v>
      </c>
      <c r="V12" s="18" t="s">
        <v>44</v>
      </c>
      <c r="W12" s="17" t="s">
        <v>43</v>
      </c>
    </row>
    <row r="13" spans="1:23" s="3" customFormat="1" ht="30" customHeight="1" x14ac:dyDescent="0.2">
      <c r="A13" s="4">
        <f t="shared" si="2"/>
        <v>7</v>
      </c>
      <c r="B13" s="5" t="str">
        <f t="shared" si="0"/>
        <v>0307</v>
      </c>
      <c r="C13" s="23" t="s">
        <v>188</v>
      </c>
      <c r="D13" s="4" t="s">
        <v>225</v>
      </c>
      <c r="E13" s="23" t="s">
        <v>529</v>
      </c>
      <c r="F13" s="5" t="s">
        <v>510</v>
      </c>
      <c r="G13" s="4" t="s">
        <v>515</v>
      </c>
      <c r="H13" s="4" t="s">
        <v>376</v>
      </c>
      <c r="I13" s="75">
        <f>L13</f>
        <v>1406054056</v>
      </c>
      <c r="J13" s="4">
        <v>2025</v>
      </c>
      <c r="K13" s="56">
        <f t="shared" si="1"/>
        <v>1406054056</v>
      </c>
      <c r="L13" s="94">
        <v>1406054056</v>
      </c>
      <c r="M13" s="94">
        <f>VLOOKUP(H13,BUNGA!$C$97:$D$98,2,0)</f>
        <v>1</v>
      </c>
      <c r="N13" s="4" t="s">
        <v>578</v>
      </c>
      <c r="O13" s="102">
        <v>0</v>
      </c>
      <c r="P13" s="12">
        <v>0</v>
      </c>
      <c r="Q13" s="12">
        <v>0</v>
      </c>
      <c r="R13" s="12">
        <v>0</v>
      </c>
      <c r="S13" s="12">
        <v>0</v>
      </c>
      <c r="T13" s="74"/>
      <c r="U13" s="17" t="s">
        <v>45</v>
      </c>
      <c r="V13" s="18" t="s">
        <v>188</v>
      </c>
      <c r="W13" s="17" t="s">
        <v>45</v>
      </c>
    </row>
    <row r="14" spans="1:23" s="3" customFormat="1" ht="30" customHeight="1" x14ac:dyDescent="0.2">
      <c r="A14" s="4">
        <f t="shared" si="2"/>
        <v>8</v>
      </c>
      <c r="B14" s="5" t="str">
        <f t="shared" si="0"/>
        <v>0307</v>
      </c>
      <c r="C14" s="23" t="s">
        <v>188</v>
      </c>
      <c r="D14" s="4" t="s">
        <v>225</v>
      </c>
      <c r="E14" s="23" t="s">
        <v>529</v>
      </c>
      <c r="F14" s="5" t="s">
        <v>511</v>
      </c>
      <c r="G14" s="4" t="s">
        <v>515</v>
      </c>
      <c r="H14" s="4" t="s">
        <v>376</v>
      </c>
      <c r="I14" s="75">
        <f t="shared" ref="I14:I16" si="3">L14</f>
        <v>398528728</v>
      </c>
      <c r="J14" s="4">
        <v>2025</v>
      </c>
      <c r="K14" s="56">
        <f t="shared" si="1"/>
        <v>398528728</v>
      </c>
      <c r="L14" s="94">
        <v>398528728</v>
      </c>
      <c r="M14" s="94">
        <f>VLOOKUP(H14,BUNGA!$C$97:$D$98,2,0)</f>
        <v>1</v>
      </c>
      <c r="N14" s="4" t="s">
        <v>578</v>
      </c>
      <c r="O14" s="102">
        <v>0</v>
      </c>
      <c r="P14" s="12">
        <v>0</v>
      </c>
      <c r="Q14" s="12">
        <v>0</v>
      </c>
      <c r="R14" s="12">
        <v>0</v>
      </c>
      <c r="S14" s="12">
        <v>0</v>
      </c>
      <c r="T14" s="74"/>
      <c r="U14" s="17" t="s">
        <v>46</v>
      </c>
      <c r="V14" s="18" t="s">
        <v>47</v>
      </c>
      <c r="W14" s="17" t="s">
        <v>46</v>
      </c>
    </row>
    <row r="15" spans="1:23" s="3" customFormat="1" ht="30" customHeight="1" x14ac:dyDescent="0.2">
      <c r="A15" s="4">
        <f t="shared" si="2"/>
        <v>9</v>
      </c>
      <c r="B15" s="5" t="str">
        <f t="shared" si="0"/>
        <v>0307</v>
      </c>
      <c r="C15" s="23" t="s">
        <v>188</v>
      </c>
      <c r="D15" s="4" t="s">
        <v>225</v>
      </c>
      <c r="E15" s="23" t="s">
        <v>529</v>
      </c>
      <c r="F15" s="5" t="s">
        <v>514</v>
      </c>
      <c r="G15" s="4" t="s">
        <v>515</v>
      </c>
      <c r="H15" s="4" t="s">
        <v>375</v>
      </c>
      <c r="I15" s="75">
        <f>K15</f>
        <v>374093546</v>
      </c>
      <c r="J15" s="4">
        <v>2025</v>
      </c>
      <c r="K15" s="56">
        <f t="shared" si="1"/>
        <v>374093546</v>
      </c>
      <c r="L15" s="94">
        <v>22298</v>
      </c>
      <c r="M15" s="94">
        <f>VLOOKUP(H15,BUNGA!$C$97:$D$98,2,0)</f>
        <v>16777</v>
      </c>
      <c r="N15" s="4" t="s">
        <v>578</v>
      </c>
      <c r="O15" s="102">
        <v>0</v>
      </c>
      <c r="P15" s="12">
        <v>0</v>
      </c>
      <c r="Q15" s="12">
        <v>0</v>
      </c>
      <c r="R15" s="12">
        <v>0</v>
      </c>
      <c r="S15" s="12">
        <v>0</v>
      </c>
      <c r="T15" s="74"/>
      <c r="U15" s="17" t="s">
        <v>48</v>
      </c>
      <c r="V15" s="18" t="s">
        <v>49</v>
      </c>
      <c r="W15" s="17" t="s">
        <v>48</v>
      </c>
    </row>
    <row r="16" spans="1:23" s="3" customFormat="1" ht="30" customHeight="1" x14ac:dyDescent="0.2">
      <c r="A16" s="4">
        <f t="shared" si="2"/>
        <v>10</v>
      </c>
      <c r="B16" s="5" t="str">
        <f t="shared" si="0"/>
        <v>0307</v>
      </c>
      <c r="C16" s="23" t="s">
        <v>188</v>
      </c>
      <c r="D16" s="4" t="s">
        <v>225</v>
      </c>
      <c r="E16" s="23" t="s">
        <v>529</v>
      </c>
      <c r="F16" s="5" t="s">
        <v>918</v>
      </c>
      <c r="G16" s="4" t="s">
        <v>515</v>
      </c>
      <c r="H16" s="4" t="s">
        <v>376</v>
      </c>
      <c r="I16" s="75">
        <f t="shared" si="3"/>
        <v>1287534772</v>
      </c>
      <c r="J16" s="4">
        <v>2025</v>
      </c>
      <c r="K16" s="56">
        <f t="shared" si="1"/>
        <v>1287534772</v>
      </c>
      <c r="L16" s="94">
        <v>1287534772</v>
      </c>
      <c r="M16" s="94">
        <f>VLOOKUP(H16,BUNGA!$C$97:$D$98,2,0)</f>
        <v>1</v>
      </c>
      <c r="N16" s="4" t="s">
        <v>579</v>
      </c>
      <c r="O16" s="102">
        <v>0</v>
      </c>
      <c r="P16" s="12">
        <v>0</v>
      </c>
      <c r="Q16" s="12">
        <v>0</v>
      </c>
      <c r="R16" s="12">
        <v>0</v>
      </c>
      <c r="S16" s="12">
        <v>0</v>
      </c>
      <c r="T16" s="74"/>
      <c r="U16" s="17" t="s">
        <v>50</v>
      </c>
      <c r="V16" s="18" t="s">
        <v>51</v>
      </c>
      <c r="W16" s="17" t="s">
        <v>50</v>
      </c>
    </row>
    <row r="17" spans="1:23" s="3" customFormat="1" ht="30" customHeight="1" x14ac:dyDescent="0.2">
      <c r="A17" s="4">
        <f t="shared" si="2"/>
        <v>11</v>
      </c>
      <c r="B17" s="5" t="str">
        <f t="shared" si="0"/>
        <v>0305</v>
      </c>
      <c r="C17" s="23" t="s">
        <v>42</v>
      </c>
      <c r="D17" s="4" t="s">
        <v>225</v>
      </c>
      <c r="E17" s="23" t="s">
        <v>529</v>
      </c>
      <c r="F17" s="5" t="s">
        <v>518</v>
      </c>
      <c r="G17" s="4" t="s">
        <v>515</v>
      </c>
      <c r="H17" s="4" t="s">
        <v>375</v>
      </c>
      <c r="I17" s="75">
        <f>K17</f>
        <v>2013240000</v>
      </c>
      <c r="J17" s="4">
        <v>2025</v>
      </c>
      <c r="K17" s="56">
        <f t="shared" si="1"/>
        <v>2013240000</v>
      </c>
      <c r="L17" s="94">
        <v>120000</v>
      </c>
      <c r="M17" s="94">
        <f>VLOOKUP(H17,BUNGA!$C$97:$D$98,2,0)</f>
        <v>16777</v>
      </c>
      <c r="N17" s="4" t="s">
        <v>578</v>
      </c>
      <c r="O17" s="102">
        <v>0</v>
      </c>
      <c r="P17" s="12">
        <v>0</v>
      </c>
      <c r="Q17" s="12">
        <v>0</v>
      </c>
      <c r="R17" s="12">
        <v>0</v>
      </c>
      <c r="S17" s="12">
        <v>0</v>
      </c>
      <c r="U17" s="17" t="s">
        <v>52</v>
      </c>
      <c r="V17" s="18" t="s">
        <v>32</v>
      </c>
      <c r="W17" s="17" t="s">
        <v>52</v>
      </c>
    </row>
    <row r="18" spans="1:23" s="3" customFormat="1" ht="30" customHeight="1" x14ac:dyDescent="0.2">
      <c r="A18" s="4">
        <f>A16+1</f>
        <v>11</v>
      </c>
      <c r="B18" s="5" t="str">
        <f t="shared" si="0"/>
        <v>0305</v>
      </c>
      <c r="C18" s="23" t="s">
        <v>42</v>
      </c>
      <c r="D18" s="4" t="s">
        <v>225</v>
      </c>
      <c r="E18" s="23" t="s">
        <v>529</v>
      </c>
      <c r="F18" s="5" t="s">
        <v>544</v>
      </c>
      <c r="G18" s="4" t="s">
        <v>515</v>
      </c>
      <c r="H18" s="4" t="s">
        <v>376</v>
      </c>
      <c r="I18" s="75">
        <v>1984096000</v>
      </c>
      <c r="J18" s="4">
        <v>2025</v>
      </c>
      <c r="K18" s="56">
        <f t="shared" si="1"/>
        <v>1984096000</v>
      </c>
      <c r="L18" s="94">
        <v>1984096000</v>
      </c>
      <c r="M18" s="94">
        <f>VLOOKUP(H18,BUNGA!$C$97:$D$98,2,0)</f>
        <v>1</v>
      </c>
      <c r="N18" s="4" t="s">
        <v>578</v>
      </c>
      <c r="O18" s="102">
        <v>0</v>
      </c>
      <c r="P18" s="12">
        <v>0</v>
      </c>
      <c r="Q18" s="12">
        <v>0</v>
      </c>
      <c r="R18" s="12">
        <v>0</v>
      </c>
      <c r="S18" s="12">
        <v>0</v>
      </c>
    </row>
    <row r="19" spans="1:23" s="3" customFormat="1" ht="30" customHeight="1" x14ac:dyDescent="0.2">
      <c r="A19" s="4">
        <f>A17+1</f>
        <v>12</v>
      </c>
      <c r="B19" s="5" t="str">
        <f t="shared" si="0"/>
        <v>0305</v>
      </c>
      <c r="C19" s="23" t="s">
        <v>42</v>
      </c>
      <c r="D19" s="4" t="s">
        <v>225</v>
      </c>
      <c r="E19" s="23" t="s">
        <v>529</v>
      </c>
      <c r="F19" s="5" t="s">
        <v>519</v>
      </c>
      <c r="G19" s="4" t="s">
        <v>515</v>
      </c>
      <c r="H19" s="4" t="s">
        <v>376</v>
      </c>
      <c r="I19" s="75">
        <v>2000000000</v>
      </c>
      <c r="J19" s="4">
        <v>2025</v>
      </c>
      <c r="K19" s="56">
        <f t="shared" si="1"/>
        <v>2000000000</v>
      </c>
      <c r="L19" s="94">
        <v>2000000000</v>
      </c>
      <c r="M19" s="94">
        <f>VLOOKUP(H19,BUNGA!$C$97:$D$98,2,0)</f>
        <v>1</v>
      </c>
      <c r="N19" s="4" t="s">
        <v>578</v>
      </c>
      <c r="O19" s="102">
        <v>0</v>
      </c>
      <c r="P19" s="12">
        <v>0</v>
      </c>
      <c r="Q19" s="12">
        <v>0</v>
      </c>
      <c r="R19" s="12">
        <v>0</v>
      </c>
      <c r="S19" s="12">
        <v>0</v>
      </c>
    </row>
    <row r="20" spans="1:23" s="3" customFormat="1" ht="30" customHeight="1" x14ac:dyDescent="0.2">
      <c r="A20" s="4">
        <f t="shared" si="2"/>
        <v>13</v>
      </c>
      <c r="B20" s="5" t="str">
        <f t="shared" si="0"/>
        <v>0305</v>
      </c>
      <c r="C20" s="23" t="s">
        <v>42</v>
      </c>
      <c r="D20" s="4" t="s">
        <v>225</v>
      </c>
      <c r="E20" s="23" t="s">
        <v>529</v>
      </c>
      <c r="F20" s="5" t="s">
        <v>520</v>
      </c>
      <c r="G20" s="4" t="s">
        <v>515</v>
      </c>
      <c r="H20" s="4" t="s">
        <v>376</v>
      </c>
      <c r="I20" s="75">
        <v>1700000000</v>
      </c>
      <c r="J20" s="4">
        <v>2025</v>
      </c>
      <c r="K20" s="56">
        <f t="shared" si="1"/>
        <v>1700000000</v>
      </c>
      <c r="L20" s="94">
        <v>1700000000</v>
      </c>
      <c r="M20" s="94">
        <f>VLOOKUP(H20,BUNGA!$C$97:$D$98,2,0)</f>
        <v>1</v>
      </c>
      <c r="N20" s="4" t="s">
        <v>578</v>
      </c>
      <c r="O20" s="102">
        <v>0</v>
      </c>
      <c r="P20" s="12">
        <v>0</v>
      </c>
      <c r="Q20" s="12">
        <v>0</v>
      </c>
      <c r="R20" s="12">
        <v>0</v>
      </c>
      <c r="S20" s="12">
        <v>0</v>
      </c>
    </row>
    <row r="21" spans="1:23" s="3" customFormat="1" ht="30" customHeight="1" x14ac:dyDescent="0.2">
      <c r="A21" s="4">
        <f t="shared" si="2"/>
        <v>14</v>
      </c>
      <c r="B21" s="5" t="str">
        <f t="shared" si="0"/>
        <v>0305</v>
      </c>
      <c r="C21" s="23" t="s">
        <v>42</v>
      </c>
      <c r="D21" s="4" t="s">
        <v>225</v>
      </c>
      <c r="E21" s="23" t="s">
        <v>529</v>
      </c>
      <c r="F21" s="5" t="s">
        <v>521</v>
      </c>
      <c r="G21" s="4" t="s">
        <v>515</v>
      </c>
      <c r="H21" s="4" t="s">
        <v>376</v>
      </c>
      <c r="I21" s="75">
        <v>2500000000</v>
      </c>
      <c r="J21" s="4">
        <v>2025</v>
      </c>
      <c r="K21" s="56">
        <f t="shared" si="1"/>
        <v>2500000000</v>
      </c>
      <c r="L21" s="94">
        <v>2500000000</v>
      </c>
      <c r="M21" s="94">
        <f>VLOOKUP(H21,BUNGA!$C$97:$D$98,2,0)</f>
        <v>1</v>
      </c>
      <c r="N21" s="4" t="s">
        <v>578</v>
      </c>
      <c r="O21" s="102">
        <v>0</v>
      </c>
      <c r="P21" s="12">
        <v>0</v>
      </c>
      <c r="Q21" s="12">
        <v>0</v>
      </c>
      <c r="R21" s="12">
        <v>0</v>
      </c>
      <c r="S21" s="12">
        <v>0</v>
      </c>
      <c r="U21" s="3" t="s">
        <v>204</v>
      </c>
    </row>
    <row r="22" spans="1:23" s="3" customFormat="1" ht="30" customHeight="1" x14ac:dyDescent="0.2">
      <c r="A22" s="4">
        <f t="shared" si="2"/>
        <v>15</v>
      </c>
      <c r="B22" s="5" t="str">
        <f t="shared" si="0"/>
        <v>0305</v>
      </c>
      <c r="C22" s="23" t="s">
        <v>42</v>
      </c>
      <c r="D22" s="4" t="s">
        <v>225</v>
      </c>
      <c r="E22" s="23" t="s">
        <v>529</v>
      </c>
      <c r="F22" s="5" t="s">
        <v>522</v>
      </c>
      <c r="G22" s="4" t="s">
        <v>515</v>
      </c>
      <c r="H22" s="4" t="s">
        <v>376</v>
      </c>
      <c r="I22" s="75">
        <v>2180000000</v>
      </c>
      <c r="J22" s="4">
        <v>2025</v>
      </c>
      <c r="K22" s="56">
        <f t="shared" si="1"/>
        <v>2180000000</v>
      </c>
      <c r="L22" s="94">
        <v>2180000000</v>
      </c>
      <c r="M22" s="94">
        <f>VLOOKUP(H22,BUNGA!$C$97:$D$98,2,0)</f>
        <v>1</v>
      </c>
      <c r="N22" s="4" t="s">
        <v>578</v>
      </c>
      <c r="O22" s="102">
        <v>0</v>
      </c>
      <c r="P22" s="12">
        <v>0</v>
      </c>
      <c r="Q22" s="12">
        <v>0</v>
      </c>
      <c r="R22" s="12">
        <v>0</v>
      </c>
      <c r="S22" s="12">
        <v>0</v>
      </c>
      <c r="U22" s="3" t="s">
        <v>205</v>
      </c>
      <c r="V22" s="3" t="s">
        <v>206</v>
      </c>
    </row>
    <row r="23" spans="1:23" s="3" customFormat="1" ht="30" customHeight="1" x14ac:dyDescent="0.2">
      <c r="A23" s="4">
        <f t="shared" si="2"/>
        <v>16</v>
      </c>
      <c r="B23" s="5" t="str">
        <f t="shared" si="0"/>
        <v>0305</v>
      </c>
      <c r="C23" s="23" t="s">
        <v>42</v>
      </c>
      <c r="D23" s="4" t="s">
        <v>225</v>
      </c>
      <c r="E23" s="23" t="s">
        <v>529</v>
      </c>
      <c r="F23" s="5" t="s">
        <v>523</v>
      </c>
      <c r="G23" s="4" t="s">
        <v>515</v>
      </c>
      <c r="H23" s="4" t="s">
        <v>376</v>
      </c>
      <c r="I23" s="75">
        <v>1220000000</v>
      </c>
      <c r="J23" s="4">
        <v>2025</v>
      </c>
      <c r="K23" s="56">
        <f t="shared" si="1"/>
        <v>1220000000</v>
      </c>
      <c r="L23" s="94">
        <v>1220000000</v>
      </c>
      <c r="M23" s="94">
        <f>VLOOKUP(H23,BUNGA!$C$97:$D$98,2,0)</f>
        <v>1</v>
      </c>
      <c r="N23" s="4" t="s">
        <v>578</v>
      </c>
      <c r="O23" s="102">
        <v>0</v>
      </c>
      <c r="P23" s="12">
        <v>0</v>
      </c>
      <c r="Q23" s="12">
        <v>0</v>
      </c>
      <c r="R23" s="12">
        <v>0</v>
      </c>
      <c r="S23" s="12">
        <v>0</v>
      </c>
      <c r="U23" s="3" t="s">
        <v>207</v>
      </c>
      <c r="V23" s="3" t="s">
        <v>208</v>
      </c>
    </row>
    <row r="24" spans="1:23" s="3" customFormat="1" ht="30" customHeight="1" x14ac:dyDescent="0.2">
      <c r="A24" s="4">
        <f t="shared" si="2"/>
        <v>17</v>
      </c>
      <c r="B24" s="5" t="str">
        <f t="shared" si="0"/>
        <v>0305</v>
      </c>
      <c r="C24" s="23" t="s">
        <v>42</v>
      </c>
      <c r="D24" s="4" t="s">
        <v>225</v>
      </c>
      <c r="E24" s="23" t="s">
        <v>529</v>
      </c>
      <c r="F24" s="5" t="s">
        <v>524</v>
      </c>
      <c r="G24" s="4" t="s">
        <v>515</v>
      </c>
      <c r="H24" s="4" t="s">
        <v>376</v>
      </c>
      <c r="I24" s="75">
        <v>3000000000</v>
      </c>
      <c r="J24" s="4">
        <v>2025</v>
      </c>
      <c r="K24" s="56">
        <f t="shared" si="1"/>
        <v>3000000000</v>
      </c>
      <c r="L24" s="94">
        <v>3000000000</v>
      </c>
      <c r="M24" s="94">
        <f>VLOOKUP(H24,BUNGA!$C$97:$D$98,2,0)</f>
        <v>1</v>
      </c>
      <c r="N24" s="4" t="s">
        <v>578</v>
      </c>
      <c r="O24" s="102">
        <v>0</v>
      </c>
      <c r="P24" s="12">
        <v>0</v>
      </c>
      <c r="Q24" s="12">
        <v>0</v>
      </c>
      <c r="R24" s="12">
        <v>0</v>
      </c>
      <c r="S24" s="12">
        <v>0</v>
      </c>
      <c r="U24" s="3" t="s">
        <v>209</v>
      </c>
      <c r="V24" s="3" t="s">
        <v>210</v>
      </c>
    </row>
    <row r="25" spans="1:23" s="3" customFormat="1" ht="30" customHeight="1" x14ac:dyDescent="0.2">
      <c r="A25" s="4">
        <f t="shared" si="2"/>
        <v>18</v>
      </c>
      <c r="B25" s="5" t="str">
        <f t="shared" si="0"/>
        <v>0305</v>
      </c>
      <c r="C25" s="23" t="s">
        <v>42</v>
      </c>
      <c r="D25" s="4" t="s">
        <v>225</v>
      </c>
      <c r="E25" s="23" t="s">
        <v>529</v>
      </c>
      <c r="F25" s="5" t="s">
        <v>525</v>
      </c>
      <c r="G25" s="4" t="s">
        <v>515</v>
      </c>
      <c r="H25" s="4" t="s">
        <v>376</v>
      </c>
      <c r="I25" s="75">
        <v>620000000</v>
      </c>
      <c r="J25" s="4">
        <v>2025</v>
      </c>
      <c r="K25" s="56">
        <f t="shared" si="1"/>
        <v>620000000</v>
      </c>
      <c r="L25" s="94">
        <v>620000000</v>
      </c>
      <c r="M25" s="94">
        <f>VLOOKUP(H25,BUNGA!$C$97:$D$98,2,0)</f>
        <v>1</v>
      </c>
      <c r="N25" s="4" t="s">
        <v>579</v>
      </c>
      <c r="O25" s="102">
        <v>0</v>
      </c>
      <c r="P25" s="12">
        <v>0</v>
      </c>
      <c r="Q25" s="12">
        <v>0</v>
      </c>
      <c r="R25" s="12">
        <v>0</v>
      </c>
      <c r="S25" s="12">
        <v>0</v>
      </c>
    </row>
    <row r="26" spans="1:23" s="3" customFormat="1" ht="30" customHeight="1" x14ac:dyDescent="0.2">
      <c r="A26" s="4">
        <f t="shared" si="2"/>
        <v>19</v>
      </c>
      <c r="B26" s="5" t="str">
        <f t="shared" si="0"/>
        <v>0305</v>
      </c>
      <c r="C26" s="23" t="s">
        <v>42</v>
      </c>
      <c r="D26" s="4" t="s">
        <v>225</v>
      </c>
      <c r="E26" s="23" t="s">
        <v>529</v>
      </c>
      <c r="F26" s="5" t="s">
        <v>526</v>
      </c>
      <c r="G26" s="4" t="s">
        <v>515</v>
      </c>
      <c r="H26" s="4" t="s">
        <v>376</v>
      </c>
      <c r="I26" s="75">
        <v>2150000000</v>
      </c>
      <c r="J26" s="4">
        <v>2025</v>
      </c>
      <c r="K26" s="56">
        <f t="shared" si="1"/>
        <v>2150000000</v>
      </c>
      <c r="L26" s="94">
        <v>2150000000</v>
      </c>
      <c r="M26" s="94">
        <f>VLOOKUP(H26,BUNGA!$C$97:$D$98,2,0)</f>
        <v>1</v>
      </c>
      <c r="N26" s="4" t="s">
        <v>579</v>
      </c>
      <c r="O26" s="102">
        <v>0</v>
      </c>
      <c r="P26" s="12">
        <v>0</v>
      </c>
      <c r="Q26" s="12">
        <v>0</v>
      </c>
      <c r="R26" s="12">
        <v>0</v>
      </c>
      <c r="S26" s="12">
        <v>0</v>
      </c>
    </row>
    <row r="27" spans="1:23" s="3" customFormat="1" ht="30" customHeight="1" x14ac:dyDescent="0.2">
      <c r="A27" s="4">
        <f t="shared" si="2"/>
        <v>20</v>
      </c>
      <c r="B27" s="5" t="str">
        <f t="shared" si="0"/>
        <v>0305</v>
      </c>
      <c r="C27" s="23" t="s">
        <v>42</v>
      </c>
      <c r="D27" s="4" t="s">
        <v>225</v>
      </c>
      <c r="E27" s="23" t="s">
        <v>535</v>
      </c>
      <c r="F27" s="5" t="s">
        <v>547</v>
      </c>
      <c r="G27" s="4" t="s">
        <v>543</v>
      </c>
      <c r="H27" s="4" t="s">
        <v>375</v>
      </c>
      <c r="I27" s="75">
        <v>3355400000</v>
      </c>
      <c r="J27" s="4">
        <v>2025</v>
      </c>
      <c r="K27" s="56">
        <f t="shared" si="1"/>
        <v>3355400000</v>
      </c>
      <c r="L27" s="94">
        <v>200000</v>
      </c>
      <c r="M27" s="94">
        <f>VLOOKUP(H27,BUNGA!$C$97:$D$98,2,0)</f>
        <v>16777</v>
      </c>
      <c r="N27" s="4" t="s">
        <v>578</v>
      </c>
      <c r="O27" s="102">
        <v>0</v>
      </c>
      <c r="P27" s="12">
        <v>0</v>
      </c>
      <c r="Q27" s="12">
        <v>0</v>
      </c>
      <c r="R27" s="12">
        <v>0</v>
      </c>
      <c r="S27" s="12">
        <v>0</v>
      </c>
    </row>
    <row r="28" spans="1:23" s="3" customFormat="1" ht="30" customHeight="1" x14ac:dyDescent="0.2">
      <c r="A28" s="4">
        <f t="shared" si="2"/>
        <v>21</v>
      </c>
      <c r="B28" s="5" t="str">
        <f t="shared" si="0"/>
        <v>0305</v>
      </c>
      <c r="C28" s="23" t="s">
        <v>42</v>
      </c>
      <c r="D28" s="4" t="s">
        <v>225</v>
      </c>
      <c r="E28" s="23" t="s">
        <v>228</v>
      </c>
      <c r="F28" s="5" t="s">
        <v>848</v>
      </c>
      <c r="G28" s="4" t="s">
        <v>549</v>
      </c>
      <c r="H28" s="4" t="s">
        <v>376</v>
      </c>
      <c r="I28" s="75">
        <f>K28</f>
        <v>1200000000</v>
      </c>
      <c r="J28" s="4">
        <v>2025</v>
      </c>
      <c r="K28" s="56">
        <f t="shared" si="1"/>
        <v>1200000000</v>
      </c>
      <c r="L28" s="94">
        <v>1200000000</v>
      </c>
      <c r="M28" s="94">
        <f>VLOOKUP(H28,BUNGA!$C$97:$D$98,2,0)</f>
        <v>1</v>
      </c>
      <c r="N28" s="4" t="s">
        <v>578</v>
      </c>
      <c r="O28" s="102">
        <v>2000000000</v>
      </c>
      <c r="P28" s="12">
        <v>2000000000</v>
      </c>
      <c r="Q28" s="12">
        <v>2000000000</v>
      </c>
      <c r="R28" s="12">
        <v>2000000000</v>
      </c>
      <c r="S28" s="12">
        <v>2000000000</v>
      </c>
    </row>
    <row r="29" spans="1:23" s="3" customFormat="1" ht="30" customHeight="1" x14ac:dyDescent="0.2">
      <c r="A29" s="4">
        <f t="shared" si="2"/>
        <v>22</v>
      </c>
      <c r="B29" s="5" t="str">
        <f t="shared" si="0"/>
        <v>0305</v>
      </c>
      <c r="C29" s="23" t="s">
        <v>42</v>
      </c>
      <c r="D29" s="4" t="s">
        <v>225</v>
      </c>
      <c r="E29" s="23" t="s">
        <v>228</v>
      </c>
      <c r="F29" s="5" t="s">
        <v>849</v>
      </c>
      <c r="G29" s="4" t="s">
        <v>549</v>
      </c>
      <c r="H29" s="4" t="s">
        <v>376</v>
      </c>
      <c r="I29" s="75">
        <f t="shared" ref="I29:I92" si="4">K29</f>
        <v>1600000000</v>
      </c>
      <c r="J29" s="4">
        <v>2025</v>
      </c>
      <c r="K29" s="56">
        <f t="shared" si="1"/>
        <v>1600000000</v>
      </c>
      <c r="L29" s="94">
        <v>1600000000</v>
      </c>
      <c r="M29" s="94">
        <f>VLOOKUP(H29,BUNGA!$C$97:$D$98,2,0)</f>
        <v>1</v>
      </c>
      <c r="N29" s="4" t="s">
        <v>578</v>
      </c>
      <c r="O29" s="102">
        <v>2000000000</v>
      </c>
      <c r="P29" s="12">
        <v>2000000000</v>
      </c>
      <c r="Q29" s="12">
        <v>2000000000</v>
      </c>
      <c r="R29" s="12">
        <v>2000000000</v>
      </c>
      <c r="S29" s="12">
        <v>2000000000</v>
      </c>
    </row>
    <row r="30" spans="1:23" s="3" customFormat="1" ht="30" customHeight="1" x14ac:dyDescent="0.2">
      <c r="A30" s="4">
        <f t="shared" si="2"/>
        <v>23</v>
      </c>
      <c r="B30" s="5" t="str">
        <f t="shared" si="0"/>
        <v>0305</v>
      </c>
      <c r="C30" s="23" t="s">
        <v>42</v>
      </c>
      <c r="D30" s="4" t="s">
        <v>225</v>
      </c>
      <c r="E30" s="23" t="s">
        <v>228</v>
      </c>
      <c r="F30" s="5" t="s">
        <v>850</v>
      </c>
      <c r="G30" s="4" t="s">
        <v>549</v>
      </c>
      <c r="H30" s="4" t="s">
        <v>376</v>
      </c>
      <c r="I30" s="75">
        <f t="shared" si="4"/>
        <v>4500000000</v>
      </c>
      <c r="J30" s="4">
        <v>2025</v>
      </c>
      <c r="K30" s="56">
        <f t="shared" si="1"/>
        <v>4500000000</v>
      </c>
      <c r="L30" s="94">
        <v>4500000000</v>
      </c>
      <c r="M30" s="94">
        <f>VLOOKUP(H30,BUNGA!$C$97:$D$98,2,0)</f>
        <v>1</v>
      </c>
      <c r="N30" s="4" t="s">
        <v>578</v>
      </c>
      <c r="O30" s="102">
        <v>4500000000</v>
      </c>
      <c r="P30" s="12">
        <v>4500000000</v>
      </c>
      <c r="Q30" s="12">
        <v>4500000000</v>
      </c>
      <c r="R30" s="12">
        <v>4500000000</v>
      </c>
      <c r="S30" s="12">
        <v>4500000000</v>
      </c>
    </row>
    <row r="31" spans="1:23" s="3" customFormat="1" ht="30" customHeight="1" x14ac:dyDescent="0.2">
      <c r="A31" s="4">
        <f t="shared" si="2"/>
        <v>24</v>
      </c>
      <c r="B31" s="5" t="str">
        <f t="shared" si="0"/>
        <v>0305</v>
      </c>
      <c r="C31" s="23" t="s">
        <v>42</v>
      </c>
      <c r="D31" s="4" t="s">
        <v>225</v>
      </c>
      <c r="E31" s="23" t="s">
        <v>228</v>
      </c>
      <c r="F31" s="5" t="s">
        <v>851</v>
      </c>
      <c r="G31" s="4" t="s">
        <v>549</v>
      </c>
      <c r="H31" s="4" t="s">
        <v>376</v>
      </c>
      <c r="I31" s="75">
        <f t="shared" si="4"/>
        <v>700000000</v>
      </c>
      <c r="J31" s="4">
        <v>2025</v>
      </c>
      <c r="K31" s="56">
        <f t="shared" si="1"/>
        <v>700000000</v>
      </c>
      <c r="L31" s="94">
        <v>700000000</v>
      </c>
      <c r="M31" s="94">
        <f>VLOOKUP(H31,BUNGA!$C$97:$D$98,2,0)</f>
        <v>1</v>
      </c>
      <c r="N31" s="4" t="s">
        <v>579</v>
      </c>
      <c r="O31" s="102">
        <v>2000000000</v>
      </c>
      <c r="P31" s="12">
        <v>2000000000</v>
      </c>
      <c r="Q31" s="12">
        <v>2000000000</v>
      </c>
      <c r="R31" s="12">
        <v>2000000000</v>
      </c>
      <c r="S31" s="12">
        <v>0</v>
      </c>
    </row>
    <row r="32" spans="1:23" s="3" customFormat="1" ht="30" customHeight="1" x14ac:dyDescent="0.2">
      <c r="A32" s="4">
        <f t="shared" si="2"/>
        <v>25</v>
      </c>
      <c r="B32" s="5" t="str">
        <f t="shared" si="0"/>
        <v>0305</v>
      </c>
      <c r="C32" s="23" t="s">
        <v>42</v>
      </c>
      <c r="D32" s="4" t="s">
        <v>225</v>
      </c>
      <c r="E32" s="23" t="s">
        <v>228</v>
      </c>
      <c r="F32" s="5" t="s">
        <v>852</v>
      </c>
      <c r="G32" s="4" t="s">
        <v>549</v>
      </c>
      <c r="H32" s="4" t="s">
        <v>376</v>
      </c>
      <c r="I32" s="75">
        <f t="shared" si="4"/>
        <v>1200000000</v>
      </c>
      <c r="J32" s="4">
        <v>2025</v>
      </c>
      <c r="K32" s="56">
        <f t="shared" si="1"/>
        <v>1200000000</v>
      </c>
      <c r="L32" s="94">
        <v>1200000000</v>
      </c>
      <c r="M32" s="94">
        <f>VLOOKUP(H32,BUNGA!$C$97:$D$98,2,0)</f>
        <v>1</v>
      </c>
      <c r="N32" s="4" t="s">
        <v>579</v>
      </c>
      <c r="O32" s="102">
        <v>2000000000</v>
      </c>
      <c r="P32" s="12">
        <v>2000000000</v>
      </c>
      <c r="Q32" s="12">
        <v>2000000000</v>
      </c>
      <c r="R32" s="12">
        <v>2000000000</v>
      </c>
      <c r="S32" s="12">
        <v>2000000000</v>
      </c>
    </row>
    <row r="33" spans="1:19" s="3" customFormat="1" ht="30" customHeight="1" x14ac:dyDescent="0.2">
      <c r="A33" s="4">
        <f t="shared" si="2"/>
        <v>26</v>
      </c>
      <c r="B33" s="5" t="str">
        <f t="shared" si="0"/>
        <v>0305</v>
      </c>
      <c r="C33" s="23" t="s">
        <v>42</v>
      </c>
      <c r="D33" s="4" t="s">
        <v>225</v>
      </c>
      <c r="E33" s="23" t="s">
        <v>228</v>
      </c>
      <c r="F33" s="5" t="s">
        <v>853</v>
      </c>
      <c r="G33" s="4" t="s">
        <v>549</v>
      </c>
      <c r="H33" s="4" t="s">
        <v>376</v>
      </c>
      <c r="I33" s="75">
        <f t="shared" si="4"/>
        <v>1000000000</v>
      </c>
      <c r="J33" s="4">
        <v>2025</v>
      </c>
      <c r="K33" s="56">
        <f t="shared" si="1"/>
        <v>1000000000</v>
      </c>
      <c r="L33" s="94">
        <v>1000000000</v>
      </c>
      <c r="M33" s="94">
        <f>VLOOKUP(H33,BUNGA!$C$97:$D$98,2,0)</f>
        <v>1</v>
      </c>
      <c r="N33" s="4" t="s">
        <v>579</v>
      </c>
      <c r="O33" s="102">
        <v>2000000000</v>
      </c>
      <c r="P33" s="12">
        <v>2000000000</v>
      </c>
      <c r="Q33" s="12">
        <v>2000000000</v>
      </c>
      <c r="R33" s="12">
        <v>2000000000</v>
      </c>
      <c r="S33" s="12">
        <v>2000000000</v>
      </c>
    </row>
    <row r="34" spans="1:19" s="3" customFormat="1" ht="30" customHeight="1" x14ac:dyDescent="0.2">
      <c r="A34" s="4">
        <f t="shared" si="2"/>
        <v>27</v>
      </c>
      <c r="B34" s="5" t="str">
        <f t="shared" si="0"/>
        <v>0305</v>
      </c>
      <c r="C34" s="23" t="s">
        <v>42</v>
      </c>
      <c r="D34" s="4" t="s">
        <v>225</v>
      </c>
      <c r="E34" s="23" t="s">
        <v>228</v>
      </c>
      <c r="F34" s="5" t="s">
        <v>854</v>
      </c>
      <c r="G34" s="4" t="s">
        <v>549</v>
      </c>
      <c r="H34" s="4" t="s">
        <v>376</v>
      </c>
      <c r="I34" s="75">
        <f t="shared" si="4"/>
        <v>1200000000</v>
      </c>
      <c r="J34" s="4">
        <v>2025</v>
      </c>
      <c r="K34" s="56">
        <f t="shared" si="1"/>
        <v>1200000000</v>
      </c>
      <c r="L34" s="94">
        <v>1200000000</v>
      </c>
      <c r="M34" s="94">
        <f>VLOOKUP(H34,BUNGA!$C$97:$D$98,2,0)</f>
        <v>1</v>
      </c>
      <c r="N34" s="4" t="s">
        <v>579</v>
      </c>
      <c r="O34" s="102">
        <v>2000000000</v>
      </c>
      <c r="P34" s="12">
        <v>2000000000</v>
      </c>
      <c r="Q34" s="12">
        <v>2000000000</v>
      </c>
      <c r="R34" s="12">
        <v>2000000000</v>
      </c>
      <c r="S34" s="12">
        <v>2000000000</v>
      </c>
    </row>
    <row r="35" spans="1:19" s="3" customFormat="1" ht="30" customHeight="1" x14ac:dyDescent="0.2">
      <c r="A35" s="4">
        <f t="shared" si="2"/>
        <v>28</v>
      </c>
      <c r="B35" s="5" t="str">
        <f t="shared" si="0"/>
        <v>0305</v>
      </c>
      <c r="C35" s="23" t="s">
        <v>42</v>
      </c>
      <c r="D35" s="4" t="s">
        <v>225</v>
      </c>
      <c r="E35" s="23" t="s">
        <v>228</v>
      </c>
      <c r="F35" s="5" t="s">
        <v>855</v>
      </c>
      <c r="G35" s="4" t="s">
        <v>549</v>
      </c>
      <c r="H35" s="4" t="s">
        <v>376</v>
      </c>
      <c r="I35" s="75">
        <f t="shared" si="4"/>
        <v>450000000</v>
      </c>
      <c r="J35" s="4">
        <v>2025</v>
      </c>
      <c r="K35" s="56">
        <f t="shared" si="1"/>
        <v>450000000</v>
      </c>
      <c r="L35" s="94">
        <v>450000000</v>
      </c>
      <c r="M35" s="94">
        <f>VLOOKUP(H35,BUNGA!$C$97:$D$98,2,0)</f>
        <v>1</v>
      </c>
      <c r="N35" s="4" t="s">
        <v>579</v>
      </c>
      <c r="O35" s="102">
        <v>700000000</v>
      </c>
      <c r="P35" s="12">
        <v>700000000</v>
      </c>
      <c r="Q35" s="12">
        <v>700000000</v>
      </c>
      <c r="R35" s="12">
        <v>700000000</v>
      </c>
      <c r="S35" s="12">
        <v>700000000</v>
      </c>
    </row>
    <row r="36" spans="1:19" s="3" customFormat="1" ht="30" customHeight="1" x14ac:dyDescent="0.2">
      <c r="A36" s="4">
        <f t="shared" si="2"/>
        <v>29</v>
      </c>
      <c r="B36" s="5" t="str">
        <f t="shared" si="0"/>
        <v>0305</v>
      </c>
      <c r="C36" s="23" t="s">
        <v>42</v>
      </c>
      <c r="D36" s="4" t="s">
        <v>225</v>
      </c>
      <c r="E36" s="23" t="s">
        <v>228</v>
      </c>
      <c r="F36" s="5" t="s">
        <v>856</v>
      </c>
      <c r="G36" s="4" t="s">
        <v>549</v>
      </c>
      <c r="H36" s="4" t="s">
        <v>376</v>
      </c>
      <c r="I36" s="75">
        <f t="shared" si="4"/>
        <v>400000000</v>
      </c>
      <c r="J36" s="4">
        <v>2025</v>
      </c>
      <c r="K36" s="56">
        <f t="shared" si="1"/>
        <v>400000000</v>
      </c>
      <c r="L36" s="94">
        <v>400000000</v>
      </c>
      <c r="M36" s="94">
        <f>VLOOKUP(H36,BUNGA!$C$97:$D$98,2,0)</f>
        <v>1</v>
      </c>
      <c r="N36" s="4" t="s">
        <v>579</v>
      </c>
      <c r="O36" s="102">
        <v>1000000000</v>
      </c>
      <c r="P36" s="12">
        <v>1000000000</v>
      </c>
      <c r="Q36" s="12">
        <v>1000000000</v>
      </c>
      <c r="R36" s="12">
        <v>1000000000</v>
      </c>
      <c r="S36" s="12">
        <v>1000000000</v>
      </c>
    </row>
    <row r="37" spans="1:19" s="3" customFormat="1" ht="30" customHeight="1" x14ac:dyDescent="0.2">
      <c r="A37" s="4">
        <f t="shared" si="2"/>
        <v>30</v>
      </c>
      <c r="B37" s="5" t="str">
        <f t="shared" si="0"/>
        <v>0305</v>
      </c>
      <c r="C37" s="23" t="s">
        <v>42</v>
      </c>
      <c r="D37" s="4" t="s">
        <v>225</v>
      </c>
      <c r="E37" s="23" t="s">
        <v>228</v>
      </c>
      <c r="F37" s="5" t="s">
        <v>857</v>
      </c>
      <c r="G37" s="4" t="s">
        <v>549</v>
      </c>
      <c r="H37" s="4" t="s">
        <v>376</v>
      </c>
      <c r="I37" s="75">
        <f t="shared" si="4"/>
        <v>2000000000</v>
      </c>
      <c r="J37" s="4">
        <v>2025</v>
      </c>
      <c r="K37" s="56">
        <f t="shared" si="1"/>
        <v>2000000000</v>
      </c>
      <c r="L37" s="94">
        <v>2000000000</v>
      </c>
      <c r="M37" s="94">
        <f>VLOOKUP(H37,BUNGA!$C$97:$D$98,2,0)</f>
        <v>1</v>
      </c>
      <c r="N37" s="4" t="s">
        <v>579</v>
      </c>
      <c r="O37" s="102">
        <v>3800000000</v>
      </c>
      <c r="P37" s="12">
        <v>3800000000</v>
      </c>
      <c r="Q37" s="12">
        <v>3800000000</v>
      </c>
      <c r="R37" s="12">
        <v>3800000000</v>
      </c>
      <c r="S37" s="12">
        <v>3800000000</v>
      </c>
    </row>
    <row r="38" spans="1:19" s="3" customFormat="1" ht="30" customHeight="1" x14ac:dyDescent="0.2">
      <c r="A38" s="4">
        <f t="shared" si="2"/>
        <v>31</v>
      </c>
      <c r="B38" s="5" t="str">
        <f t="shared" si="0"/>
        <v>0305</v>
      </c>
      <c r="C38" s="23" t="s">
        <v>42</v>
      </c>
      <c r="D38" s="4" t="s">
        <v>225</v>
      </c>
      <c r="E38" s="23" t="s">
        <v>228</v>
      </c>
      <c r="F38" s="5" t="s">
        <v>858</v>
      </c>
      <c r="G38" s="4" t="s">
        <v>549</v>
      </c>
      <c r="H38" s="4" t="s">
        <v>376</v>
      </c>
      <c r="I38" s="75">
        <f t="shared" si="4"/>
        <v>1000000000</v>
      </c>
      <c r="J38" s="4">
        <v>2025</v>
      </c>
      <c r="K38" s="56">
        <f t="shared" si="1"/>
        <v>1000000000</v>
      </c>
      <c r="L38" s="94">
        <v>1000000000</v>
      </c>
      <c r="M38" s="94">
        <f>VLOOKUP(H38,BUNGA!$C$97:$D$98,2,0)</f>
        <v>1</v>
      </c>
      <c r="N38" s="4" t="s">
        <v>579</v>
      </c>
      <c r="O38" s="102">
        <v>2000000000</v>
      </c>
      <c r="P38" s="12">
        <v>2000000000</v>
      </c>
      <c r="Q38" s="12">
        <v>2000000000</v>
      </c>
      <c r="R38" s="12">
        <v>2000000000</v>
      </c>
      <c r="S38" s="12">
        <v>0</v>
      </c>
    </row>
    <row r="39" spans="1:19" s="3" customFormat="1" ht="30" customHeight="1" x14ac:dyDescent="0.2">
      <c r="A39" s="4">
        <f t="shared" si="2"/>
        <v>32</v>
      </c>
      <c r="B39" s="5" t="str">
        <f t="shared" ref="B39:B70" si="5">VLOOKUP(C39,$V:$W,2,0)</f>
        <v>0305</v>
      </c>
      <c r="C39" s="23" t="s">
        <v>42</v>
      </c>
      <c r="D39" s="4" t="s">
        <v>225</v>
      </c>
      <c r="E39" s="23" t="s">
        <v>228</v>
      </c>
      <c r="F39" s="5" t="s">
        <v>919</v>
      </c>
      <c r="G39" s="4" t="s">
        <v>549</v>
      </c>
      <c r="H39" s="4" t="s">
        <v>375</v>
      </c>
      <c r="I39" s="75">
        <f t="shared" si="4"/>
        <v>694383253</v>
      </c>
      <c r="J39" s="4">
        <v>2025</v>
      </c>
      <c r="K39" s="56">
        <f t="shared" si="1"/>
        <v>694383253</v>
      </c>
      <c r="L39" s="94">
        <v>41389</v>
      </c>
      <c r="M39" s="94">
        <f>VLOOKUP(H39,BUNGA!$C$97:$D$98,2,0)</f>
        <v>16777</v>
      </c>
      <c r="N39" s="4" t="s">
        <v>579</v>
      </c>
      <c r="O39" s="102">
        <v>667025085</v>
      </c>
      <c r="P39" s="12">
        <v>3100000000</v>
      </c>
      <c r="Q39" s="12">
        <v>3100000000</v>
      </c>
      <c r="R39" s="12">
        <v>2858800000</v>
      </c>
      <c r="S39" s="12">
        <v>0</v>
      </c>
    </row>
    <row r="40" spans="1:19" s="3" customFormat="1" ht="30" customHeight="1" x14ac:dyDescent="0.2">
      <c r="A40" s="4">
        <f t="shared" si="2"/>
        <v>33</v>
      </c>
      <c r="B40" s="5" t="str">
        <f t="shared" si="5"/>
        <v>0305</v>
      </c>
      <c r="C40" s="23" t="s">
        <v>42</v>
      </c>
      <c r="D40" s="4" t="s">
        <v>225</v>
      </c>
      <c r="E40" s="23" t="s">
        <v>228</v>
      </c>
      <c r="F40" s="5" t="s">
        <v>859</v>
      </c>
      <c r="G40" s="4" t="s">
        <v>549</v>
      </c>
      <c r="H40" s="4" t="s">
        <v>376</v>
      </c>
      <c r="I40" s="75">
        <f t="shared" si="4"/>
        <v>1000000000</v>
      </c>
      <c r="J40" s="4">
        <v>2025</v>
      </c>
      <c r="K40" s="56">
        <f t="shared" si="1"/>
        <v>1000000000</v>
      </c>
      <c r="L40" s="94">
        <v>1000000000</v>
      </c>
      <c r="M40" s="94">
        <f>VLOOKUP(H40,BUNGA!$C$97:$D$98,2,0)</f>
        <v>1</v>
      </c>
      <c r="N40" s="4" t="s">
        <v>579</v>
      </c>
      <c r="O40" s="102">
        <v>2000000000</v>
      </c>
      <c r="P40" s="12">
        <v>2000000000</v>
      </c>
      <c r="Q40" s="12">
        <v>3000000000</v>
      </c>
      <c r="R40" s="12">
        <v>0</v>
      </c>
      <c r="S40" s="12">
        <v>0</v>
      </c>
    </row>
    <row r="41" spans="1:19" s="3" customFormat="1" ht="30" customHeight="1" x14ac:dyDescent="0.2">
      <c r="A41" s="4">
        <f t="shared" si="2"/>
        <v>34</v>
      </c>
      <c r="B41" s="5" t="str">
        <f t="shared" si="5"/>
        <v>0305</v>
      </c>
      <c r="C41" s="23" t="s">
        <v>42</v>
      </c>
      <c r="D41" s="4" t="s">
        <v>225</v>
      </c>
      <c r="E41" s="23" t="s">
        <v>228</v>
      </c>
      <c r="F41" s="5" t="s">
        <v>921</v>
      </c>
      <c r="G41" s="4" t="s">
        <v>549</v>
      </c>
      <c r="H41" s="4" t="s">
        <v>375</v>
      </c>
      <c r="I41" s="75">
        <f t="shared" si="4"/>
        <v>5962210260</v>
      </c>
      <c r="J41" s="4">
        <v>2025</v>
      </c>
      <c r="K41" s="56">
        <f t="shared" si="1"/>
        <v>5962210260</v>
      </c>
      <c r="L41" s="94">
        <v>355380</v>
      </c>
      <c r="M41" s="94">
        <f>VLOOKUP(H41,BUNGA!$C$97:$D$98,2,0)</f>
        <v>16777</v>
      </c>
      <c r="N41" s="4" t="s">
        <v>579</v>
      </c>
      <c r="O41" s="102">
        <v>5550650460</v>
      </c>
      <c r="P41" s="12">
        <v>5560200000</v>
      </c>
      <c r="Q41" s="12">
        <v>0</v>
      </c>
      <c r="R41" s="12">
        <v>0</v>
      </c>
      <c r="S41" s="12">
        <v>0</v>
      </c>
    </row>
    <row r="42" spans="1:19" s="3" customFormat="1" ht="30" customHeight="1" x14ac:dyDescent="0.2">
      <c r="A42" s="4">
        <f t="shared" si="2"/>
        <v>35</v>
      </c>
      <c r="B42" s="5" t="str">
        <f t="shared" si="5"/>
        <v>0305</v>
      </c>
      <c r="C42" s="23" t="s">
        <v>42</v>
      </c>
      <c r="D42" s="4" t="s">
        <v>225</v>
      </c>
      <c r="E42" s="23" t="s">
        <v>228</v>
      </c>
      <c r="F42" s="5" t="s">
        <v>920</v>
      </c>
      <c r="G42" s="4" t="s">
        <v>549</v>
      </c>
      <c r="H42" s="4" t="s">
        <v>375</v>
      </c>
      <c r="I42" s="75">
        <f t="shared" si="4"/>
        <v>1837081500</v>
      </c>
      <c r="J42" s="4">
        <v>2025</v>
      </c>
      <c r="K42" s="56">
        <f t="shared" si="1"/>
        <v>1837081500</v>
      </c>
      <c r="L42" s="94">
        <v>109500</v>
      </c>
      <c r="M42" s="94">
        <f>VLOOKUP(H42,BUNGA!$C$97:$D$98,2,0)</f>
        <v>16777</v>
      </c>
      <c r="N42" s="4" t="s">
        <v>578</v>
      </c>
      <c r="O42" s="102">
        <v>1527174075</v>
      </c>
      <c r="P42" s="12">
        <v>1544500000</v>
      </c>
      <c r="Q42" s="12">
        <v>0</v>
      </c>
      <c r="R42" s="12">
        <v>0</v>
      </c>
      <c r="S42" s="12">
        <v>0</v>
      </c>
    </row>
    <row r="43" spans="1:19" s="3" customFormat="1" ht="30" customHeight="1" x14ac:dyDescent="0.2">
      <c r="A43" s="4">
        <f t="shared" si="2"/>
        <v>36</v>
      </c>
      <c r="B43" s="5" t="str">
        <f t="shared" si="5"/>
        <v>0305</v>
      </c>
      <c r="C43" s="23" t="s">
        <v>42</v>
      </c>
      <c r="D43" s="4" t="s">
        <v>225</v>
      </c>
      <c r="E43" s="23" t="s">
        <v>228</v>
      </c>
      <c r="F43" s="5" t="s">
        <v>860</v>
      </c>
      <c r="G43" s="4" t="s">
        <v>549</v>
      </c>
      <c r="H43" s="4" t="s">
        <v>375</v>
      </c>
      <c r="I43" s="75">
        <f t="shared" si="4"/>
        <v>3296680500</v>
      </c>
      <c r="J43" s="4">
        <v>2025</v>
      </c>
      <c r="K43" s="56">
        <f t="shared" si="1"/>
        <v>3296680500</v>
      </c>
      <c r="L43" s="94">
        <v>196500</v>
      </c>
      <c r="M43" s="94">
        <f>VLOOKUP(H43,BUNGA!$C$97:$D$98,2,0)</f>
        <v>16777</v>
      </c>
      <c r="N43" s="4" t="s">
        <v>578</v>
      </c>
      <c r="O43" s="102">
        <v>3039862650</v>
      </c>
      <c r="P43" s="12">
        <v>0</v>
      </c>
      <c r="Q43" s="12">
        <v>0</v>
      </c>
      <c r="R43" s="12">
        <v>0</v>
      </c>
      <c r="S43" s="12">
        <v>0</v>
      </c>
    </row>
    <row r="44" spans="1:19" s="3" customFormat="1" ht="30" customHeight="1" x14ac:dyDescent="0.2">
      <c r="A44" s="4">
        <f t="shared" si="2"/>
        <v>37</v>
      </c>
      <c r="B44" s="5" t="str">
        <f t="shared" si="5"/>
        <v>0305</v>
      </c>
      <c r="C44" s="23" t="s">
        <v>42</v>
      </c>
      <c r="D44" s="4" t="s">
        <v>225</v>
      </c>
      <c r="E44" s="23" t="s">
        <v>228</v>
      </c>
      <c r="F44" s="5" t="s">
        <v>861</v>
      </c>
      <c r="G44" s="4" t="s">
        <v>549</v>
      </c>
      <c r="H44" s="4" t="s">
        <v>376</v>
      </c>
      <c r="I44" s="75">
        <f t="shared" si="4"/>
        <v>100000000</v>
      </c>
      <c r="J44" s="4">
        <v>2025</v>
      </c>
      <c r="K44" s="56">
        <f t="shared" si="1"/>
        <v>100000000</v>
      </c>
      <c r="L44" s="94">
        <v>100000000</v>
      </c>
      <c r="M44" s="94">
        <f>VLOOKUP(H44,BUNGA!$C$97:$D$98,2,0)</f>
        <v>1</v>
      </c>
      <c r="N44" s="4" t="s">
        <v>579</v>
      </c>
      <c r="O44" s="102">
        <v>100000000</v>
      </c>
      <c r="P44" s="12">
        <v>0</v>
      </c>
      <c r="Q44" s="12">
        <v>0</v>
      </c>
      <c r="R44" s="12">
        <v>0</v>
      </c>
      <c r="S44" s="12">
        <v>0</v>
      </c>
    </row>
    <row r="45" spans="1:19" s="3" customFormat="1" ht="30" customHeight="1" x14ac:dyDescent="0.2">
      <c r="A45" s="4">
        <f t="shared" si="2"/>
        <v>38</v>
      </c>
      <c r="B45" s="5" t="str">
        <f t="shared" si="5"/>
        <v>0305</v>
      </c>
      <c r="C45" s="23" t="s">
        <v>42</v>
      </c>
      <c r="D45" s="4" t="s">
        <v>225</v>
      </c>
      <c r="E45" s="23" t="s">
        <v>228</v>
      </c>
      <c r="F45" s="5" t="s">
        <v>862</v>
      </c>
      <c r="G45" s="4" t="s">
        <v>549</v>
      </c>
      <c r="H45" s="4" t="s">
        <v>376</v>
      </c>
      <c r="I45" s="75">
        <f t="shared" si="4"/>
        <v>3000000000</v>
      </c>
      <c r="J45" s="4">
        <v>2025</v>
      </c>
      <c r="K45" s="56">
        <f t="shared" si="1"/>
        <v>3000000000</v>
      </c>
      <c r="L45" s="94">
        <v>3000000000</v>
      </c>
      <c r="M45" s="94">
        <f>VLOOKUP(H45,BUNGA!$C$97:$D$98,2,0)</f>
        <v>1</v>
      </c>
      <c r="N45" s="4" t="s">
        <v>579</v>
      </c>
      <c r="O45" s="102">
        <v>3000000000</v>
      </c>
      <c r="P45" s="12">
        <v>0</v>
      </c>
      <c r="Q45" s="12">
        <v>0</v>
      </c>
      <c r="R45" s="12">
        <v>0</v>
      </c>
      <c r="S45" s="12">
        <v>0</v>
      </c>
    </row>
    <row r="46" spans="1:19" s="3" customFormat="1" ht="30" customHeight="1" x14ac:dyDescent="0.2">
      <c r="A46" s="4">
        <f t="shared" si="2"/>
        <v>39</v>
      </c>
      <c r="B46" s="5" t="str">
        <f t="shared" si="5"/>
        <v>0305</v>
      </c>
      <c r="C46" s="23" t="s">
        <v>42</v>
      </c>
      <c r="D46" s="4" t="s">
        <v>225</v>
      </c>
      <c r="E46" s="23" t="s">
        <v>228</v>
      </c>
      <c r="F46" s="5" t="s">
        <v>863</v>
      </c>
      <c r="G46" s="4" t="s">
        <v>549</v>
      </c>
      <c r="H46" s="4" t="s">
        <v>376</v>
      </c>
      <c r="I46" s="75">
        <f t="shared" si="4"/>
        <v>2000000000</v>
      </c>
      <c r="J46" s="4">
        <v>2025</v>
      </c>
      <c r="K46" s="56">
        <f t="shared" si="1"/>
        <v>2000000000</v>
      </c>
      <c r="L46" s="94">
        <v>2000000000</v>
      </c>
      <c r="M46" s="94">
        <f>VLOOKUP(H46,BUNGA!$C$97:$D$98,2,0)</f>
        <v>1</v>
      </c>
      <c r="N46" s="4" t="s">
        <v>578</v>
      </c>
      <c r="O46" s="102">
        <v>0</v>
      </c>
      <c r="P46" s="12">
        <v>0</v>
      </c>
      <c r="Q46" s="12">
        <v>0</v>
      </c>
      <c r="R46" s="12">
        <v>0</v>
      </c>
      <c r="S46" s="12">
        <v>0</v>
      </c>
    </row>
    <row r="47" spans="1:19" s="3" customFormat="1" ht="30" customHeight="1" x14ac:dyDescent="0.2">
      <c r="A47" s="4">
        <f t="shared" si="2"/>
        <v>40</v>
      </c>
      <c r="B47" s="5" t="str">
        <f t="shared" si="5"/>
        <v>0305</v>
      </c>
      <c r="C47" s="23" t="s">
        <v>42</v>
      </c>
      <c r="D47" s="4" t="s">
        <v>225</v>
      </c>
      <c r="E47" s="23" t="s">
        <v>228</v>
      </c>
      <c r="F47" s="5" t="s">
        <v>864</v>
      </c>
      <c r="G47" s="4" t="s">
        <v>549</v>
      </c>
      <c r="H47" s="4" t="s">
        <v>376</v>
      </c>
      <c r="I47" s="75">
        <f t="shared" si="4"/>
        <v>400000000</v>
      </c>
      <c r="J47" s="4">
        <v>2025</v>
      </c>
      <c r="K47" s="56">
        <f t="shared" si="1"/>
        <v>400000000</v>
      </c>
      <c r="L47" s="94">
        <v>400000000</v>
      </c>
      <c r="M47" s="94">
        <f>VLOOKUP(H47,BUNGA!$C$97:$D$98,2,0)</f>
        <v>1</v>
      </c>
      <c r="N47" s="4" t="s">
        <v>579</v>
      </c>
      <c r="O47" s="102">
        <v>0</v>
      </c>
      <c r="P47" s="12">
        <v>0</v>
      </c>
      <c r="Q47" s="12">
        <v>0</v>
      </c>
      <c r="R47" s="12">
        <v>0</v>
      </c>
      <c r="S47" s="12">
        <v>0</v>
      </c>
    </row>
    <row r="48" spans="1:19" s="3" customFormat="1" ht="30" customHeight="1" x14ac:dyDescent="0.2">
      <c r="A48" s="4">
        <f t="shared" si="2"/>
        <v>41</v>
      </c>
      <c r="B48" s="5" t="str">
        <f t="shared" si="5"/>
        <v>0305</v>
      </c>
      <c r="C48" s="23" t="s">
        <v>42</v>
      </c>
      <c r="D48" s="4" t="s">
        <v>225</v>
      </c>
      <c r="E48" s="23" t="s">
        <v>228</v>
      </c>
      <c r="F48" s="5" t="s">
        <v>865</v>
      </c>
      <c r="G48" s="4" t="s">
        <v>549</v>
      </c>
      <c r="H48" s="4" t="s">
        <v>376</v>
      </c>
      <c r="I48" s="75">
        <f t="shared" si="4"/>
        <v>5000000000</v>
      </c>
      <c r="J48" s="4">
        <v>2025</v>
      </c>
      <c r="K48" s="56">
        <f t="shared" si="1"/>
        <v>5000000000</v>
      </c>
      <c r="L48" s="94">
        <v>5000000000</v>
      </c>
      <c r="M48" s="94">
        <f>VLOOKUP(H48,BUNGA!$C$97:$D$98,2,0)</f>
        <v>1</v>
      </c>
      <c r="N48" s="4" t="s">
        <v>579</v>
      </c>
      <c r="O48" s="102">
        <v>0</v>
      </c>
      <c r="P48" s="12">
        <v>0</v>
      </c>
      <c r="Q48" s="12">
        <v>0</v>
      </c>
      <c r="R48" s="12">
        <v>0</v>
      </c>
      <c r="S48" s="12">
        <v>0</v>
      </c>
    </row>
    <row r="49" spans="1:19" s="3" customFormat="1" ht="30" customHeight="1" x14ac:dyDescent="0.2">
      <c r="A49" s="4">
        <f t="shared" si="2"/>
        <v>42</v>
      </c>
      <c r="B49" s="5" t="str">
        <f t="shared" si="5"/>
        <v>0305</v>
      </c>
      <c r="C49" s="23" t="s">
        <v>42</v>
      </c>
      <c r="D49" s="4" t="s">
        <v>225</v>
      </c>
      <c r="E49" s="23" t="s">
        <v>228</v>
      </c>
      <c r="F49" s="5" t="s">
        <v>866</v>
      </c>
      <c r="G49" s="4" t="s">
        <v>549</v>
      </c>
      <c r="H49" s="4" t="s">
        <v>376</v>
      </c>
      <c r="I49" s="75">
        <f t="shared" si="4"/>
        <v>100000000</v>
      </c>
      <c r="J49" s="4">
        <v>2025</v>
      </c>
      <c r="K49" s="56">
        <f t="shared" si="1"/>
        <v>100000000</v>
      </c>
      <c r="L49" s="94">
        <v>100000000</v>
      </c>
      <c r="M49" s="94">
        <f>VLOOKUP(H49,BUNGA!$C$97:$D$98,2,0)</f>
        <v>1</v>
      </c>
      <c r="N49" s="4" t="s">
        <v>579</v>
      </c>
      <c r="O49" s="102">
        <v>0</v>
      </c>
      <c r="P49" s="12">
        <v>0</v>
      </c>
      <c r="Q49" s="12">
        <v>0</v>
      </c>
      <c r="R49" s="12">
        <v>0</v>
      </c>
      <c r="S49" s="12">
        <v>0</v>
      </c>
    </row>
    <row r="50" spans="1:19" s="3" customFormat="1" ht="30" customHeight="1" x14ac:dyDescent="0.2">
      <c r="A50" s="4">
        <f t="shared" si="2"/>
        <v>43</v>
      </c>
      <c r="B50" s="5" t="str">
        <f t="shared" si="5"/>
        <v>0305</v>
      </c>
      <c r="C50" s="23" t="s">
        <v>42</v>
      </c>
      <c r="D50" s="4" t="s">
        <v>225</v>
      </c>
      <c r="E50" s="23" t="s">
        <v>228</v>
      </c>
      <c r="F50" s="5" t="s">
        <v>867</v>
      </c>
      <c r="G50" s="4" t="s">
        <v>549</v>
      </c>
      <c r="H50" s="4" t="s">
        <v>375</v>
      </c>
      <c r="I50" s="75">
        <f t="shared" si="4"/>
        <v>1804836106</v>
      </c>
      <c r="J50" s="4">
        <v>2025</v>
      </c>
      <c r="K50" s="56">
        <f t="shared" si="1"/>
        <v>1804836106</v>
      </c>
      <c r="L50" s="94">
        <v>107578</v>
      </c>
      <c r="M50" s="94">
        <f>VLOOKUP(H50,BUNGA!$C$97:$D$98,2,0)</f>
        <v>16777</v>
      </c>
      <c r="N50" s="4" t="s">
        <v>579</v>
      </c>
      <c r="O50" s="102">
        <v>0</v>
      </c>
      <c r="P50" s="12">
        <v>0</v>
      </c>
      <c r="Q50" s="12">
        <v>0</v>
      </c>
      <c r="R50" s="12">
        <v>0</v>
      </c>
      <c r="S50" s="12">
        <v>0</v>
      </c>
    </row>
    <row r="51" spans="1:19" s="3" customFormat="1" ht="30" customHeight="1" x14ac:dyDescent="0.2">
      <c r="A51" s="4">
        <f t="shared" si="2"/>
        <v>44</v>
      </c>
      <c r="B51" s="5" t="str">
        <f t="shared" si="5"/>
        <v>0305</v>
      </c>
      <c r="C51" s="23" t="s">
        <v>42</v>
      </c>
      <c r="D51" s="4" t="s">
        <v>225</v>
      </c>
      <c r="E51" s="23" t="s">
        <v>228</v>
      </c>
      <c r="F51" s="5" t="s">
        <v>868</v>
      </c>
      <c r="G51" s="4" t="s">
        <v>549</v>
      </c>
      <c r="H51" s="4" t="s">
        <v>375</v>
      </c>
      <c r="I51" s="75">
        <f t="shared" si="4"/>
        <v>4175510091</v>
      </c>
      <c r="J51" s="4">
        <v>2025</v>
      </c>
      <c r="K51" s="56">
        <f t="shared" si="1"/>
        <v>4175510091</v>
      </c>
      <c r="L51" s="94">
        <v>248883</v>
      </c>
      <c r="M51" s="94">
        <f>VLOOKUP(H51,BUNGA!$C$97:$D$98,2,0)</f>
        <v>16777</v>
      </c>
      <c r="N51" s="4" t="s">
        <v>579</v>
      </c>
      <c r="O51" s="102">
        <v>0</v>
      </c>
      <c r="P51" s="12">
        <v>0</v>
      </c>
      <c r="Q51" s="12">
        <v>0</v>
      </c>
      <c r="R51" s="12">
        <v>0</v>
      </c>
      <c r="S51" s="12">
        <v>0</v>
      </c>
    </row>
    <row r="52" spans="1:19" s="3" customFormat="1" ht="30" customHeight="1" x14ac:dyDescent="0.2">
      <c r="A52" s="4">
        <f t="shared" si="2"/>
        <v>45</v>
      </c>
      <c r="B52" s="5" t="str">
        <f t="shared" si="5"/>
        <v>0305</v>
      </c>
      <c r="C52" s="23" t="s">
        <v>42</v>
      </c>
      <c r="D52" s="4" t="s">
        <v>225</v>
      </c>
      <c r="E52" s="23" t="s">
        <v>228</v>
      </c>
      <c r="F52" s="5" t="s">
        <v>869</v>
      </c>
      <c r="G52" s="4" t="s">
        <v>549</v>
      </c>
      <c r="H52" s="4" t="s">
        <v>375</v>
      </c>
      <c r="I52" s="75">
        <f t="shared" si="4"/>
        <v>688242871</v>
      </c>
      <c r="J52" s="4">
        <v>2025</v>
      </c>
      <c r="K52" s="56">
        <f t="shared" si="1"/>
        <v>688242871</v>
      </c>
      <c r="L52" s="94">
        <v>41023</v>
      </c>
      <c r="M52" s="94">
        <f>VLOOKUP(H52,BUNGA!$C$97:$D$98,2,0)</f>
        <v>16777</v>
      </c>
      <c r="N52" s="4" t="s">
        <v>579</v>
      </c>
      <c r="O52" s="102">
        <v>0</v>
      </c>
      <c r="P52" s="12">
        <v>0</v>
      </c>
      <c r="Q52" s="12">
        <v>0</v>
      </c>
      <c r="R52" s="12">
        <v>0</v>
      </c>
      <c r="S52" s="12">
        <v>0</v>
      </c>
    </row>
    <row r="53" spans="1:19" s="3" customFormat="1" ht="30" customHeight="1" x14ac:dyDescent="0.2">
      <c r="A53" s="4">
        <f t="shared" si="2"/>
        <v>46</v>
      </c>
      <c r="B53" s="5" t="str">
        <f t="shared" si="5"/>
        <v>0305</v>
      </c>
      <c r="C53" s="23" t="s">
        <v>42</v>
      </c>
      <c r="D53" s="4" t="s">
        <v>225</v>
      </c>
      <c r="E53" s="23" t="s">
        <v>228</v>
      </c>
      <c r="F53" s="5" t="s">
        <v>870</v>
      </c>
      <c r="G53" s="4" t="s">
        <v>549</v>
      </c>
      <c r="H53" s="4" t="s">
        <v>375</v>
      </c>
      <c r="I53" s="75">
        <f t="shared" si="4"/>
        <v>1668690751</v>
      </c>
      <c r="J53" s="4">
        <v>2025</v>
      </c>
      <c r="K53" s="56">
        <f t="shared" si="1"/>
        <v>1668690751</v>
      </c>
      <c r="L53" s="94">
        <v>99463</v>
      </c>
      <c r="M53" s="94">
        <f>VLOOKUP(H53,BUNGA!$C$97:$D$98,2,0)</f>
        <v>16777</v>
      </c>
      <c r="N53" s="4" t="s">
        <v>579</v>
      </c>
      <c r="O53" s="102">
        <v>0</v>
      </c>
      <c r="P53" s="12">
        <v>0</v>
      </c>
      <c r="Q53" s="12">
        <v>0</v>
      </c>
      <c r="R53" s="12">
        <v>0</v>
      </c>
      <c r="S53" s="12">
        <v>0</v>
      </c>
    </row>
    <row r="54" spans="1:19" s="3" customFormat="1" ht="30" customHeight="1" x14ac:dyDescent="0.2">
      <c r="A54" s="4">
        <f t="shared" si="2"/>
        <v>47</v>
      </c>
      <c r="B54" s="5" t="str">
        <f t="shared" si="5"/>
        <v>0305</v>
      </c>
      <c r="C54" s="23" t="s">
        <v>42</v>
      </c>
      <c r="D54" s="4" t="s">
        <v>225</v>
      </c>
      <c r="E54" s="23" t="s">
        <v>228</v>
      </c>
      <c r="F54" s="5" t="s">
        <v>871</v>
      </c>
      <c r="G54" s="4" t="s">
        <v>549</v>
      </c>
      <c r="H54" s="4" t="s">
        <v>375</v>
      </c>
      <c r="I54" s="75">
        <f t="shared" si="4"/>
        <v>1822653280</v>
      </c>
      <c r="J54" s="4">
        <v>2025</v>
      </c>
      <c r="K54" s="56">
        <f t="shared" si="1"/>
        <v>1822653280</v>
      </c>
      <c r="L54" s="94">
        <v>108640</v>
      </c>
      <c r="M54" s="94">
        <f>VLOOKUP(H54,BUNGA!$C$97:$D$98,2,0)</f>
        <v>16777</v>
      </c>
      <c r="N54" s="4" t="s">
        <v>579</v>
      </c>
      <c r="O54" s="102">
        <v>0</v>
      </c>
      <c r="P54" s="12">
        <v>0</v>
      </c>
      <c r="Q54" s="12">
        <v>0</v>
      </c>
      <c r="R54" s="12">
        <v>0</v>
      </c>
      <c r="S54" s="12">
        <v>0</v>
      </c>
    </row>
    <row r="55" spans="1:19" s="3" customFormat="1" ht="30" customHeight="1" x14ac:dyDescent="0.2">
      <c r="A55" s="4">
        <f t="shared" si="2"/>
        <v>48</v>
      </c>
      <c r="B55" s="5" t="str">
        <f t="shared" si="5"/>
        <v>0305</v>
      </c>
      <c r="C55" s="23" t="s">
        <v>42</v>
      </c>
      <c r="D55" s="4" t="s">
        <v>225</v>
      </c>
      <c r="E55" s="23" t="s">
        <v>228</v>
      </c>
      <c r="F55" s="5" t="s">
        <v>872</v>
      </c>
      <c r="G55" s="4" t="s">
        <v>549</v>
      </c>
      <c r="H55" s="4" t="s">
        <v>375</v>
      </c>
      <c r="I55" s="75">
        <f t="shared" si="4"/>
        <v>1802973859</v>
      </c>
      <c r="J55" s="4">
        <v>2025</v>
      </c>
      <c r="K55" s="56">
        <f t="shared" si="1"/>
        <v>1802973859</v>
      </c>
      <c r="L55" s="94">
        <v>107467</v>
      </c>
      <c r="M55" s="94">
        <f>VLOOKUP(H55,BUNGA!$C$97:$D$98,2,0)</f>
        <v>16777</v>
      </c>
      <c r="N55" s="4" t="s">
        <v>579</v>
      </c>
      <c r="O55" s="102">
        <v>0</v>
      </c>
      <c r="P55" s="12">
        <v>0</v>
      </c>
      <c r="Q55" s="12">
        <v>0</v>
      </c>
      <c r="R55" s="12">
        <v>0</v>
      </c>
      <c r="S55" s="12">
        <v>0</v>
      </c>
    </row>
    <row r="56" spans="1:19" s="3" customFormat="1" ht="30" customHeight="1" x14ac:dyDescent="0.2">
      <c r="A56" s="4">
        <f t="shared" si="2"/>
        <v>49</v>
      </c>
      <c r="B56" s="5" t="str">
        <f t="shared" si="5"/>
        <v>0305</v>
      </c>
      <c r="C56" s="23" t="s">
        <v>42</v>
      </c>
      <c r="D56" s="4" t="s">
        <v>225</v>
      </c>
      <c r="E56" s="23" t="s">
        <v>228</v>
      </c>
      <c r="F56" s="5" t="s">
        <v>873</v>
      </c>
      <c r="G56" s="4" t="s">
        <v>549</v>
      </c>
      <c r="H56" s="4" t="s">
        <v>375</v>
      </c>
      <c r="I56" s="75">
        <f t="shared" si="4"/>
        <v>1970525758</v>
      </c>
      <c r="J56" s="4">
        <v>2025</v>
      </c>
      <c r="K56" s="56">
        <f t="shared" si="1"/>
        <v>1970525758</v>
      </c>
      <c r="L56" s="94">
        <v>117454</v>
      </c>
      <c r="M56" s="94">
        <f>VLOOKUP(H56,BUNGA!$C$97:$D$98,2,0)</f>
        <v>16777</v>
      </c>
      <c r="N56" s="4" t="s">
        <v>579</v>
      </c>
      <c r="O56" s="102">
        <v>0</v>
      </c>
      <c r="P56" s="12">
        <v>0</v>
      </c>
      <c r="Q56" s="12">
        <v>0</v>
      </c>
      <c r="R56" s="12">
        <v>0</v>
      </c>
      <c r="S56" s="12">
        <v>0</v>
      </c>
    </row>
    <row r="57" spans="1:19" s="3" customFormat="1" ht="30" customHeight="1" x14ac:dyDescent="0.2">
      <c r="A57" s="4">
        <f t="shared" si="2"/>
        <v>50</v>
      </c>
      <c r="B57" s="5" t="str">
        <f t="shared" si="5"/>
        <v>0305</v>
      </c>
      <c r="C57" s="23" t="s">
        <v>42</v>
      </c>
      <c r="D57" s="4" t="s">
        <v>225</v>
      </c>
      <c r="E57" s="23" t="s">
        <v>378</v>
      </c>
      <c r="F57" s="5" t="s">
        <v>874</v>
      </c>
      <c r="G57" s="4" t="s">
        <v>591</v>
      </c>
      <c r="H57" s="4" t="s">
        <v>376</v>
      </c>
      <c r="I57" s="75">
        <f t="shared" si="4"/>
        <v>2000000000</v>
      </c>
      <c r="J57" s="4">
        <v>2020</v>
      </c>
      <c r="K57" s="56">
        <f t="shared" si="1"/>
        <v>2000000000</v>
      </c>
      <c r="L57" s="94">
        <v>2000000000</v>
      </c>
      <c r="M57" s="94">
        <f>VLOOKUP(H57,BUNGA!$C$97:$D$98,2,0)</f>
        <v>1</v>
      </c>
      <c r="N57" s="4" t="s">
        <v>578</v>
      </c>
      <c r="O57" s="102">
        <v>2000000000</v>
      </c>
      <c r="P57" s="12">
        <v>2000000000</v>
      </c>
      <c r="Q57" s="12">
        <v>2000000000</v>
      </c>
      <c r="R57" s="12">
        <v>2000000000</v>
      </c>
      <c r="S57" s="12">
        <v>2000000000</v>
      </c>
    </row>
    <row r="58" spans="1:19" s="3" customFormat="1" ht="30" customHeight="1" x14ac:dyDescent="0.2">
      <c r="A58" s="4">
        <f t="shared" si="2"/>
        <v>51</v>
      </c>
      <c r="B58" s="5" t="str">
        <f t="shared" si="5"/>
        <v>0305</v>
      </c>
      <c r="C58" s="23" t="s">
        <v>42</v>
      </c>
      <c r="D58" s="4" t="s">
        <v>225</v>
      </c>
      <c r="E58" s="23" t="s">
        <v>378</v>
      </c>
      <c r="F58" s="5" t="s">
        <v>875</v>
      </c>
      <c r="G58" s="4" t="s">
        <v>591</v>
      </c>
      <c r="H58" s="4" t="s">
        <v>376</v>
      </c>
      <c r="I58" s="75">
        <f t="shared" si="4"/>
        <v>2000000000</v>
      </c>
      <c r="J58" s="4">
        <v>2020</v>
      </c>
      <c r="K58" s="56">
        <f t="shared" si="1"/>
        <v>2000000000</v>
      </c>
      <c r="L58" s="94">
        <v>2000000000</v>
      </c>
      <c r="M58" s="94">
        <f>VLOOKUP(H58,BUNGA!$C$97:$D$98,2,0)</f>
        <v>1</v>
      </c>
      <c r="N58" s="4" t="s">
        <v>578</v>
      </c>
      <c r="O58" s="102">
        <v>3000000000</v>
      </c>
      <c r="P58" s="12">
        <v>3000000000</v>
      </c>
      <c r="Q58" s="12">
        <v>3000000000</v>
      </c>
      <c r="R58" s="12">
        <v>3000000000</v>
      </c>
      <c r="S58" s="12">
        <v>3000000000</v>
      </c>
    </row>
    <row r="59" spans="1:19" s="3" customFormat="1" ht="30" customHeight="1" x14ac:dyDescent="0.2">
      <c r="A59" s="4">
        <f t="shared" si="2"/>
        <v>52</v>
      </c>
      <c r="B59" s="5" t="str">
        <f t="shared" si="5"/>
        <v>0305</v>
      </c>
      <c r="C59" s="23" t="s">
        <v>42</v>
      </c>
      <c r="D59" s="4" t="s">
        <v>225</v>
      </c>
      <c r="E59" s="23" t="s">
        <v>378</v>
      </c>
      <c r="F59" s="5" t="s">
        <v>857</v>
      </c>
      <c r="G59" s="4" t="s">
        <v>591</v>
      </c>
      <c r="H59" s="4" t="s">
        <v>376</v>
      </c>
      <c r="I59" s="75">
        <f t="shared" si="4"/>
        <v>2000000000</v>
      </c>
      <c r="J59" s="4">
        <v>2020</v>
      </c>
      <c r="K59" s="56">
        <f t="shared" si="1"/>
        <v>2000000000</v>
      </c>
      <c r="L59" s="94">
        <v>2000000000</v>
      </c>
      <c r="M59" s="94">
        <f>VLOOKUP(H59,BUNGA!$C$97:$D$98,2,0)</f>
        <v>1</v>
      </c>
      <c r="N59" s="4" t="s">
        <v>579</v>
      </c>
      <c r="O59" s="102">
        <v>2000000000</v>
      </c>
      <c r="P59" s="12">
        <v>2000000000</v>
      </c>
      <c r="Q59" s="12">
        <v>2000000000</v>
      </c>
      <c r="R59" s="12">
        <v>2000000000</v>
      </c>
      <c r="S59" s="12">
        <v>2000000000</v>
      </c>
    </row>
    <row r="60" spans="1:19" s="3" customFormat="1" ht="30" customHeight="1" x14ac:dyDescent="0.2">
      <c r="A60" s="4">
        <f t="shared" si="2"/>
        <v>53</v>
      </c>
      <c r="B60" s="5" t="str">
        <f t="shared" si="5"/>
        <v>0305</v>
      </c>
      <c r="C60" s="23" t="s">
        <v>42</v>
      </c>
      <c r="D60" s="4" t="s">
        <v>225</v>
      </c>
      <c r="E60" s="23" t="s">
        <v>378</v>
      </c>
      <c r="F60" s="5" t="s">
        <v>874</v>
      </c>
      <c r="G60" s="4" t="s">
        <v>591</v>
      </c>
      <c r="H60" s="4" t="s">
        <v>376</v>
      </c>
      <c r="I60" s="75">
        <f t="shared" si="4"/>
        <v>2000000000</v>
      </c>
      <c r="J60" s="4">
        <v>2020</v>
      </c>
      <c r="K60" s="56">
        <f t="shared" si="1"/>
        <v>2000000000</v>
      </c>
      <c r="L60" s="94">
        <v>2000000000</v>
      </c>
      <c r="M60" s="94">
        <f>VLOOKUP(H60,BUNGA!$C$97:$D$98,2,0)</f>
        <v>1</v>
      </c>
      <c r="N60" s="4" t="s">
        <v>579</v>
      </c>
      <c r="O60" s="102">
        <v>3000000000</v>
      </c>
      <c r="P60" s="12">
        <v>3000000000</v>
      </c>
      <c r="Q60" s="12">
        <v>3000000000</v>
      </c>
      <c r="R60" s="12">
        <v>3000000000</v>
      </c>
      <c r="S60" s="12">
        <v>3000000000</v>
      </c>
    </row>
    <row r="61" spans="1:19" s="3" customFormat="1" ht="30" customHeight="1" x14ac:dyDescent="0.2">
      <c r="A61" s="4">
        <f t="shared" si="2"/>
        <v>54</v>
      </c>
      <c r="B61" s="5" t="str">
        <f t="shared" si="5"/>
        <v>0305</v>
      </c>
      <c r="C61" s="23" t="s">
        <v>42</v>
      </c>
      <c r="D61" s="4" t="s">
        <v>225</v>
      </c>
      <c r="E61" s="23" t="s">
        <v>378</v>
      </c>
      <c r="F61" s="5" t="s">
        <v>876</v>
      </c>
      <c r="G61" s="4" t="s">
        <v>591</v>
      </c>
      <c r="H61" s="4" t="s">
        <v>376</v>
      </c>
      <c r="I61" s="75">
        <f t="shared" si="4"/>
        <v>2000000000</v>
      </c>
      <c r="J61" s="4">
        <v>2021</v>
      </c>
      <c r="K61" s="56">
        <f t="shared" si="1"/>
        <v>2000000000</v>
      </c>
      <c r="L61" s="94">
        <v>2000000000</v>
      </c>
      <c r="M61" s="94">
        <f>VLOOKUP(H61,BUNGA!$C$97:$D$98,2,0)</f>
        <v>1</v>
      </c>
      <c r="N61" s="4" t="s">
        <v>578</v>
      </c>
      <c r="O61" s="102">
        <v>2000000000</v>
      </c>
      <c r="P61" s="12">
        <v>2000000000</v>
      </c>
      <c r="Q61" s="12">
        <v>0</v>
      </c>
      <c r="R61" s="12">
        <v>0</v>
      </c>
      <c r="S61" s="12">
        <v>0</v>
      </c>
    </row>
    <row r="62" spans="1:19" s="3" customFormat="1" ht="30" customHeight="1" x14ac:dyDescent="0.2">
      <c r="A62" s="4">
        <f t="shared" si="2"/>
        <v>55</v>
      </c>
      <c r="B62" s="5" t="str">
        <f t="shared" si="5"/>
        <v>0305</v>
      </c>
      <c r="C62" s="23" t="s">
        <v>42</v>
      </c>
      <c r="D62" s="4" t="s">
        <v>225</v>
      </c>
      <c r="E62" s="23" t="s">
        <v>378</v>
      </c>
      <c r="F62" s="5" t="s">
        <v>877</v>
      </c>
      <c r="G62" s="4" t="s">
        <v>591</v>
      </c>
      <c r="H62" s="4" t="s">
        <v>375</v>
      </c>
      <c r="I62" s="75">
        <f t="shared" si="4"/>
        <v>2013240000</v>
      </c>
      <c r="J62" s="4">
        <v>2024</v>
      </c>
      <c r="K62" s="56">
        <f t="shared" si="1"/>
        <v>2013240000</v>
      </c>
      <c r="L62" s="94">
        <v>120000</v>
      </c>
      <c r="M62" s="94">
        <f>VLOOKUP(H62,BUNGA!$C$97:$D$98,2,0)</f>
        <v>16777</v>
      </c>
      <c r="N62" s="4" t="s">
        <v>578</v>
      </c>
      <c r="O62" s="102">
        <v>804750000</v>
      </c>
      <c r="P62" s="12">
        <v>0</v>
      </c>
      <c r="Q62" s="12">
        <v>0</v>
      </c>
      <c r="R62" s="12">
        <v>0</v>
      </c>
      <c r="S62" s="12">
        <v>0</v>
      </c>
    </row>
    <row r="63" spans="1:19" s="3" customFormat="1" ht="30" customHeight="1" x14ac:dyDescent="0.2">
      <c r="A63" s="4">
        <f t="shared" si="2"/>
        <v>56</v>
      </c>
      <c r="B63" s="5" t="str">
        <f t="shared" si="5"/>
        <v>0305</v>
      </c>
      <c r="C63" s="23" t="s">
        <v>42</v>
      </c>
      <c r="D63" s="4" t="s">
        <v>225</v>
      </c>
      <c r="E63" s="23" t="s">
        <v>378</v>
      </c>
      <c r="F63" s="5" t="s">
        <v>878</v>
      </c>
      <c r="G63" s="4" t="s">
        <v>591</v>
      </c>
      <c r="H63" s="4" t="s">
        <v>375</v>
      </c>
      <c r="I63" s="75">
        <f t="shared" si="4"/>
        <v>2013240000</v>
      </c>
      <c r="J63" s="4">
        <v>2024</v>
      </c>
      <c r="K63" s="56">
        <f t="shared" si="1"/>
        <v>2013240000</v>
      </c>
      <c r="L63" s="94">
        <v>120000</v>
      </c>
      <c r="M63" s="94">
        <f>VLOOKUP(H63,BUNGA!$C$97:$D$98,2,0)</f>
        <v>16777</v>
      </c>
      <c r="N63" s="4" t="s">
        <v>578</v>
      </c>
      <c r="O63" s="102">
        <v>3219000000</v>
      </c>
      <c r="P63" s="12">
        <v>0</v>
      </c>
      <c r="Q63" s="12">
        <v>0</v>
      </c>
      <c r="R63" s="12">
        <v>0</v>
      </c>
      <c r="S63" s="12">
        <v>0</v>
      </c>
    </row>
    <row r="64" spans="1:19" s="3" customFormat="1" ht="30" customHeight="1" x14ac:dyDescent="0.2">
      <c r="A64" s="4">
        <f t="shared" si="2"/>
        <v>57</v>
      </c>
      <c r="B64" s="5" t="str">
        <f t="shared" si="5"/>
        <v>0305</v>
      </c>
      <c r="C64" s="23" t="s">
        <v>42</v>
      </c>
      <c r="D64" s="4" t="s">
        <v>225</v>
      </c>
      <c r="E64" s="23" t="s">
        <v>378</v>
      </c>
      <c r="F64" s="5" t="s">
        <v>879</v>
      </c>
      <c r="G64" s="4" t="s">
        <v>591</v>
      </c>
      <c r="H64" s="4" t="s">
        <v>375</v>
      </c>
      <c r="I64" s="75">
        <f t="shared" si="4"/>
        <v>3355400000</v>
      </c>
      <c r="J64" s="4">
        <v>2024</v>
      </c>
      <c r="K64" s="56">
        <f t="shared" si="1"/>
        <v>3355400000</v>
      </c>
      <c r="L64" s="94">
        <v>200000</v>
      </c>
      <c r="M64" s="94">
        <f>VLOOKUP(H64,BUNGA!$C$97:$D$98,2,0)</f>
        <v>16777</v>
      </c>
      <c r="N64" s="4" t="s">
        <v>578</v>
      </c>
      <c r="O64" s="102">
        <v>3219000000</v>
      </c>
      <c r="P64" s="12">
        <v>0</v>
      </c>
      <c r="Q64" s="12">
        <v>0</v>
      </c>
      <c r="R64" s="12">
        <v>0</v>
      </c>
      <c r="S64" s="12">
        <v>0</v>
      </c>
    </row>
    <row r="65" spans="1:21" s="3" customFormat="1" ht="30" customHeight="1" x14ac:dyDescent="0.2">
      <c r="A65" s="4">
        <f t="shared" si="2"/>
        <v>58</v>
      </c>
      <c r="B65" s="5" t="str">
        <f t="shared" si="5"/>
        <v>0305</v>
      </c>
      <c r="C65" s="23" t="s">
        <v>42</v>
      </c>
      <c r="D65" s="4" t="s">
        <v>225</v>
      </c>
      <c r="E65" s="23" t="s">
        <v>378</v>
      </c>
      <c r="F65" s="5" t="s">
        <v>880</v>
      </c>
      <c r="G65" s="4" t="s">
        <v>591</v>
      </c>
      <c r="H65" s="4" t="s">
        <v>376</v>
      </c>
      <c r="I65" s="75">
        <f t="shared" si="4"/>
        <v>2000000000</v>
      </c>
      <c r="J65" s="4">
        <v>2025</v>
      </c>
      <c r="K65" s="56">
        <f t="shared" si="1"/>
        <v>2000000000</v>
      </c>
      <c r="L65" s="94">
        <v>2000000000</v>
      </c>
      <c r="M65" s="94">
        <f>VLOOKUP(H65,BUNGA!$C$97:$D$98,2,0)</f>
        <v>1</v>
      </c>
      <c r="N65" s="4" t="s">
        <v>578</v>
      </c>
      <c r="O65" s="102">
        <v>0</v>
      </c>
      <c r="P65" s="12">
        <v>0</v>
      </c>
      <c r="Q65" s="12">
        <v>0</v>
      </c>
      <c r="R65" s="12">
        <v>0</v>
      </c>
      <c r="S65" s="12">
        <v>0</v>
      </c>
    </row>
    <row r="66" spans="1:21" s="3" customFormat="1" ht="30" customHeight="1" x14ac:dyDescent="0.2">
      <c r="A66" s="4">
        <f t="shared" si="2"/>
        <v>59</v>
      </c>
      <c r="B66" s="5" t="str">
        <f t="shared" si="5"/>
        <v>0305</v>
      </c>
      <c r="C66" s="23" t="s">
        <v>42</v>
      </c>
      <c r="D66" s="4" t="s">
        <v>225</v>
      </c>
      <c r="E66" s="23" t="s">
        <v>378</v>
      </c>
      <c r="F66" s="5" t="s">
        <v>863</v>
      </c>
      <c r="G66" s="4" t="s">
        <v>591</v>
      </c>
      <c r="H66" s="4" t="s">
        <v>376</v>
      </c>
      <c r="I66" s="75">
        <f t="shared" si="4"/>
        <v>3000000000</v>
      </c>
      <c r="J66" s="4">
        <v>2025</v>
      </c>
      <c r="K66" s="56">
        <f t="shared" si="1"/>
        <v>3000000000</v>
      </c>
      <c r="L66" s="94">
        <v>3000000000</v>
      </c>
      <c r="M66" s="94">
        <f>VLOOKUP(H66,BUNGA!$C$97:$D$98,2,0)</f>
        <v>1</v>
      </c>
      <c r="N66" s="4" t="s">
        <v>578</v>
      </c>
      <c r="O66" s="102">
        <v>0</v>
      </c>
      <c r="P66" s="12">
        <v>0</v>
      </c>
      <c r="Q66" s="12">
        <v>0</v>
      </c>
      <c r="R66" s="12">
        <v>0</v>
      </c>
      <c r="S66" s="12">
        <v>0</v>
      </c>
    </row>
    <row r="67" spans="1:21" s="3" customFormat="1" ht="30" customHeight="1" x14ac:dyDescent="0.2">
      <c r="A67" s="4">
        <f t="shared" si="2"/>
        <v>60</v>
      </c>
      <c r="B67" s="5" t="str">
        <f t="shared" si="5"/>
        <v>0305</v>
      </c>
      <c r="C67" s="23" t="s">
        <v>42</v>
      </c>
      <c r="D67" s="4" t="s">
        <v>225</v>
      </c>
      <c r="E67" s="23" t="s">
        <v>378</v>
      </c>
      <c r="F67" s="5" t="s">
        <v>872</v>
      </c>
      <c r="G67" s="4" t="s">
        <v>591</v>
      </c>
      <c r="H67" s="4" t="s">
        <v>375</v>
      </c>
      <c r="I67" s="75">
        <f t="shared" si="4"/>
        <v>1845470000</v>
      </c>
      <c r="J67" s="4">
        <v>2024</v>
      </c>
      <c r="K67" s="56">
        <f t="shared" si="1"/>
        <v>1845470000</v>
      </c>
      <c r="L67" s="94">
        <v>110000</v>
      </c>
      <c r="M67" s="94">
        <f>VLOOKUP(H67,BUNGA!$C$97:$D$98,2,0)</f>
        <v>16777</v>
      </c>
      <c r="N67" s="4" t="s">
        <v>578</v>
      </c>
      <c r="O67" s="102">
        <v>0</v>
      </c>
      <c r="P67" s="12">
        <v>0</v>
      </c>
      <c r="Q67" s="12">
        <v>0</v>
      </c>
      <c r="R67" s="12">
        <v>0</v>
      </c>
      <c r="S67" s="12">
        <v>0</v>
      </c>
    </row>
    <row r="68" spans="1:21" s="3" customFormat="1" ht="30" customHeight="1" x14ac:dyDescent="0.2">
      <c r="A68" s="4">
        <f t="shared" si="2"/>
        <v>61</v>
      </c>
      <c r="B68" s="5" t="str">
        <f t="shared" si="5"/>
        <v>0305</v>
      </c>
      <c r="C68" s="23" t="s">
        <v>42</v>
      </c>
      <c r="D68" s="4" t="s">
        <v>225</v>
      </c>
      <c r="E68" s="23" t="s">
        <v>378</v>
      </c>
      <c r="F68" s="5" t="s">
        <v>881</v>
      </c>
      <c r="G68" s="4" t="s">
        <v>591</v>
      </c>
      <c r="H68" s="4" t="s">
        <v>375</v>
      </c>
      <c r="I68" s="75">
        <f t="shared" si="4"/>
        <v>3355400000</v>
      </c>
      <c r="J68" s="4">
        <v>2024</v>
      </c>
      <c r="K68" s="56">
        <f t="shared" si="1"/>
        <v>3355400000</v>
      </c>
      <c r="L68" s="94">
        <v>200000</v>
      </c>
      <c r="M68" s="94">
        <f>VLOOKUP(H68,BUNGA!$C$97:$D$98,2,0)</f>
        <v>16777</v>
      </c>
      <c r="N68" s="4" t="s">
        <v>578</v>
      </c>
      <c r="O68" s="102">
        <v>0</v>
      </c>
      <c r="P68" s="12">
        <v>0</v>
      </c>
      <c r="Q68" s="12">
        <v>0</v>
      </c>
      <c r="R68" s="12">
        <v>0</v>
      </c>
      <c r="S68" s="12">
        <v>0</v>
      </c>
    </row>
    <row r="69" spans="1:21" s="3" customFormat="1" ht="30" customHeight="1" x14ac:dyDescent="0.2">
      <c r="A69" s="4">
        <f t="shared" si="2"/>
        <v>62</v>
      </c>
      <c r="B69" s="5" t="str">
        <f t="shared" si="5"/>
        <v>0305</v>
      </c>
      <c r="C69" s="23" t="s">
        <v>42</v>
      </c>
      <c r="D69" s="4" t="s">
        <v>225</v>
      </c>
      <c r="E69" s="23" t="s">
        <v>378</v>
      </c>
      <c r="F69" s="5" t="s">
        <v>860</v>
      </c>
      <c r="G69" s="4" t="s">
        <v>591</v>
      </c>
      <c r="H69" s="4" t="s">
        <v>375</v>
      </c>
      <c r="I69" s="75">
        <f t="shared" si="4"/>
        <v>3355400000</v>
      </c>
      <c r="J69" s="4">
        <v>2024</v>
      </c>
      <c r="K69" s="56">
        <f t="shared" si="1"/>
        <v>3355400000</v>
      </c>
      <c r="L69" s="94">
        <v>200000</v>
      </c>
      <c r="M69" s="94">
        <f>VLOOKUP(H69,BUNGA!$C$97:$D$98,2,0)</f>
        <v>16777</v>
      </c>
      <c r="N69" s="4" t="s">
        <v>578</v>
      </c>
      <c r="O69" s="10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21" s="3" customFormat="1" ht="30" customHeight="1" x14ac:dyDescent="0.2">
      <c r="A70" s="4">
        <f t="shared" si="2"/>
        <v>63</v>
      </c>
      <c r="B70" s="5" t="str">
        <f t="shared" si="5"/>
        <v>0305</v>
      </c>
      <c r="C70" s="23" t="s">
        <v>42</v>
      </c>
      <c r="D70" s="4" t="s">
        <v>225</v>
      </c>
      <c r="E70" s="23" t="s">
        <v>378</v>
      </c>
      <c r="F70" s="5" t="s">
        <v>882</v>
      </c>
      <c r="G70" s="4" t="s">
        <v>591</v>
      </c>
      <c r="H70" s="4" t="s">
        <v>375</v>
      </c>
      <c r="I70" s="75">
        <f t="shared" si="4"/>
        <v>3019860000</v>
      </c>
      <c r="J70" s="4">
        <v>2024</v>
      </c>
      <c r="K70" s="56">
        <f t="shared" si="1"/>
        <v>3019860000</v>
      </c>
      <c r="L70" s="94">
        <v>180000</v>
      </c>
      <c r="M70" s="94">
        <f>VLOOKUP(H70,BUNGA!$C$97:$D$98,2,0)</f>
        <v>16777</v>
      </c>
      <c r="N70" s="4" t="s">
        <v>578</v>
      </c>
      <c r="O70" s="102">
        <v>0</v>
      </c>
      <c r="P70" s="12">
        <v>0</v>
      </c>
      <c r="Q70" s="12">
        <v>0</v>
      </c>
      <c r="R70" s="12">
        <v>0</v>
      </c>
      <c r="S70" s="12">
        <v>0</v>
      </c>
    </row>
    <row r="71" spans="1:21" s="3" customFormat="1" ht="30" customHeight="1" x14ac:dyDescent="0.2">
      <c r="A71" s="4">
        <f t="shared" si="2"/>
        <v>64</v>
      </c>
      <c r="B71" s="5" t="str">
        <f t="shared" ref="B71:B102" si="6">VLOOKUP(C71,$V:$W,2,0)</f>
        <v>0305</v>
      </c>
      <c r="C71" s="23" t="s">
        <v>42</v>
      </c>
      <c r="D71" s="4" t="s">
        <v>225</v>
      </c>
      <c r="E71" s="23" t="s">
        <v>611</v>
      </c>
      <c r="F71" s="5" t="s">
        <v>848</v>
      </c>
      <c r="G71" s="4" t="s">
        <v>622</v>
      </c>
      <c r="H71" s="4" t="s">
        <v>376</v>
      </c>
      <c r="I71" s="75">
        <f t="shared" si="4"/>
        <v>1100000000</v>
      </c>
      <c r="J71" s="4">
        <v>2020</v>
      </c>
      <c r="K71" s="56">
        <f t="shared" ref="K71:K134" si="7">ROUNDDOWN(L71*M71,0)</f>
        <v>1100000000</v>
      </c>
      <c r="L71" s="94">
        <v>1100000000</v>
      </c>
      <c r="M71" s="94">
        <f>VLOOKUP(H71,BUNGA!$C$97:$D$98,2,0)</f>
        <v>1</v>
      </c>
      <c r="N71" s="4" t="s">
        <v>579</v>
      </c>
      <c r="O71" s="102">
        <v>1100000000</v>
      </c>
      <c r="P71" s="12">
        <v>1100000000</v>
      </c>
      <c r="Q71" s="12">
        <v>1200000000</v>
      </c>
      <c r="R71" s="12">
        <v>1100000000</v>
      </c>
      <c r="S71" s="12">
        <v>1100000000</v>
      </c>
    </row>
    <row r="72" spans="1:21" s="3" customFormat="1" ht="30" customHeight="1" x14ac:dyDescent="0.2">
      <c r="A72" s="4">
        <f t="shared" si="2"/>
        <v>65</v>
      </c>
      <c r="B72" s="5" t="str">
        <f t="shared" si="6"/>
        <v>0305</v>
      </c>
      <c r="C72" s="23" t="s">
        <v>42</v>
      </c>
      <c r="D72" s="4" t="s">
        <v>225</v>
      </c>
      <c r="E72" s="23" t="s">
        <v>611</v>
      </c>
      <c r="F72" s="5" t="s">
        <v>883</v>
      </c>
      <c r="G72" s="4" t="s">
        <v>622</v>
      </c>
      <c r="H72" s="4" t="s">
        <v>376</v>
      </c>
      <c r="I72" s="75">
        <f t="shared" si="4"/>
        <v>5000000000</v>
      </c>
      <c r="J72" s="4">
        <v>2025</v>
      </c>
      <c r="K72" s="56">
        <f t="shared" si="7"/>
        <v>5000000000</v>
      </c>
      <c r="L72" s="94">
        <v>5000000000</v>
      </c>
      <c r="M72" s="94">
        <f>VLOOKUP(H72,BUNGA!$C$97:$D$98,2,0)</f>
        <v>1</v>
      </c>
      <c r="N72" s="4" t="s">
        <v>578</v>
      </c>
      <c r="O72" s="102">
        <v>0</v>
      </c>
      <c r="P72" s="12">
        <v>0</v>
      </c>
      <c r="Q72" s="12">
        <v>0</v>
      </c>
      <c r="R72" s="12">
        <v>0</v>
      </c>
      <c r="S72" s="12">
        <v>0</v>
      </c>
    </row>
    <row r="73" spans="1:21" s="3" customFormat="1" ht="30" customHeight="1" x14ac:dyDescent="0.2">
      <c r="A73" s="4">
        <f t="shared" ref="A73:A136" si="8">A72+1</f>
        <v>66</v>
      </c>
      <c r="B73" s="5" t="str">
        <f t="shared" si="6"/>
        <v>0311</v>
      </c>
      <c r="C73" s="23" t="s">
        <v>51</v>
      </c>
      <c r="D73" s="4" t="s">
        <v>225</v>
      </c>
      <c r="E73" s="23" t="s">
        <v>611</v>
      </c>
      <c r="F73" s="5" t="s">
        <v>884</v>
      </c>
      <c r="G73" s="4" t="s">
        <v>622</v>
      </c>
      <c r="H73" s="4" t="s">
        <v>376</v>
      </c>
      <c r="I73" s="75">
        <f t="shared" si="4"/>
        <v>762623126</v>
      </c>
      <c r="J73" s="4">
        <v>2025</v>
      </c>
      <c r="K73" s="56">
        <f t="shared" si="7"/>
        <v>762623126</v>
      </c>
      <c r="L73" s="94">
        <v>762623126</v>
      </c>
      <c r="M73" s="94">
        <f>VLOOKUP(H73,BUNGA!$C$97:$D$98,2,0)</f>
        <v>1</v>
      </c>
      <c r="N73" s="4" t="s">
        <v>578</v>
      </c>
      <c r="O73" s="102">
        <v>0</v>
      </c>
      <c r="P73" s="12">
        <v>0</v>
      </c>
      <c r="Q73" s="12">
        <v>0</v>
      </c>
      <c r="R73" s="12">
        <v>0</v>
      </c>
      <c r="S73" s="12">
        <v>0</v>
      </c>
    </row>
    <row r="74" spans="1:21" s="3" customFormat="1" ht="30" customHeight="1" x14ac:dyDescent="0.2">
      <c r="A74" s="4">
        <f t="shared" si="8"/>
        <v>67</v>
      </c>
      <c r="B74" s="5" t="str">
        <f t="shared" si="6"/>
        <v>0305</v>
      </c>
      <c r="C74" s="23" t="s">
        <v>42</v>
      </c>
      <c r="D74" s="4" t="s">
        <v>225</v>
      </c>
      <c r="E74" s="23" t="s">
        <v>624</v>
      </c>
      <c r="F74" s="5" t="s">
        <v>885</v>
      </c>
      <c r="G74" s="4" t="s">
        <v>639</v>
      </c>
      <c r="H74" s="4" t="s">
        <v>376</v>
      </c>
      <c r="I74" s="75">
        <f t="shared" si="4"/>
        <v>1000000000</v>
      </c>
      <c r="J74" s="4">
        <v>2025</v>
      </c>
      <c r="K74" s="56">
        <f t="shared" si="7"/>
        <v>1000000000</v>
      </c>
      <c r="L74" s="94">
        <v>1000000000</v>
      </c>
      <c r="M74" s="94">
        <f>VLOOKUP(H74,BUNGA!$C$97:$D$98,2,0)</f>
        <v>1</v>
      </c>
      <c r="N74" s="4" t="s">
        <v>579</v>
      </c>
      <c r="O74" s="102">
        <v>1000000000</v>
      </c>
      <c r="P74" s="12">
        <v>0</v>
      </c>
      <c r="Q74" s="12">
        <v>0</v>
      </c>
      <c r="R74" s="12">
        <v>0</v>
      </c>
      <c r="S74" s="12">
        <v>0</v>
      </c>
    </row>
    <row r="75" spans="1:21" s="3" customFormat="1" ht="30" customHeight="1" x14ac:dyDescent="0.2">
      <c r="A75" s="4">
        <f t="shared" si="8"/>
        <v>68</v>
      </c>
      <c r="B75" s="5" t="str">
        <f t="shared" si="6"/>
        <v>0307</v>
      </c>
      <c r="C75" s="23" t="s">
        <v>188</v>
      </c>
      <c r="D75" s="4" t="s">
        <v>225</v>
      </c>
      <c r="E75" s="23" t="s">
        <v>636</v>
      </c>
      <c r="F75" s="5" t="s">
        <v>886</v>
      </c>
      <c r="G75" s="4" t="s">
        <v>666</v>
      </c>
      <c r="H75" s="4" t="s">
        <v>376</v>
      </c>
      <c r="I75" s="75">
        <f t="shared" si="4"/>
        <v>1813946821</v>
      </c>
      <c r="J75" s="4">
        <v>2025</v>
      </c>
      <c r="K75" s="56">
        <f t="shared" si="7"/>
        <v>1813946821</v>
      </c>
      <c r="L75" s="94">
        <v>1813946821</v>
      </c>
      <c r="M75" s="94">
        <f>VLOOKUP(H75,BUNGA!$C$97:$D$98,2,0)</f>
        <v>1</v>
      </c>
      <c r="N75" s="4" t="s">
        <v>578</v>
      </c>
      <c r="O75" s="102">
        <v>1379351022</v>
      </c>
      <c r="P75" s="12">
        <v>1123453763</v>
      </c>
      <c r="Q75" s="12">
        <v>1327518281</v>
      </c>
      <c r="R75" s="12">
        <v>1647697881</v>
      </c>
      <c r="S75" s="12">
        <v>0</v>
      </c>
      <c r="T75" s="25"/>
      <c r="U75" s="24"/>
    </row>
    <row r="76" spans="1:21" s="3" customFormat="1" ht="30" customHeight="1" x14ac:dyDescent="0.2">
      <c r="A76" s="4">
        <f t="shared" si="8"/>
        <v>69</v>
      </c>
      <c r="B76" s="5" t="str">
        <f t="shared" si="6"/>
        <v>0307</v>
      </c>
      <c r="C76" s="23" t="s">
        <v>188</v>
      </c>
      <c r="D76" s="4" t="s">
        <v>225</v>
      </c>
      <c r="E76" s="23" t="s">
        <v>636</v>
      </c>
      <c r="F76" s="5" t="s">
        <v>887</v>
      </c>
      <c r="G76" s="4" t="s">
        <v>666</v>
      </c>
      <c r="H76" s="4" t="s">
        <v>376</v>
      </c>
      <c r="I76" s="75">
        <f t="shared" si="4"/>
        <v>1667771935</v>
      </c>
      <c r="J76" s="4">
        <v>2025</v>
      </c>
      <c r="K76" s="56">
        <f t="shared" si="7"/>
        <v>1667771935</v>
      </c>
      <c r="L76" s="94">
        <v>1667771935</v>
      </c>
      <c r="M76" s="94">
        <f>VLOOKUP(H76,BUNGA!$C$97:$D$98,2,0)</f>
        <v>1</v>
      </c>
      <c r="N76" s="4" t="s">
        <v>578</v>
      </c>
      <c r="O76" s="102">
        <v>0</v>
      </c>
      <c r="P76" s="12">
        <v>0</v>
      </c>
      <c r="Q76" s="12">
        <v>0</v>
      </c>
      <c r="R76" s="12">
        <v>0</v>
      </c>
      <c r="S76" s="12">
        <v>0</v>
      </c>
      <c r="T76" s="25"/>
      <c r="U76" s="24"/>
    </row>
    <row r="77" spans="1:21" s="3" customFormat="1" ht="30" customHeight="1" x14ac:dyDescent="0.2">
      <c r="A77" s="4">
        <f t="shared" si="8"/>
        <v>70</v>
      </c>
      <c r="B77" s="5" t="str">
        <f t="shared" si="6"/>
        <v>0305</v>
      </c>
      <c r="C77" s="23" t="s">
        <v>42</v>
      </c>
      <c r="D77" s="4" t="s">
        <v>225</v>
      </c>
      <c r="E77" s="23" t="s">
        <v>636</v>
      </c>
      <c r="F77" s="5" t="s">
        <v>654</v>
      </c>
      <c r="G77" s="4" t="s">
        <v>666</v>
      </c>
      <c r="H77" s="4" t="s">
        <v>376</v>
      </c>
      <c r="I77" s="75">
        <f t="shared" si="4"/>
        <v>900000000</v>
      </c>
      <c r="J77" s="4">
        <v>2025</v>
      </c>
      <c r="K77" s="56">
        <f t="shared" si="7"/>
        <v>900000000</v>
      </c>
      <c r="L77" s="94">
        <v>900000000</v>
      </c>
      <c r="M77" s="94">
        <f>VLOOKUP(H77,BUNGA!$C$97:$D$98,2,0)</f>
        <v>1</v>
      </c>
      <c r="N77" s="4" t="s">
        <v>578</v>
      </c>
      <c r="O77" s="102">
        <v>859500000</v>
      </c>
      <c r="P77" s="12">
        <v>900000000</v>
      </c>
      <c r="Q77" s="12">
        <v>0</v>
      </c>
      <c r="R77" s="12">
        <v>0</v>
      </c>
      <c r="S77" s="12">
        <v>0</v>
      </c>
      <c r="T77" s="25"/>
      <c r="U77" s="24"/>
    </row>
    <row r="78" spans="1:21" s="3" customFormat="1" ht="30" customHeight="1" x14ac:dyDescent="0.2">
      <c r="A78" s="4">
        <f t="shared" si="8"/>
        <v>71</v>
      </c>
      <c r="B78" s="5" t="str">
        <f t="shared" si="6"/>
        <v>0305</v>
      </c>
      <c r="C78" s="23" t="s">
        <v>42</v>
      </c>
      <c r="D78" s="4" t="s">
        <v>225</v>
      </c>
      <c r="E78" s="23" t="s">
        <v>636</v>
      </c>
      <c r="F78" s="5" t="s">
        <v>654</v>
      </c>
      <c r="G78" s="4" t="s">
        <v>666</v>
      </c>
      <c r="H78" s="4" t="s">
        <v>376</v>
      </c>
      <c r="I78" s="75">
        <f t="shared" si="4"/>
        <v>620000000</v>
      </c>
      <c r="J78" s="4">
        <v>2025</v>
      </c>
      <c r="K78" s="56">
        <f t="shared" si="7"/>
        <v>620000000</v>
      </c>
      <c r="L78" s="94">
        <v>620000000</v>
      </c>
      <c r="M78" s="94">
        <f>VLOOKUP(H78,BUNGA!$C$97:$D$98,2,0)</f>
        <v>1</v>
      </c>
      <c r="N78" s="4" t="s">
        <v>579</v>
      </c>
      <c r="O78" s="102">
        <v>620750000</v>
      </c>
      <c r="P78" s="12">
        <v>650000000</v>
      </c>
      <c r="Q78" s="12">
        <v>0</v>
      </c>
      <c r="R78" s="12">
        <v>0</v>
      </c>
      <c r="S78" s="12">
        <v>0</v>
      </c>
      <c r="T78" s="25"/>
      <c r="U78" s="24"/>
    </row>
    <row r="79" spans="1:21" s="3" customFormat="1" ht="30" customHeight="1" x14ac:dyDescent="0.2">
      <c r="A79" s="4">
        <f t="shared" si="8"/>
        <v>72</v>
      </c>
      <c r="B79" s="5" t="str">
        <f t="shared" si="6"/>
        <v>0305</v>
      </c>
      <c r="C79" s="23" t="s">
        <v>42</v>
      </c>
      <c r="D79" s="4" t="s">
        <v>225</v>
      </c>
      <c r="E79" s="23" t="s">
        <v>636</v>
      </c>
      <c r="F79" s="5" t="s">
        <v>655</v>
      </c>
      <c r="G79" s="4" t="s">
        <v>666</v>
      </c>
      <c r="H79" s="4" t="s">
        <v>376</v>
      </c>
      <c r="I79" s="75">
        <f t="shared" si="4"/>
        <v>1835000000</v>
      </c>
      <c r="J79" s="4">
        <v>2025</v>
      </c>
      <c r="K79" s="56">
        <f t="shared" si="7"/>
        <v>1835000000</v>
      </c>
      <c r="L79" s="94">
        <v>1835000000</v>
      </c>
      <c r="M79" s="94">
        <f>VLOOKUP(H79,BUNGA!$C$97:$D$98,2,0)</f>
        <v>1</v>
      </c>
      <c r="N79" s="4" t="s">
        <v>579</v>
      </c>
      <c r="O79" s="102">
        <v>2190230000</v>
      </c>
      <c r="P79" s="12">
        <v>2000000000</v>
      </c>
      <c r="Q79" s="12">
        <v>0</v>
      </c>
      <c r="R79" s="12">
        <v>0</v>
      </c>
      <c r="S79" s="12">
        <v>0</v>
      </c>
      <c r="T79" s="25"/>
      <c r="U79" s="24"/>
    </row>
    <row r="80" spans="1:21" s="3" customFormat="1" ht="1" customHeight="1" x14ac:dyDescent="0.2">
      <c r="A80" s="4">
        <f t="shared" si="8"/>
        <v>73</v>
      </c>
      <c r="B80" s="5" t="str">
        <f t="shared" si="6"/>
        <v>0305</v>
      </c>
      <c r="C80" s="23" t="s">
        <v>42</v>
      </c>
      <c r="D80" s="4" t="s">
        <v>225</v>
      </c>
      <c r="E80" s="23" t="s">
        <v>636</v>
      </c>
      <c r="F80" s="5" t="s">
        <v>669</v>
      </c>
      <c r="G80" s="4" t="s">
        <v>666</v>
      </c>
      <c r="H80" s="4" t="s">
        <v>376</v>
      </c>
      <c r="I80" s="75">
        <f t="shared" si="4"/>
        <v>480000000</v>
      </c>
      <c r="J80" s="4">
        <v>2025</v>
      </c>
      <c r="K80" s="56">
        <f t="shared" si="7"/>
        <v>480000000</v>
      </c>
      <c r="L80" s="94">
        <v>480000000</v>
      </c>
      <c r="M80" s="94">
        <f>VLOOKUP(H80,BUNGA!$C$97:$D$98,2,0)</f>
        <v>1</v>
      </c>
      <c r="N80" s="4" t="s">
        <v>579</v>
      </c>
      <c r="O80" s="102">
        <v>480000000</v>
      </c>
      <c r="P80" s="12">
        <v>480000000</v>
      </c>
      <c r="Q80" s="12">
        <v>0</v>
      </c>
      <c r="R80" s="12">
        <v>0</v>
      </c>
      <c r="S80" s="12">
        <v>0</v>
      </c>
      <c r="T80" s="25"/>
      <c r="U80" s="24"/>
    </row>
    <row r="81" spans="1:21" s="3" customFormat="1" ht="30" customHeight="1" x14ac:dyDescent="0.2">
      <c r="A81" s="4">
        <f t="shared" si="8"/>
        <v>74</v>
      </c>
      <c r="B81" s="5" t="str">
        <f t="shared" si="6"/>
        <v>0305</v>
      </c>
      <c r="C81" s="23" t="s">
        <v>42</v>
      </c>
      <c r="D81" s="4" t="s">
        <v>225</v>
      </c>
      <c r="E81" s="23" t="s">
        <v>636</v>
      </c>
      <c r="F81" s="5" t="s">
        <v>879</v>
      </c>
      <c r="G81" s="4" t="s">
        <v>666</v>
      </c>
      <c r="H81" s="4" t="s">
        <v>375</v>
      </c>
      <c r="I81" s="75">
        <f t="shared" si="4"/>
        <v>2931277440</v>
      </c>
      <c r="J81" s="4">
        <v>2025</v>
      </c>
      <c r="K81" s="56">
        <f t="shared" si="7"/>
        <v>2931277440</v>
      </c>
      <c r="L81" s="94">
        <v>174720</v>
      </c>
      <c r="M81" s="94">
        <f>VLOOKUP(H81,BUNGA!$C$97:$D$98,2,0)</f>
        <v>16777</v>
      </c>
      <c r="N81" s="4" t="s">
        <v>578</v>
      </c>
      <c r="O81" s="102">
        <v>2754659250</v>
      </c>
      <c r="P81" s="12">
        <v>0</v>
      </c>
      <c r="Q81" s="12">
        <v>0</v>
      </c>
      <c r="R81" s="12">
        <v>0</v>
      </c>
      <c r="S81" s="12">
        <v>0</v>
      </c>
      <c r="T81" s="25"/>
      <c r="U81" s="24"/>
    </row>
    <row r="82" spans="1:21" s="3" customFormat="1" ht="30" customHeight="1" x14ac:dyDescent="0.2">
      <c r="A82" s="4">
        <f t="shared" si="8"/>
        <v>75</v>
      </c>
      <c r="B82" s="5" t="str">
        <f t="shared" si="6"/>
        <v>0305</v>
      </c>
      <c r="C82" s="23" t="s">
        <v>42</v>
      </c>
      <c r="D82" s="4" t="s">
        <v>225</v>
      </c>
      <c r="E82" s="23" t="s">
        <v>636</v>
      </c>
      <c r="F82" s="5" t="s">
        <v>662</v>
      </c>
      <c r="G82" s="4" t="s">
        <v>666</v>
      </c>
      <c r="H82" s="4" t="s">
        <v>376</v>
      </c>
      <c r="I82" s="75">
        <f t="shared" si="4"/>
        <v>3400000000</v>
      </c>
      <c r="J82" s="4">
        <v>2025</v>
      </c>
      <c r="K82" s="56">
        <f t="shared" si="7"/>
        <v>3400000000</v>
      </c>
      <c r="L82" s="94">
        <v>3400000000</v>
      </c>
      <c r="M82" s="94">
        <f>VLOOKUP(H82,BUNGA!$C$97:$D$98,2,0)</f>
        <v>1</v>
      </c>
      <c r="N82" s="4" t="s">
        <v>579</v>
      </c>
      <c r="O82" s="102">
        <v>3274500000</v>
      </c>
      <c r="P82" s="12">
        <v>0</v>
      </c>
      <c r="Q82" s="12">
        <v>0</v>
      </c>
      <c r="R82" s="12">
        <v>0</v>
      </c>
      <c r="S82" s="12">
        <v>0</v>
      </c>
      <c r="T82" s="25"/>
      <c r="U82" s="24"/>
    </row>
    <row r="83" spans="1:21" s="3" customFormat="1" ht="30" customHeight="1" x14ac:dyDescent="0.2">
      <c r="A83" s="4">
        <f t="shared" si="8"/>
        <v>76</v>
      </c>
      <c r="B83" s="5" t="str">
        <f t="shared" si="6"/>
        <v>0305</v>
      </c>
      <c r="C83" s="23" t="s">
        <v>42</v>
      </c>
      <c r="D83" s="4" t="s">
        <v>225</v>
      </c>
      <c r="E83" s="23" t="s">
        <v>636</v>
      </c>
      <c r="F83" s="5" t="s">
        <v>665</v>
      </c>
      <c r="G83" s="4" t="s">
        <v>666</v>
      </c>
      <c r="H83" s="4" t="s">
        <v>376</v>
      </c>
      <c r="I83" s="75">
        <f t="shared" si="4"/>
        <v>1280000000</v>
      </c>
      <c r="J83" s="4">
        <v>2025</v>
      </c>
      <c r="K83" s="56">
        <f t="shared" si="7"/>
        <v>1280000000</v>
      </c>
      <c r="L83" s="94">
        <v>1280000000</v>
      </c>
      <c r="M83" s="94">
        <f>VLOOKUP(H83,BUNGA!$C$97:$D$98,2,0)</f>
        <v>1</v>
      </c>
      <c r="N83" s="4" t="s">
        <v>579</v>
      </c>
      <c r="O83" s="102">
        <v>480000000</v>
      </c>
      <c r="P83" s="12">
        <v>0</v>
      </c>
      <c r="Q83" s="12">
        <v>0</v>
      </c>
      <c r="R83" s="12">
        <v>0</v>
      </c>
      <c r="S83" s="12">
        <v>0</v>
      </c>
      <c r="T83" s="25"/>
      <c r="U83" s="24"/>
    </row>
    <row r="84" spans="1:21" s="3" customFormat="1" ht="30" customHeight="1" x14ac:dyDescent="0.2">
      <c r="A84" s="4">
        <f t="shared" si="8"/>
        <v>77</v>
      </c>
      <c r="B84" s="5" t="str">
        <f t="shared" si="6"/>
        <v>0305</v>
      </c>
      <c r="C84" s="23" t="s">
        <v>42</v>
      </c>
      <c r="D84" s="4" t="s">
        <v>225</v>
      </c>
      <c r="E84" s="23" t="s">
        <v>636</v>
      </c>
      <c r="F84" s="5" t="s">
        <v>668</v>
      </c>
      <c r="G84" s="4" t="s">
        <v>666</v>
      </c>
      <c r="H84" s="4" t="s">
        <v>375</v>
      </c>
      <c r="I84" s="75">
        <f t="shared" si="4"/>
        <v>2677609200</v>
      </c>
      <c r="J84" s="4">
        <v>2025</v>
      </c>
      <c r="K84" s="56">
        <f t="shared" si="7"/>
        <v>2677609200</v>
      </c>
      <c r="L84" s="94">
        <v>159600</v>
      </c>
      <c r="M84" s="94">
        <f>VLOOKUP(H84,BUNGA!$C$97:$D$98,2,0)</f>
        <v>16777</v>
      </c>
      <c r="N84" s="4" t="s">
        <v>578</v>
      </c>
      <c r="O84" s="102">
        <v>0</v>
      </c>
      <c r="P84" s="12">
        <v>0</v>
      </c>
      <c r="Q84" s="12">
        <v>0</v>
      </c>
      <c r="R84" s="12">
        <v>0</v>
      </c>
      <c r="S84" s="12">
        <v>0</v>
      </c>
      <c r="T84" s="25"/>
      <c r="U84" s="24"/>
    </row>
    <row r="85" spans="1:21" s="3" customFormat="1" ht="30" customHeight="1" x14ac:dyDescent="0.2">
      <c r="A85" s="4">
        <f t="shared" si="8"/>
        <v>78</v>
      </c>
      <c r="B85" s="5" t="str">
        <f t="shared" si="6"/>
        <v>0305</v>
      </c>
      <c r="C85" s="23" t="s">
        <v>42</v>
      </c>
      <c r="D85" s="4" t="s">
        <v>225</v>
      </c>
      <c r="E85" s="23" t="s">
        <v>636</v>
      </c>
      <c r="F85" s="5" t="s">
        <v>888</v>
      </c>
      <c r="G85" s="4" t="s">
        <v>666</v>
      </c>
      <c r="H85" s="4" t="s">
        <v>376</v>
      </c>
      <c r="I85" s="75">
        <f t="shared" si="4"/>
        <v>3142400000</v>
      </c>
      <c r="J85" s="4">
        <v>2025</v>
      </c>
      <c r="K85" s="56">
        <f t="shared" si="7"/>
        <v>3142400000</v>
      </c>
      <c r="L85" s="94">
        <v>3142400000</v>
      </c>
      <c r="M85" s="94">
        <f>VLOOKUP(H85,BUNGA!$C$97:$D$98,2,0)</f>
        <v>1</v>
      </c>
      <c r="N85" s="4" t="s">
        <v>578</v>
      </c>
      <c r="O85" s="102">
        <v>0</v>
      </c>
      <c r="P85" s="12">
        <v>0</v>
      </c>
      <c r="Q85" s="12">
        <v>0</v>
      </c>
      <c r="R85" s="12">
        <v>0</v>
      </c>
      <c r="S85" s="12">
        <v>0</v>
      </c>
      <c r="T85" s="25"/>
      <c r="U85" s="24"/>
    </row>
    <row r="86" spans="1:21" s="3" customFormat="1" ht="30" customHeight="1" x14ac:dyDescent="0.2">
      <c r="A86" s="4">
        <f t="shared" si="8"/>
        <v>79</v>
      </c>
      <c r="B86" s="5" t="str">
        <f t="shared" si="6"/>
        <v>0305</v>
      </c>
      <c r="C86" s="23" t="s">
        <v>42</v>
      </c>
      <c r="D86" s="4" t="s">
        <v>225</v>
      </c>
      <c r="E86" s="23" t="s">
        <v>636</v>
      </c>
      <c r="F86" s="5" t="s">
        <v>889</v>
      </c>
      <c r="G86" s="4" t="s">
        <v>666</v>
      </c>
      <c r="H86" s="4" t="s">
        <v>376</v>
      </c>
      <c r="I86" s="75">
        <f t="shared" si="4"/>
        <v>1200000000</v>
      </c>
      <c r="J86" s="4">
        <v>2025</v>
      </c>
      <c r="K86" s="56">
        <f t="shared" si="7"/>
        <v>1200000000</v>
      </c>
      <c r="L86" s="94">
        <v>1200000000</v>
      </c>
      <c r="M86" s="94">
        <f>VLOOKUP(H86,BUNGA!$C$97:$D$98,2,0)</f>
        <v>1</v>
      </c>
      <c r="N86" s="4" t="s">
        <v>579</v>
      </c>
      <c r="O86" s="102">
        <v>0</v>
      </c>
      <c r="P86" s="12">
        <v>0</v>
      </c>
      <c r="Q86" s="12">
        <v>0</v>
      </c>
      <c r="R86" s="12">
        <v>0</v>
      </c>
      <c r="S86" s="12">
        <v>0</v>
      </c>
      <c r="T86" s="25"/>
      <c r="U86" s="24"/>
    </row>
    <row r="87" spans="1:21" s="3" customFormat="1" ht="30" customHeight="1" x14ac:dyDescent="0.2">
      <c r="A87" s="4">
        <f t="shared" si="8"/>
        <v>80</v>
      </c>
      <c r="B87" s="5" t="str">
        <f t="shared" si="6"/>
        <v>0305</v>
      </c>
      <c r="C87" s="23" t="s">
        <v>42</v>
      </c>
      <c r="D87" s="4" t="s">
        <v>225</v>
      </c>
      <c r="E87" s="23" t="s">
        <v>636</v>
      </c>
      <c r="F87" s="5" t="s">
        <v>890</v>
      </c>
      <c r="G87" s="4" t="s">
        <v>666</v>
      </c>
      <c r="H87" s="4" t="s">
        <v>376</v>
      </c>
      <c r="I87" s="75">
        <f t="shared" si="4"/>
        <v>1000000000</v>
      </c>
      <c r="J87" s="4">
        <v>2025</v>
      </c>
      <c r="K87" s="56">
        <f t="shared" si="7"/>
        <v>1000000000</v>
      </c>
      <c r="L87" s="94">
        <v>1000000000</v>
      </c>
      <c r="M87" s="94">
        <f>VLOOKUP(H87,BUNGA!$C$97:$D$98,2,0)</f>
        <v>1</v>
      </c>
      <c r="N87" s="4" t="s">
        <v>579</v>
      </c>
      <c r="O87" s="102">
        <v>0</v>
      </c>
      <c r="P87" s="12">
        <v>0</v>
      </c>
      <c r="Q87" s="12">
        <v>0</v>
      </c>
      <c r="R87" s="12">
        <v>0</v>
      </c>
      <c r="S87" s="12">
        <v>0</v>
      </c>
      <c r="T87" s="25"/>
      <c r="U87" s="24"/>
    </row>
    <row r="88" spans="1:21" s="3" customFormat="1" ht="30" customHeight="1" x14ac:dyDescent="0.2">
      <c r="A88" s="4">
        <f t="shared" si="8"/>
        <v>81</v>
      </c>
      <c r="B88" s="5" t="str">
        <f t="shared" si="6"/>
        <v>0305</v>
      </c>
      <c r="C88" s="23" t="s">
        <v>42</v>
      </c>
      <c r="D88" s="4" t="s">
        <v>225</v>
      </c>
      <c r="E88" s="23" t="s">
        <v>636</v>
      </c>
      <c r="F88" s="5" t="s">
        <v>883</v>
      </c>
      <c r="G88" s="4" t="s">
        <v>666</v>
      </c>
      <c r="H88" s="4" t="s">
        <v>376</v>
      </c>
      <c r="I88" s="75">
        <f t="shared" si="4"/>
        <v>3000000000</v>
      </c>
      <c r="J88" s="4">
        <v>2025</v>
      </c>
      <c r="K88" s="56">
        <f t="shared" si="7"/>
        <v>3000000000</v>
      </c>
      <c r="L88" s="94">
        <v>3000000000</v>
      </c>
      <c r="M88" s="94">
        <f>VLOOKUP(H88,BUNGA!$C$97:$D$98,2,0)</f>
        <v>1</v>
      </c>
      <c r="N88" s="4" t="s">
        <v>579</v>
      </c>
      <c r="O88" s="102">
        <v>0</v>
      </c>
      <c r="P88" s="12">
        <v>0</v>
      </c>
      <c r="Q88" s="12">
        <v>0</v>
      </c>
      <c r="R88" s="12">
        <v>0</v>
      </c>
      <c r="S88" s="12">
        <v>0</v>
      </c>
      <c r="T88" s="25"/>
      <c r="U88" s="24"/>
    </row>
    <row r="89" spans="1:21" s="3" customFormat="1" ht="30" customHeight="1" x14ac:dyDescent="0.2">
      <c r="A89" s="4">
        <f t="shared" si="8"/>
        <v>82</v>
      </c>
      <c r="B89" s="5" t="str">
        <f t="shared" si="6"/>
        <v>0305</v>
      </c>
      <c r="C89" s="23" t="s">
        <v>42</v>
      </c>
      <c r="D89" s="4" t="s">
        <v>225</v>
      </c>
      <c r="E89" s="23" t="s">
        <v>636</v>
      </c>
      <c r="F89" s="5" t="s">
        <v>891</v>
      </c>
      <c r="G89" s="4" t="s">
        <v>666</v>
      </c>
      <c r="H89" s="4" t="s">
        <v>376</v>
      </c>
      <c r="I89" s="75">
        <f t="shared" si="4"/>
        <v>1000000000</v>
      </c>
      <c r="J89" s="4">
        <v>2025</v>
      </c>
      <c r="K89" s="56">
        <f t="shared" si="7"/>
        <v>1000000000</v>
      </c>
      <c r="L89" s="94">
        <v>1000000000</v>
      </c>
      <c r="M89" s="94">
        <f>VLOOKUP(H89,BUNGA!$C$97:$D$98,2,0)</f>
        <v>1</v>
      </c>
      <c r="N89" s="4" t="s">
        <v>579</v>
      </c>
      <c r="O89" s="102">
        <v>0</v>
      </c>
      <c r="P89" s="12">
        <v>0</v>
      </c>
      <c r="Q89" s="12">
        <v>0</v>
      </c>
      <c r="R89" s="12">
        <v>0</v>
      </c>
      <c r="S89" s="12">
        <v>0</v>
      </c>
      <c r="T89" s="25"/>
      <c r="U89" s="24"/>
    </row>
    <row r="90" spans="1:21" s="3" customFormat="1" ht="30" customHeight="1" x14ac:dyDescent="0.2">
      <c r="A90" s="4">
        <f t="shared" si="8"/>
        <v>83</v>
      </c>
      <c r="B90" s="5" t="str">
        <f t="shared" si="6"/>
        <v>0305</v>
      </c>
      <c r="C90" s="23" t="s">
        <v>42</v>
      </c>
      <c r="D90" s="4" t="s">
        <v>225</v>
      </c>
      <c r="E90" s="23" t="s">
        <v>636</v>
      </c>
      <c r="F90" s="5" t="s">
        <v>892</v>
      </c>
      <c r="G90" s="4" t="s">
        <v>666</v>
      </c>
      <c r="H90" s="4" t="s">
        <v>376</v>
      </c>
      <c r="I90" s="75">
        <f t="shared" si="4"/>
        <v>1800000000</v>
      </c>
      <c r="J90" s="4">
        <v>2025</v>
      </c>
      <c r="K90" s="56">
        <f t="shared" si="7"/>
        <v>1800000000</v>
      </c>
      <c r="L90" s="94">
        <v>1800000000</v>
      </c>
      <c r="M90" s="94">
        <f>VLOOKUP(H90,BUNGA!$C$97:$D$98,2,0)</f>
        <v>1</v>
      </c>
      <c r="N90" s="4" t="s">
        <v>579</v>
      </c>
      <c r="O90" s="102">
        <v>0</v>
      </c>
      <c r="P90" s="12">
        <v>0</v>
      </c>
      <c r="Q90" s="12">
        <v>0</v>
      </c>
      <c r="R90" s="12">
        <v>0</v>
      </c>
      <c r="S90" s="12">
        <v>0</v>
      </c>
      <c r="T90" s="25"/>
      <c r="U90" s="24"/>
    </row>
    <row r="91" spans="1:21" s="3" customFormat="1" ht="30" customHeight="1" x14ac:dyDescent="0.2">
      <c r="A91" s="4">
        <f t="shared" si="8"/>
        <v>84</v>
      </c>
      <c r="B91" s="5" t="str">
        <f t="shared" si="6"/>
        <v>0307</v>
      </c>
      <c r="C91" s="23" t="s">
        <v>188</v>
      </c>
      <c r="D91" s="4" t="s">
        <v>225</v>
      </c>
      <c r="E91" s="23" t="s">
        <v>672</v>
      </c>
      <c r="F91" s="5" t="s">
        <v>30</v>
      </c>
      <c r="G91" s="4" t="s">
        <v>679</v>
      </c>
      <c r="H91" s="4" t="s">
        <v>376</v>
      </c>
      <c r="I91" s="75">
        <f t="shared" si="4"/>
        <v>1804323275</v>
      </c>
      <c r="J91" s="4">
        <v>2025</v>
      </c>
      <c r="K91" s="56">
        <f t="shared" si="7"/>
        <v>1804323275</v>
      </c>
      <c r="L91" s="94">
        <v>1804323275</v>
      </c>
      <c r="M91" s="94">
        <f>VLOOKUP(H91,BUNGA!$C$97:$D$98,2,0)</f>
        <v>1</v>
      </c>
      <c r="N91" s="4" t="s">
        <v>578</v>
      </c>
      <c r="O91" s="102">
        <v>898405525</v>
      </c>
      <c r="P91" s="12">
        <v>742907956</v>
      </c>
      <c r="Q91" s="12">
        <v>1297506878</v>
      </c>
      <c r="R91" s="12">
        <v>1145783640</v>
      </c>
      <c r="S91" s="12">
        <v>1102303000</v>
      </c>
    </row>
    <row r="92" spans="1:21" s="3" customFormat="1" ht="30" customHeight="1" x14ac:dyDescent="0.2">
      <c r="A92" s="4">
        <f t="shared" si="8"/>
        <v>85</v>
      </c>
      <c r="B92" s="5" t="str">
        <f t="shared" si="6"/>
        <v>0307</v>
      </c>
      <c r="C92" s="23" t="s">
        <v>188</v>
      </c>
      <c r="D92" s="4" t="s">
        <v>225</v>
      </c>
      <c r="E92" s="23" t="s">
        <v>673</v>
      </c>
      <c r="F92" s="5" t="s">
        <v>30</v>
      </c>
      <c r="G92" s="4" t="s">
        <v>679</v>
      </c>
      <c r="H92" s="4" t="s">
        <v>376</v>
      </c>
      <c r="I92" s="75">
        <f t="shared" si="4"/>
        <v>10695902</v>
      </c>
      <c r="J92" s="4">
        <v>2025</v>
      </c>
      <c r="K92" s="56">
        <f t="shared" si="7"/>
        <v>10695902</v>
      </c>
      <c r="L92" s="94">
        <v>10695902</v>
      </c>
      <c r="M92" s="94">
        <f>VLOOKUP(H92,BUNGA!$C$97:$D$98,2,0)</f>
        <v>1</v>
      </c>
      <c r="N92" s="4" t="s">
        <v>578</v>
      </c>
      <c r="O92" s="102">
        <v>10192121</v>
      </c>
      <c r="P92" s="12">
        <v>9722025</v>
      </c>
      <c r="Q92" s="12">
        <v>9333818</v>
      </c>
      <c r="R92" s="12">
        <v>0</v>
      </c>
      <c r="S92" s="12">
        <v>0</v>
      </c>
    </row>
    <row r="93" spans="1:21" s="3" customFormat="1" ht="30" customHeight="1" x14ac:dyDescent="0.2">
      <c r="A93" s="4">
        <f t="shared" si="8"/>
        <v>86</v>
      </c>
      <c r="B93" s="5" t="str">
        <f t="shared" si="6"/>
        <v>0307</v>
      </c>
      <c r="C93" s="23" t="s">
        <v>188</v>
      </c>
      <c r="D93" s="4" t="s">
        <v>225</v>
      </c>
      <c r="E93" s="23" t="s">
        <v>677</v>
      </c>
      <c r="F93" s="5" t="s">
        <v>30</v>
      </c>
      <c r="G93" s="4" t="s">
        <v>679</v>
      </c>
      <c r="H93" s="4" t="s">
        <v>376</v>
      </c>
      <c r="I93" s="75">
        <f t="shared" ref="I93:I137" si="9">K93</f>
        <v>6191367</v>
      </c>
      <c r="J93" s="4">
        <v>2025</v>
      </c>
      <c r="K93" s="56">
        <f t="shared" si="7"/>
        <v>6191367</v>
      </c>
      <c r="L93" s="94">
        <v>6191367</v>
      </c>
      <c r="M93" s="94">
        <f>VLOOKUP(H93,BUNGA!$C$97:$D$98,2,0)</f>
        <v>1</v>
      </c>
      <c r="N93" s="4" t="s">
        <v>578</v>
      </c>
      <c r="O93" s="102">
        <v>0</v>
      </c>
      <c r="P93" s="12">
        <v>6248898</v>
      </c>
      <c r="Q93" s="12">
        <v>5806764</v>
      </c>
      <c r="R93" s="12">
        <v>0</v>
      </c>
      <c r="S93" s="12">
        <v>0</v>
      </c>
    </row>
    <row r="94" spans="1:21" s="3" customFormat="1" ht="30" customHeight="1" x14ac:dyDescent="0.2">
      <c r="A94" s="4">
        <f t="shared" si="8"/>
        <v>87</v>
      </c>
      <c r="B94" s="5" t="str">
        <f t="shared" si="6"/>
        <v>0303</v>
      </c>
      <c r="C94" s="23" t="s">
        <v>530</v>
      </c>
      <c r="D94" s="4" t="s">
        <v>225</v>
      </c>
      <c r="E94" s="23" t="s">
        <v>682</v>
      </c>
      <c r="F94" s="5" t="s">
        <v>30</v>
      </c>
      <c r="G94" s="4" t="s">
        <v>683</v>
      </c>
      <c r="H94" s="4" t="s">
        <v>376</v>
      </c>
      <c r="I94" s="75">
        <f t="shared" si="9"/>
        <v>3657152090</v>
      </c>
      <c r="J94" s="4">
        <v>2025</v>
      </c>
      <c r="K94" s="56">
        <f t="shared" si="7"/>
        <v>3657152090</v>
      </c>
      <c r="L94" s="94">
        <v>3657152090</v>
      </c>
      <c r="M94" s="94">
        <f>VLOOKUP(H94,BUNGA!$C$97:$D$98,2,0)</f>
        <v>1</v>
      </c>
      <c r="N94" s="4" t="s">
        <v>578</v>
      </c>
      <c r="O94" s="102">
        <v>1770860000</v>
      </c>
      <c r="P94" s="12">
        <v>2156900000</v>
      </c>
      <c r="Q94" s="12">
        <v>1808800000</v>
      </c>
      <c r="R94" s="12">
        <v>2077600000</v>
      </c>
      <c r="S94" s="12">
        <v>2129580000</v>
      </c>
    </row>
    <row r="95" spans="1:21" s="3" customFormat="1" ht="30" customHeight="1" x14ac:dyDescent="0.2">
      <c r="A95" s="4">
        <f t="shared" si="8"/>
        <v>88</v>
      </c>
      <c r="B95" s="5" t="str">
        <f t="shared" si="6"/>
        <v>0305</v>
      </c>
      <c r="C95" s="23" t="s">
        <v>42</v>
      </c>
      <c r="D95" s="4" t="s">
        <v>225</v>
      </c>
      <c r="E95" s="23" t="s">
        <v>802</v>
      </c>
      <c r="F95" s="5" t="s">
        <v>922</v>
      </c>
      <c r="G95" s="4" t="s">
        <v>795</v>
      </c>
      <c r="H95" s="4" t="s">
        <v>376</v>
      </c>
      <c r="I95" s="75">
        <f t="shared" si="9"/>
        <v>950000000</v>
      </c>
      <c r="J95" s="4">
        <v>2025</v>
      </c>
      <c r="K95" s="56">
        <f t="shared" si="7"/>
        <v>950000000</v>
      </c>
      <c r="L95" s="94">
        <v>950000000</v>
      </c>
      <c r="M95" s="94">
        <f>VLOOKUP(H95,BUNGA!$C$97:$D$98,2,0)</f>
        <v>1</v>
      </c>
      <c r="N95" s="4" t="s">
        <v>578</v>
      </c>
      <c r="O95" s="102">
        <v>950000000</v>
      </c>
      <c r="P95" s="102">
        <v>950000000</v>
      </c>
      <c r="Q95" s="102">
        <v>950000000</v>
      </c>
      <c r="R95" s="102">
        <v>950000000</v>
      </c>
      <c r="S95" s="102">
        <v>950000000</v>
      </c>
    </row>
    <row r="96" spans="1:21" s="3" customFormat="1" ht="30" customHeight="1" x14ac:dyDescent="0.2">
      <c r="A96" s="4">
        <f t="shared" si="8"/>
        <v>89</v>
      </c>
      <c r="B96" s="5" t="str">
        <f t="shared" si="6"/>
        <v>0305</v>
      </c>
      <c r="C96" s="23" t="s">
        <v>42</v>
      </c>
      <c r="D96" s="4" t="s">
        <v>225</v>
      </c>
      <c r="E96" s="23" t="s">
        <v>802</v>
      </c>
      <c r="F96" s="5" t="s">
        <v>893</v>
      </c>
      <c r="G96" s="4" t="s">
        <v>795</v>
      </c>
      <c r="H96" s="4" t="s">
        <v>376</v>
      </c>
      <c r="I96" s="75">
        <f t="shared" si="9"/>
        <v>1000000000</v>
      </c>
      <c r="J96" s="4">
        <v>2025</v>
      </c>
      <c r="K96" s="56">
        <f t="shared" si="7"/>
        <v>1000000000</v>
      </c>
      <c r="L96" s="94">
        <v>1000000000</v>
      </c>
      <c r="M96" s="94">
        <f>VLOOKUP(H96,BUNGA!$C$97:$D$98,2,0)</f>
        <v>1</v>
      </c>
      <c r="N96" s="4" t="s">
        <v>579</v>
      </c>
      <c r="O96" s="102">
        <v>2100000000</v>
      </c>
      <c r="P96" s="102">
        <v>2100000000</v>
      </c>
      <c r="Q96" s="102">
        <v>2100000000</v>
      </c>
      <c r="R96" s="102">
        <v>2100000000</v>
      </c>
      <c r="S96" s="102">
        <v>2100000000</v>
      </c>
    </row>
    <row r="97" spans="1:19" s="3" customFormat="1" ht="30" customHeight="1" x14ac:dyDescent="0.2">
      <c r="A97" s="4">
        <f t="shared" si="8"/>
        <v>90</v>
      </c>
      <c r="B97" s="5" t="str">
        <f t="shared" si="6"/>
        <v>0305</v>
      </c>
      <c r="C97" s="23" t="s">
        <v>42</v>
      </c>
      <c r="D97" s="4" t="s">
        <v>225</v>
      </c>
      <c r="E97" s="23" t="s">
        <v>802</v>
      </c>
      <c r="F97" s="5" t="s">
        <v>894</v>
      </c>
      <c r="G97" s="4" t="s">
        <v>795</v>
      </c>
      <c r="H97" s="4" t="s">
        <v>376</v>
      </c>
      <c r="I97" s="75">
        <f t="shared" si="9"/>
        <v>1190000000</v>
      </c>
      <c r="J97" s="4">
        <v>2025</v>
      </c>
      <c r="K97" s="56">
        <f t="shared" si="7"/>
        <v>1190000000</v>
      </c>
      <c r="L97" s="94">
        <v>1190000000</v>
      </c>
      <c r="M97" s="94">
        <f>VLOOKUP(H97,BUNGA!$C$97:$D$98,2,0)</f>
        <v>1</v>
      </c>
      <c r="N97" s="4" t="s">
        <v>578</v>
      </c>
      <c r="O97" s="102">
        <v>3000000000</v>
      </c>
      <c r="P97" s="102">
        <v>0</v>
      </c>
      <c r="Q97" s="102">
        <v>0</v>
      </c>
      <c r="R97" s="102">
        <v>0</v>
      </c>
      <c r="S97" s="102">
        <v>0</v>
      </c>
    </row>
    <row r="98" spans="1:19" s="3" customFormat="1" ht="30" customHeight="1" x14ac:dyDescent="0.2">
      <c r="A98" s="4">
        <f t="shared" si="8"/>
        <v>91</v>
      </c>
      <c r="B98" s="5" t="str">
        <f t="shared" si="6"/>
        <v>0305</v>
      </c>
      <c r="C98" s="23" t="s">
        <v>42</v>
      </c>
      <c r="D98" s="4" t="s">
        <v>225</v>
      </c>
      <c r="E98" s="23" t="s">
        <v>802</v>
      </c>
      <c r="F98" s="5" t="s">
        <v>895</v>
      </c>
      <c r="G98" s="4" t="s">
        <v>795</v>
      </c>
      <c r="H98" s="4" t="s">
        <v>376</v>
      </c>
      <c r="I98" s="75">
        <f t="shared" si="9"/>
        <v>1200000000</v>
      </c>
      <c r="J98" s="4">
        <v>2025</v>
      </c>
      <c r="K98" s="56">
        <f t="shared" si="7"/>
        <v>1200000000</v>
      </c>
      <c r="L98" s="94">
        <v>1200000000</v>
      </c>
      <c r="M98" s="94">
        <f>VLOOKUP(H98,BUNGA!$C$97:$D$98,2,0)</f>
        <v>1</v>
      </c>
      <c r="N98" s="4" t="s">
        <v>578</v>
      </c>
      <c r="O98" s="102">
        <v>3050000000</v>
      </c>
      <c r="P98" s="102">
        <v>0</v>
      </c>
      <c r="Q98" s="102">
        <v>0</v>
      </c>
      <c r="R98" s="102">
        <v>0</v>
      </c>
      <c r="S98" s="102">
        <v>0</v>
      </c>
    </row>
    <row r="99" spans="1:19" s="3" customFormat="1" ht="30" customHeight="1" x14ac:dyDescent="0.2">
      <c r="A99" s="4">
        <f t="shared" si="8"/>
        <v>92</v>
      </c>
      <c r="B99" s="5" t="str">
        <f t="shared" si="6"/>
        <v>0305</v>
      </c>
      <c r="C99" s="23" t="s">
        <v>42</v>
      </c>
      <c r="D99" s="4" t="s">
        <v>225</v>
      </c>
      <c r="E99" s="23" t="s">
        <v>802</v>
      </c>
      <c r="F99" s="5" t="s">
        <v>896</v>
      </c>
      <c r="G99" s="4" t="s">
        <v>795</v>
      </c>
      <c r="H99" s="4" t="s">
        <v>376</v>
      </c>
      <c r="I99" s="75">
        <f t="shared" si="9"/>
        <v>3000000000</v>
      </c>
      <c r="J99" s="4">
        <v>2025</v>
      </c>
      <c r="K99" s="56">
        <f t="shared" si="7"/>
        <v>3000000000</v>
      </c>
      <c r="L99" s="94">
        <v>3000000000</v>
      </c>
      <c r="M99" s="94">
        <f>VLOOKUP(H99,BUNGA!$C$97:$D$98,2,0)</f>
        <v>1</v>
      </c>
      <c r="N99" s="4" t="s">
        <v>578</v>
      </c>
      <c r="O99" s="102">
        <v>1280000000</v>
      </c>
      <c r="P99" s="102">
        <v>0</v>
      </c>
      <c r="Q99" s="102">
        <v>0</v>
      </c>
      <c r="R99" s="102">
        <v>0</v>
      </c>
      <c r="S99" s="102">
        <v>0</v>
      </c>
    </row>
    <row r="100" spans="1:19" s="3" customFormat="1" ht="30" customHeight="1" x14ac:dyDescent="0.2">
      <c r="A100" s="4">
        <f t="shared" si="8"/>
        <v>93</v>
      </c>
      <c r="B100" s="5" t="str">
        <f t="shared" si="6"/>
        <v>0305</v>
      </c>
      <c r="C100" s="23" t="s">
        <v>42</v>
      </c>
      <c r="D100" s="4" t="s">
        <v>225</v>
      </c>
      <c r="E100" s="23" t="s">
        <v>802</v>
      </c>
      <c r="F100" s="5" t="s">
        <v>897</v>
      </c>
      <c r="G100" s="4" t="s">
        <v>795</v>
      </c>
      <c r="H100" s="4" t="s">
        <v>376</v>
      </c>
      <c r="I100" s="75">
        <f t="shared" si="9"/>
        <v>1000000000</v>
      </c>
      <c r="J100" s="4">
        <v>2025</v>
      </c>
      <c r="K100" s="56">
        <f t="shared" si="7"/>
        <v>1000000000</v>
      </c>
      <c r="L100" s="94">
        <v>1000000000</v>
      </c>
      <c r="M100" s="94">
        <f>VLOOKUP(H100,BUNGA!$C$97:$D$98,2,0)</f>
        <v>1</v>
      </c>
      <c r="N100" s="4" t="s">
        <v>579</v>
      </c>
      <c r="O100" s="102">
        <v>1000000000</v>
      </c>
      <c r="P100" s="102">
        <v>0</v>
      </c>
      <c r="Q100" s="102">
        <v>0</v>
      </c>
      <c r="R100" s="102">
        <v>0</v>
      </c>
      <c r="S100" s="102">
        <v>0</v>
      </c>
    </row>
    <row r="101" spans="1:19" s="3" customFormat="1" ht="30" customHeight="1" x14ac:dyDescent="0.2">
      <c r="A101" s="4">
        <f t="shared" si="8"/>
        <v>94</v>
      </c>
      <c r="B101" s="5" t="str">
        <f t="shared" si="6"/>
        <v>0305</v>
      </c>
      <c r="C101" s="23" t="s">
        <v>42</v>
      </c>
      <c r="D101" s="4" t="s">
        <v>225</v>
      </c>
      <c r="E101" s="23" t="s">
        <v>802</v>
      </c>
      <c r="F101" s="5" t="s">
        <v>895</v>
      </c>
      <c r="G101" s="4" t="s">
        <v>795</v>
      </c>
      <c r="H101" s="4" t="s">
        <v>376</v>
      </c>
      <c r="I101" s="75">
        <f t="shared" si="9"/>
        <v>1800000000</v>
      </c>
      <c r="J101" s="4">
        <v>2025</v>
      </c>
      <c r="K101" s="56">
        <f t="shared" si="7"/>
        <v>1800000000</v>
      </c>
      <c r="L101" s="94">
        <v>1800000000</v>
      </c>
      <c r="M101" s="94">
        <f>VLOOKUP(H101,BUNGA!$C$97:$D$98,2,0)</f>
        <v>1</v>
      </c>
      <c r="N101" s="4" t="s">
        <v>579</v>
      </c>
      <c r="O101" s="102">
        <v>1000000000</v>
      </c>
      <c r="P101" s="102">
        <v>0</v>
      </c>
      <c r="Q101" s="102">
        <v>0</v>
      </c>
      <c r="R101" s="102">
        <v>0</v>
      </c>
      <c r="S101" s="102">
        <v>0</v>
      </c>
    </row>
    <row r="102" spans="1:19" s="3" customFormat="1" ht="30" customHeight="1" x14ac:dyDescent="0.2">
      <c r="A102" s="4">
        <f t="shared" si="8"/>
        <v>95</v>
      </c>
      <c r="B102" s="5" t="str">
        <f t="shared" si="6"/>
        <v>0305</v>
      </c>
      <c r="C102" s="23" t="s">
        <v>42</v>
      </c>
      <c r="D102" s="4" t="s">
        <v>225</v>
      </c>
      <c r="E102" s="23" t="s">
        <v>713</v>
      </c>
      <c r="F102" s="5" t="s">
        <v>898</v>
      </c>
      <c r="G102" s="4" t="s">
        <v>759</v>
      </c>
      <c r="H102" s="4" t="s">
        <v>376</v>
      </c>
      <c r="I102" s="75">
        <f t="shared" si="9"/>
        <v>1000000000</v>
      </c>
      <c r="J102" s="4">
        <v>2025</v>
      </c>
      <c r="K102" s="56">
        <f t="shared" si="7"/>
        <v>1000000000</v>
      </c>
      <c r="L102" s="94">
        <v>1000000000</v>
      </c>
      <c r="M102" s="94">
        <f>VLOOKUP(H102,BUNGA!$C$97:$D$98,2,0)</f>
        <v>1</v>
      </c>
      <c r="N102" s="4" t="s">
        <v>578</v>
      </c>
      <c r="O102" s="102">
        <v>1000000000</v>
      </c>
      <c r="P102" s="12">
        <v>1000000000</v>
      </c>
      <c r="Q102" s="12">
        <v>1000000000</v>
      </c>
      <c r="R102" s="12">
        <v>1000000000</v>
      </c>
      <c r="S102" s="12">
        <v>1000000000</v>
      </c>
    </row>
    <row r="103" spans="1:19" s="3" customFormat="1" ht="30" customHeight="1" x14ac:dyDescent="0.2">
      <c r="A103" s="4">
        <f t="shared" si="8"/>
        <v>96</v>
      </c>
      <c r="B103" s="5" t="str">
        <f t="shared" ref="B103:B134" si="10">VLOOKUP(C103,$V:$W,2,0)</f>
        <v>0305</v>
      </c>
      <c r="C103" s="23" t="s">
        <v>42</v>
      </c>
      <c r="D103" s="4" t="s">
        <v>225</v>
      </c>
      <c r="E103" s="23" t="s">
        <v>713</v>
      </c>
      <c r="F103" s="5" t="s">
        <v>849</v>
      </c>
      <c r="G103" s="4" t="s">
        <v>759</v>
      </c>
      <c r="H103" s="4" t="s">
        <v>376</v>
      </c>
      <c r="I103" s="75">
        <f t="shared" si="9"/>
        <v>510000000</v>
      </c>
      <c r="J103" s="4">
        <v>2025</v>
      </c>
      <c r="K103" s="56">
        <f t="shared" si="7"/>
        <v>510000000</v>
      </c>
      <c r="L103" s="94">
        <v>510000000</v>
      </c>
      <c r="M103" s="94">
        <f>VLOOKUP(H103,BUNGA!$C$97:$D$98,2,0)</f>
        <v>1</v>
      </c>
      <c r="N103" s="4" t="s">
        <v>578</v>
      </c>
      <c r="O103" s="102">
        <v>521903400</v>
      </c>
      <c r="P103" s="12">
        <v>510000000</v>
      </c>
      <c r="Q103" s="12">
        <v>510000000</v>
      </c>
      <c r="R103" s="12">
        <v>510000000</v>
      </c>
      <c r="S103" s="12">
        <v>510000000</v>
      </c>
    </row>
    <row r="104" spans="1:19" s="3" customFormat="1" ht="30" customHeight="1" x14ac:dyDescent="0.2">
      <c r="A104" s="4">
        <f t="shared" si="8"/>
        <v>97</v>
      </c>
      <c r="B104" s="5" t="str">
        <f t="shared" si="10"/>
        <v>0305</v>
      </c>
      <c r="C104" s="23" t="s">
        <v>42</v>
      </c>
      <c r="D104" s="4" t="s">
        <v>225</v>
      </c>
      <c r="E104" s="23" t="s">
        <v>713</v>
      </c>
      <c r="F104" s="5" t="s">
        <v>899</v>
      </c>
      <c r="G104" s="4" t="s">
        <v>759</v>
      </c>
      <c r="H104" s="4" t="s">
        <v>376</v>
      </c>
      <c r="I104" s="75">
        <f t="shared" si="9"/>
        <v>940000000</v>
      </c>
      <c r="J104" s="4">
        <v>2025</v>
      </c>
      <c r="K104" s="56">
        <f t="shared" si="7"/>
        <v>940000000</v>
      </c>
      <c r="L104" s="94">
        <v>940000000</v>
      </c>
      <c r="M104" s="94">
        <f>VLOOKUP(H104,BUNGA!$C$97:$D$98,2,0)</f>
        <v>1</v>
      </c>
      <c r="N104" s="4" t="s">
        <v>578</v>
      </c>
      <c r="O104" s="102">
        <v>1946080000</v>
      </c>
      <c r="P104" s="12">
        <v>2000000000</v>
      </c>
      <c r="Q104" s="12">
        <v>2000000000</v>
      </c>
      <c r="R104" s="12">
        <v>0</v>
      </c>
      <c r="S104" s="12">
        <v>0</v>
      </c>
    </row>
    <row r="105" spans="1:19" s="3" customFormat="1" ht="30" customHeight="1" x14ac:dyDescent="0.2">
      <c r="A105" s="4">
        <f t="shared" si="8"/>
        <v>98</v>
      </c>
      <c r="B105" s="5" t="str">
        <f t="shared" si="10"/>
        <v>0305</v>
      </c>
      <c r="C105" s="23" t="s">
        <v>42</v>
      </c>
      <c r="D105" s="4" t="s">
        <v>225</v>
      </c>
      <c r="E105" s="23" t="s">
        <v>713</v>
      </c>
      <c r="F105" s="5" t="s">
        <v>837</v>
      </c>
      <c r="G105" s="4" t="s">
        <v>759</v>
      </c>
      <c r="H105" s="4" t="s">
        <v>375</v>
      </c>
      <c r="I105" s="75">
        <f t="shared" si="9"/>
        <v>718055600</v>
      </c>
      <c r="J105" s="4">
        <v>2025</v>
      </c>
      <c r="K105" s="56">
        <f t="shared" si="7"/>
        <v>718055600</v>
      </c>
      <c r="L105" s="94">
        <v>42800</v>
      </c>
      <c r="M105" s="94">
        <f>VLOOKUP(H105,BUNGA!$C$97:$D$98,2,0)</f>
        <v>16777</v>
      </c>
      <c r="N105" s="4" t="s">
        <v>578</v>
      </c>
      <c r="O105" s="102">
        <v>2167851645</v>
      </c>
      <c r="P105" s="12">
        <v>2162300000</v>
      </c>
      <c r="Q105" s="12">
        <v>0</v>
      </c>
      <c r="R105" s="12">
        <v>0</v>
      </c>
      <c r="S105" s="12">
        <v>0</v>
      </c>
    </row>
    <row r="106" spans="1:19" s="3" customFormat="1" ht="30" customHeight="1" x14ac:dyDescent="0.2">
      <c r="A106" s="4">
        <f t="shared" si="8"/>
        <v>99</v>
      </c>
      <c r="B106" s="5" t="str">
        <f t="shared" si="10"/>
        <v>0305</v>
      </c>
      <c r="C106" s="23" t="s">
        <v>42</v>
      </c>
      <c r="D106" s="4" t="s">
        <v>225</v>
      </c>
      <c r="E106" s="23" t="s">
        <v>713</v>
      </c>
      <c r="F106" s="5" t="s">
        <v>900</v>
      </c>
      <c r="G106" s="4" t="s">
        <v>759</v>
      </c>
      <c r="H106" s="4" t="s">
        <v>376</v>
      </c>
      <c r="I106" s="75">
        <f t="shared" si="9"/>
        <v>250000000</v>
      </c>
      <c r="J106" s="4">
        <v>2025</v>
      </c>
      <c r="K106" s="56">
        <f t="shared" si="7"/>
        <v>250000000</v>
      </c>
      <c r="L106" s="94">
        <v>250000000</v>
      </c>
      <c r="M106" s="94">
        <f>VLOOKUP(H106,BUNGA!$C$97:$D$98,2,0)</f>
        <v>1</v>
      </c>
      <c r="N106" s="4" t="s">
        <v>578</v>
      </c>
      <c r="O106" s="102">
        <v>250000000</v>
      </c>
      <c r="P106" s="12">
        <v>0</v>
      </c>
      <c r="Q106" s="12">
        <v>0</v>
      </c>
      <c r="R106" s="12">
        <v>0</v>
      </c>
      <c r="S106" s="12">
        <v>0</v>
      </c>
    </row>
    <row r="107" spans="1:19" s="3" customFormat="1" ht="30" customHeight="1" x14ac:dyDescent="0.2">
      <c r="A107" s="4">
        <f t="shared" si="8"/>
        <v>100</v>
      </c>
      <c r="B107" s="5" t="str">
        <f t="shared" si="10"/>
        <v>0305</v>
      </c>
      <c r="C107" s="23" t="s">
        <v>42</v>
      </c>
      <c r="D107" s="4" t="s">
        <v>225</v>
      </c>
      <c r="E107" s="23" t="s">
        <v>713</v>
      </c>
      <c r="F107" s="5" t="s">
        <v>901</v>
      </c>
      <c r="G107" s="4" t="s">
        <v>759</v>
      </c>
      <c r="H107" s="4" t="s">
        <v>376</v>
      </c>
      <c r="I107" s="75">
        <f t="shared" si="9"/>
        <v>350000000</v>
      </c>
      <c r="J107" s="4">
        <v>2025</v>
      </c>
      <c r="K107" s="56">
        <f t="shared" si="7"/>
        <v>350000000</v>
      </c>
      <c r="L107" s="94">
        <v>350000000</v>
      </c>
      <c r="M107" s="94">
        <f>VLOOKUP(H107,BUNGA!$C$97:$D$98,2,0)</f>
        <v>1</v>
      </c>
      <c r="N107" s="4" t="s">
        <v>578</v>
      </c>
      <c r="O107" s="102">
        <v>344743000</v>
      </c>
      <c r="P107" s="12">
        <v>0</v>
      </c>
      <c r="Q107" s="12">
        <v>0</v>
      </c>
      <c r="R107" s="12">
        <v>0</v>
      </c>
      <c r="S107" s="12">
        <v>0</v>
      </c>
    </row>
    <row r="108" spans="1:19" s="3" customFormat="1" ht="30" customHeight="1" x14ac:dyDescent="0.2">
      <c r="A108" s="4">
        <f t="shared" si="8"/>
        <v>101</v>
      </c>
      <c r="B108" s="5" t="str">
        <f t="shared" si="10"/>
        <v>0305</v>
      </c>
      <c r="C108" s="23" t="s">
        <v>42</v>
      </c>
      <c r="D108" s="4" t="s">
        <v>225</v>
      </c>
      <c r="E108" s="23" t="s">
        <v>713</v>
      </c>
      <c r="F108" s="5" t="s">
        <v>902</v>
      </c>
      <c r="G108" s="4" t="s">
        <v>759</v>
      </c>
      <c r="H108" s="4" t="s">
        <v>376</v>
      </c>
      <c r="I108" s="75">
        <f t="shared" si="9"/>
        <v>1000000000</v>
      </c>
      <c r="J108" s="4">
        <v>2025</v>
      </c>
      <c r="K108" s="56">
        <f t="shared" si="7"/>
        <v>1000000000</v>
      </c>
      <c r="L108" s="94">
        <v>1000000000</v>
      </c>
      <c r="M108" s="94">
        <f>VLOOKUP(H108,BUNGA!$C$97:$D$98,2,0)</f>
        <v>1</v>
      </c>
      <c r="N108" s="4" t="s">
        <v>578</v>
      </c>
      <c r="O108" s="102">
        <v>2050000000</v>
      </c>
      <c r="P108" s="12">
        <v>0</v>
      </c>
      <c r="Q108" s="12">
        <v>0</v>
      </c>
      <c r="R108" s="12">
        <v>0</v>
      </c>
      <c r="S108" s="12">
        <v>0</v>
      </c>
    </row>
    <row r="109" spans="1:19" s="3" customFormat="1" ht="30" customHeight="1" x14ac:dyDescent="0.2">
      <c r="A109" s="4">
        <f t="shared" si="8"/>
        <v>102</v>
      </c>
      <c r="B109" s="5" t="str">
        <f t="shared" si="10"/>
        <v>0305</v>
      </c>
      <c r="C109" s="23" t="s">
        <v>42</v>
      </c>
      <c r="D109" s="4" t="s">
        <v>225</v>
      </c>
      <c r="E109" s="23" t="s">
        <v>713</v>
      </c>
      <c r="F109" s="5" t="s">
        <v>903</v>
      </c>
      <c r="G109" s="4" t="s">
        <v>759</v>
      </c>
      <c r="H109" s="4" t="s">
        <v>376</v>
      </c>
      <c r="I109" s="75">
        <f t="shared" si="9"/>
        <v>3020000000</v>
      </c>
      <c r="J109" s="4">
        <v>2025</v>
      </c>
      <c r="K109" s="56">
        <f t="shared" si="7"/>
        <v>3020000000</v>
      </c>
      <c r="L109" s="94">
        <v>3020000000</v>
      </c>
      <c r="M109" s="94">
        <f>VLOOKUP(H109,BUNGA!$C$97:$D$98,2,0)</f>
        <v>1</v>
      </c>
      <c r="N109" s="4" t="s">
        <v>578</v>
      </c>
      <c r="O109" s="102">
        <v>3329008500</v>
      </c>
      <c r="P109" s="12">
        <v>0</v>
      </c>
      <c r="Q109" s="12">
        <v>0</v>
      </c>
      <c r="R109" s="12">
        <v>0</v>
      </c>
      <c r="S109" s="12">
        <v>0</v>
      </c>
    </row>
    <row r="110" spans="1:19" s="3" customFormat="1" ht="30" customHeight="1" x14ac:dyDescent="0.2">
      <c r="A110" s="4">
        <f t="shared" si="8"/>
        <v>103</v>
      </c>
      <c r="B110" s="5" t="str">
        <f t="shared" si="10"/>
        <v>0305</v>
      </c>
      <c r="C110" s="23" t="s">
        <v>42</v>
      </c>
      <c r="D110" s="4" t="s">
        <v>225</v>
      </c>
      <c r="E110" s="23" t="s">
        <v>713</v>
      </c>
      <c r="F110" s="5" t="s">
        <v>900</v>
      </c>
      <c r="G110" s="4" t="s">
        <v>759</v>
      </c>
      <c r="H110" s="4" t="s">
        <v>376</v>
      </c>
      <c r="I110" s="75">
        <f t="shared" si="9"/>
        <v>200000000</v>
      </c>
      <c r="J110" s="4">
        <v>2025</v>
      </c>
      <c r="K110" s="56">
        <f t="shared" si="7"/>
        <v>200000000</v>
      </c>
      <c r="L110" s="94">
        <v>200000000</v>
      </c>
      <c r="M110" s="94">
        <f>VLOOKUP(H110,BUNGA!$C$97:$D$98,2,0)</f>
        <v>1</v>
      </c>
      <c r="N110" s="4" t="s">
        <v>579</v>
      </c>
      <c r="O110" s="102">
        <v>200000000</v>
      </c>
      <c r="P110" s="12">
        <v>0</v>
      </c>
      <c r="Q110" s="12">
        <v>0</v>
      </c>
      <c r="R110" s="12">
        <v>0</v>
      </c>
      <c r="S110" s="12">
        <v>0</v>
      </c>
    </row>
    <row r="111" spans="1:19" s="3" customFormat="1" ht="30" customHeight="1" x14ac:dyDescent="0.2">
      <c r="A111" s="4">
        <f t="shared" si="8"/>
        <v>104</v>
      </c>
      <c r="B111" s="5" t="str">
        <f t="shared" si="10"/>
        <v>0305</v>
      </c>
      <c r="C111" s="23" t="s">
        <v>42</v>
      </c>
      <c r="D111" s="4" t="s">
        <v>225</v>
      </c>
      <c r="E111" s="23" t="s">
        <v>713</v>
      </c>
      <c r="F111" s="5" t="s">
        <v>664</v>
      </c>
      <c r="G111" s="4" t="s">
        <v>759</v>
      </c>
      <c r="H111" s="4" t="s">
        <v>376</v>
      </c>
      <c r="I111" s="75">
        <f t="shared" si="9"/>
        <v>300000000</v>
      </c>
      <c r="J111" s="4">
        <v>2025</v>
      </c>
      <c r="K111" s="56">
        <f t="shared" si="7"/>
        <v>300000000</v>
      </c>
      <c r="L111" s="94">
        <v>300000000</v>
      </c>
      <c r="M111" s="94">
        <f>VLOOKUP(H111,BUNGA!$C$97:$D$98,2,0)</f>
        <v>1</v>
      </c>
      <c r="N111" s="4" t="s">
        <v>579</v>
      </c>
      <c r="O111" s="102">
        <v>292719000</v>
      </c>
      <c r="P111" s="12">
        <v>0</v>
      </c>
      <c r="Q111" s="12">
        <v>0</v>
      </c>
      <c r="R111" s="12">
        <v>0</v>
      </c>
      <c r="S111" s="12">
        <v>0</v>
      </c>
    </row>
    <row r="112" spans="1:19" s="3" customFormat="1" ht="30" customHeight="1" x14ac:dyDescent="0.2">
      <c r="A112" s="4">
        <f t="shared" si="8"/>
        <v>105</v>
      </c>
      <c r="B112" s="5" t="str">
        <f t="shared" si="10"/>
        <v>0305</v>
      </c>
      <c r="C112" s="23" t="s">
        <v>42</v>
      </c>
      <c r="D112" s="4" t="s">
        <v>225</v>
      </c>
      <c r="E112" s="23" t="s">
        <v>713</v>
      </c>
      <c r="F112" s="5" t="s">
        <v>904</v>
      </c>
      <c r="G112" s="4" t="s">
        <v>759</v>
      </c>
      <c r="H112" s="4" t="s">
        <v>376</v>
      </c>
      <c r="I112" s="75">
        <f t="shared" si="9"/>
        <v>3810000000</v>
      </c>
      <c r="J112" s="4">
        <v>2025</v>
      </c>
      <c r="K112" s="56">
        <f t="shared" si="7"/>
        <v>3810000000</v>
      </c>
      <c r="L112" s="94">
        <v>3810000000</v>
      </c>
      <c r="M112" s="94">
        <f>VLOOKUP(H112,BUNGA!$C$97:$D$98,2,0)</f>
        <v>1</v>
      </c>
      <c r="N112" s="4" t="s">
        <v>578</v>
      </c>
      <c r="O112" s="102">
        <v>0</v>
      </c>
      <c r="P112" s="12">
        <v>0</v>
      </c>
      <c r="Q112" s="12">
        <v>0</v>
      </c>
      <c r="R112" s="12">
        <v>0</v>
      </c>
      <c r="S112" s="12">
        <v>0</v>
      </c>
    </row>
    <row r="113" spans="1:19" s="3" customFormat="1" ht="30" customHeight="1" x14ac:dyDescent="0.2">
      <c r="A113" s="4">
        <f t="shared" si="8"/>
        <v>106</v>
      </c>
      <c r="B113" s="5" t="str">
        <f t="shared" si="10"/>
        <v>0311</v>
      </c>
      <c r="C113" s="23" t="s">
        <v>51</v>
      </c>
      <c r="D113" s="4" t="s">
        <v>225</v>
      </c>
      <c r="E113" s="23" t="s">
        <v>713</v>
      </c>
      <c r="F113" s="5" t="s">
        <v>905</v>
      </c>
      <c r="G113" s="4" t="s">
        <v>759</v>
      </c>
      <c r="H113" s="4" t="s">
        <v>375</v>
      </c>
      <c r="I113" s="75">
        <f t="shared" si="9"/>
        <v>496515315</v>
      </c>
      <c r="J113" s="4">
        <v>2025</v>
      </c>
      <c r="K113" s="56">
        <f t="shared" si="7"/>
        <v>496515315</v>
      </c>
      <c r="L113" s="94">
        <v>29595</v>
      </c>
      <c r="M113" s="94">
        <f>VLOOKUP(H113,BUNGA!$C$97:$D$98,2,0)</f>
        <v>16777</v>
      </c>
      <c r="N113" s="4" t="s">
        <v>579</v>
      </c>
      <c r="O113" s="102">
        <v>0</v>
      </c>
      <c r="P113" s="12">
        <v>0</v>
      </c>
      <c r="Q113" s="12">
        <v>0</v>
      </c>
      <c r="R113" s="12">
        <v>0</v>
      </c>
      <c r="S113" s="12">
        <v>0</v>
      </c>
    </row>
    <row r="114" spans="1:19" s="3" customFormat="1" ht="30" customHeight="1" x14ac:dyDescent="0.2">
      <c r="A114" s="4">
        <f t="shared" si="8"/>
        <v>107</v>
      </c>
      <c r="B114" s="5" t="str">
        <f t="shared" si="10"/>
        <v>0305</v>
      </c>
      <c r="C114" s="23" t="s">
        <v>42</v>
      </c>
      <c r="D114" s="4" t="s">
        <v>225</v>
      </c>
      <c r="E114" s="23" t="s">
        <v>713</v>
      </c>
      <c r="F114" s="5" t="s">
        <v>906</v>
      </c>
      <c r="G114" s="4" t="s">
        <v>759</v>
      </c>
      <c r="H114" s="4" t="s">
        <v>376</v>
      </c>
      <c r="I114" s="75">
        <f t="shared" si="9"/>
        <v>550000000</v>
      </c>
      <c r="J114" s="4">
        <v>2025</v>
      </c>
      <c r="K114" s="56">
        <f t="shared" si="7"/>
        <v>550000000</v>
      </c>
      <c r="L114" s="94">
        <v>550000000</v>
      </c>
      <c r="M114" s="94">
        <f>VLOOKUP(H114,BUNGA!$C$97:$D$98,2,0)</f>
        <v>1</v>
      </c>
      <c r="N114" s="4" t="s">
        <v>579</v>
      </c>
      <c r="O114" s="102">
        <v>0</v>
      </c>
      <c r="P114" s="12">
        <v>0</v>
      </c>
      <c r="Q114" s="12">
        <v>0</v>
      </c>
      <c r="R114" s="12">
        <v>0</v>
      </c>
      <c r="S114" s="12">
        <v>0</v>
      </c>
    </row>
    <row r="115" spans="1:19" s="3" customFormat="1" ht="30" customHeight="1" x14ac:dyDescent="0.2">
      <c r="A115" s="4">
        <f t="shared" si="8"/>
        <v>108</v>
      </c>
      <c r="B115" s="5" t="str">
        <f t="shared" si="10"/>
        <v>0305</v>
      </c>
      <c r="C115" s="23" t="s">
        <v>42</v>
      </c>
      <c r="D115" s="4" t="s">
        <v>225</v>
      </c>
      <c r="E115" s="23" t="s">
        <v>713</v>
      </c>
      <c r="F115" s="5" t="s">
        <v>903</v>
      </c>
      <c r="G115" s="4" t="s">
        <v>759</v>
      </c>
      <c r="H115" s="4" t="s">
        <v>376</v>
      </c>
      <c r="I115" s="75">
        <f t="shared" si="9"/>
        <v>3150000000</v>
      </c>
      <c r="J115" s="4">
        <v>2025</v>
      </c>
      <c r="K115" s="56">
        <f t="shared" si="7"/>
        <v>3150000000</v>
      </c>
      <c r="L115" s="94">
        <v>3150000000</v>
      </c>
      <c r="M115" s="94">
        <f>VLOOKUP(H115,BUNGA!$C$97:$D$98,2,0)</f>
        <v>1</v>
      </c>
      <c r="N115" s="4" t="s">
        <v>579</v>
      </c>
      <c r="O115" s="102">
        <v>0</v>
      </c>
      <c r="P115" s="12">
        <v>0</v>
      </c>
      <c r="Q115" s="12">
        <v>0</v>
      </c>
      <c r="R115" s="12">
        <v>0</v>
      </c>
      <c r="S115" s="12">
        <v>0</v>
      </c>
    </row>
    <row r="116" spans="1:19" s="3" customFormat="1" ht="30" customHeight="1" x14ac:dyDescent="0.2">
      <c r="A116" s="4">
        <f t="shared" si="8"/>
        <v>109</v>
      </c>
      <c r="B116" s="5" t="str">
        <f t="shared" si="10"/>
        <v>0305</v>
      </c>
      <c r="C116" s="23" t="s">
        <v>42</v>
      </c>
      <c r="D116" s="4" t="s">
        <v>225</v>
      </c>
      <c r="E116" s="23" t="s">
        <v>713</v>
      </c>
      <c r="F116" s="5" t="s">
        <v>863</v>
      </c>
      <c r="G116" s="4" t="s">
        <v>759</v>
      </c>
      <c r="H116" s="4" t="s">
        <v>376</v>
      </c>
      <c r="I116" s="75">
        <f t="shared" si="9"/>
        <v>2000000000</v>
      </c>
      <c r="J116" s="4">
        <v>2025</v>
      </c>
      <c r="K116" s="56">
        <f t="shared" si="7"/>
        <v>2000000000</v>
      </c>
      <c r="L116" s="94">
        <v>2000000000</v>
      </c>
      <c r="M116" s="94">
        <f>VLOOKUP(H116,BUNGA!$C$97:$D$98,2,0)</f>
        <v>1</v>
      </c>
      <c r="N116" s="4" t="s">
        <v>579</v>
      </c>
      <c r="O116" s="102">
        <v>0</v>
      </c>
      <c r="P116" s="12">
        <v>0</v>
      </c>
      <c r="Q116" s="12">
        <v>0</v>
      </c>
      <c r="R116" s="12">
        <v>0</v>
      </c>
      <c r="S116" s="12">
        <v>0</v>
      </c>
    </row>
    <row r="117" spans="1:19" s="3" customFormat="1" ht="30" customHeight="1" x14ac:dyDescent="0.2">
      <c r="A117" s="4">
        <f t="shared" si="8"/>
        <v>110</v>
      </c>
      <c r="B117" s="5" t="str">
        <f t="shared" si="10"/>
        <v>0305</v>
      </c>
      <c r="C117" s="23" t="s">
        <v>42</v>
      </c>
      <c r="D117" s="4" t="s">
        <v>225</v>
      </c>
      <c r="E117" s="23" t="s">
        <v>713</v>
      </c>
      <c r="F117" s="5" t="s">
        <v>907</v>
      </c>
      <c r="G117" s="4" t="s">
        <v>759</v>
      </c>
      <c r="H117" s="4" t="s">
        <v>376</v>
      </c>
      <c r="I117" s="75">
        <f t="shared" si="9"/>
        <v>1000000000</v>
      </c>
      <c r="J117" s="4">
        <v>2025</v>
      </c>
      <c r="K117" s="56">
        <f t="shared" si="7"/>
        <v>1000000000</v>
      </c>
      <c r="L117" s="94">
        <v>1000000000</v>
      </c>
      <c r="M117" s="94">
        <f>VLOOKUP(H117,BUNGA!$C$97:$D$98,2,0)</f>
        <v>1</v>
      </c>
      <c r="N117" s="4" t="s">
        <v>579</v>
      </c>
      <c r="O117" s="102">
        <v>0</v>
      </c>
      <c r="P117" s="12">
        <v>0</v>
      </c>
      <c r="Q117" s="12">
        <v>0</v>
      </c>
      <c r="R117" s="12">
        <v>0</v>
      </c>
      <c r="S117" s="12">
        <v>0</v>
      </c>
    </row>
    <row r="118" spans="1:19" s="3" customFormat="1" ht="30" customHeight="1" x14ac:dyDescent="0.2">
      <c r="A118" s="4">
        <f t="shared" si="8"/>
        <v>111</v>
      </c>
      <c r="B118" s="5" t="str">
        <f t="shared" si="10"/>
        <v>0305</v>
      </c>
      <c r="C118" s="23" t="s">
        <v>42</v>
      </c>
      <c r="D118" s="4" t="s">
        <v>225</v>
      </c>
      <c r="E118" s="23" t="s">
        <v>713</v>
      </c>
      <c r="F118" s="5" t="s">
        <v>908</v>
      </c>
      <c r="G118" s="4" t="s">
        <v>759</v>
      </c>
      <c r="H118" s="4" t="s">
        <v>376</v>
      </c>
      <c r="I118" s="75">
        <f t="shared" si="9"/>
        <v>4000000000</v>
      </c>
      <c r="J118" s="4">
        <v>2025</v>
      </c>
      <c r="K118" s="56">
        <f t="shared" si="7"/>
        <v>4000000000</v>
      </c>
      <c r="L118" s="94">
        <v>4000000000</v>
      </c>
      <c r="M118" s="94">
        <f>VLOOKUP(H118,BUNGA!$C$97:$D$98,2,0)</f>
        <v>1</v>
      </c>
      <c r="N118" s="4" t="s">
        <v>579</v>
      </c>
      <c r="O118" s="102">
        <v>0</v>
      </c>
      <c r="P118" s="12">
        <v>0</v>
      </c>
      <c r="Q118" s="12">
        <v>0</v>
      </c>
      <c r="R118" s="12">
        <v>0</v>
      </c>
      <c r="S118" s="12">
        <v>0</v>
      </c>
    </row>
    <row r="119" spans="1:19" s="3" customFormat="1" ht="30" customHeight="1" x14ac:dyDescent="0.2">
      <c r="A119" s="4">
        <f t="shared" si="8"/>
        <v>112</v>
      </c>
      <c r="B119" s="5" t="str">
        <f t="shared" si="10"/>
        <v>0305</v>
      </c>
      <c r="C119" s="23" t="s">
        <v>42</v>
      </c>
      <c r="D119" s="4" t="s">
        <v>225</v>
      </c>
      <c r="E119" s="23" t="s">
        <v>713</v>
      </c>
      <c r="F119" s="5" t="s">
        <v>883</v>
      </c>
      <c r="G119" s="4" t="s">
        <v>759</v>
      </c>
      <c r="H119" s="4" t="s">
        <v>376</v>
      </c>
      <c r="I119" s="75">
        <f t="shared" si="9"/>
        <v>900000000</v>
      </c>
      <c r="J119" s="4">
        <v>2025</v>
      </c>
      <c r="K119" s="56">
        <f t="shared" si="7"/>
        <v>900000000</v>
      </c>
      <c r="L119" s="94">
        <v>900000000</v>
      </c>
      <c r="M119" s="94">
        <f>VLOOKUP(H119,BUNGA!$C$97:$D$98,2,0)</f>
        <v>1</v>
      </c>
      <c r="N119" s="4" t="s">
        <v>579</v>
      </c>
      <c r="O119" s="102">
        <v>0</v>
      </c>
      <c r="P119" s="12">
        <v>0</v>
      </c>
      <c r="Q119" s="12">
        <v>0</v>
      </c>
      <c r="R119" s="12">
        <v>0</v>
      </c>
      <c r="S119" s="12">
        <v>0</v>
      </c>
    </row>
    <row r="120" spans="1:19" s="3" customFormat="1" ht="30" customHeight="1" x14ac:dyDescent="0.2">
      <c r="A120" s="4">
        <f t="shared" si="8"/>
        <v>113</v>
      </c>
      <c r="B120" s="5" t="str">
        <f t="shared" si="10"/>
        <v>0305</v>
      </c>
      <c r="C120" s="23" t="s">
        <v>42</v>
      </c>
      <c r="D120" s="4" t="s">
        <v>225</v>
      </c>
      <c r="E120" s="23" t="s">
        <v>713</v>
      </c>
      <c r="F120" s="5" t="s">
        <v>909</v>
      </c>
      <c r="G120" s="4" t="s">
        <v>759</v>
      </c>
      <c r="H120" s="4" t="s">
        <v>376</v>
      </c>
      <c r="I120" s="75">
        <f t="shared" si="9"/>
        <v>1200000000</v>
      </c>
      <c r="J120" s="4">
        <v>2025</v>
      </c>
      <c r="K120" s="56">
        <f t="shared" si="7"/>
        <v>1200000000</v>
      </c>
      <c r="L120" s="94">
        <v>1200000000</v>
      </c>
      <c r="M120" s="94">
        <f>VLOOKUP(H120,BUNGA!$C$97:$D$98,2,0)</f>
        <v>1</v>
      </c>
      <c r="N120" s="4" t="s">
        <v>579</v>
      </c>
      <c r="O120" s="102">
        <v>0</v>
      </c>
      <c r="P120" s="12">
        <v>0</v>
      </c>
      <c r="Q120" s="12">
        <v>0</v>
      </c>
      <c r="R120" s="12">
        <v>0</v>
      </c>
      <c r="S120" s="12">
        <v>0</v>
      </c>
    </row>
    <row r="121" spans="1:19" s="3" customFormat="1" ht="30" customHeight="1" x14ac:dyDescent="0.2">
      <c r="A121" s="4">
        <f t="shared" si="8"/>
        <v>114</v>
      </c>
      <c r="B121" s="5" t="str">
        <f t="shared" si="10"/>
        <v>0305</v>
      </c>
      <c r="C121" s="23" t="s">
        <v>42</v>
      </c>
      <c r="D121" s="4" t="s">
        <v>225</v>
      </c>
      <c r="E121" s="23" t="s">
        <v>713</v>
      </c>
      <c r="F121" s="5" t="s">
        <v>910</v>
      </c>
      <c r="G121" s="4" t="s">
        <v>759</v>
      </c>
      <c r="H121" s="4" t="s">
        <v>375</v>
      </c>
      <c r="I121" s="75">
        <f t="shared" si="9"/>
        <v>1122012206</v>
      </c>
      <c r="J121" s="4">
        <v>2025</v>
      </c>
      <c r="K121" s="56">
        <f t="shared" si="7"/>
        <v>1122012206</v>
      </c>
      <c r="L121" s="94">
        <v>66878</v>
      </c>
      <c r="M121" s="94">
        <f>VLOOKUP(H121,BUNGA!$C$97:$D$98,2,0)</f>
        <v>16777</v>
      </c>
      <c r="N121" s="4" t="s">
        <v>579</v>
      </c>
      <c r="O121" s="102">
        <v>0</v>
      </c>
      <c r="P121" s="12">
        <v>0</v>
      </c>
      <c r="Q121" s="12">
        <v>0</v>
      </c>
      <c r="R121" s="12">
        <v>0</v>
      </c>
      <c r="S121" s="12">
        <v>0</v>
      </c>
    </row>
    <row r="122" spans="1:19" s="3" customFormat="1" ht="30" customHeight="1" x14ac:dyDescent="0.2">
      <c r="A122" s="4">
        <f t="shared" si="8"/>
        <v>115</v>
      </c>
      <c r="B122" s="5" t="str">
        <f t="shared" si="10"/>
        <v>0305</v>
      </c>
      <c r="C122" s="23" t="s">
        <v>42</v>
      </c>
      <c r="D122" s="4" t="s">
        <v>225</v>
      </c>
      <c r="E122" s="23" t="s">
        <v>713</v>
      </c>
      <c r="F122" s="5" t="s">
        <v>911</v>
      </c>
      <c r="G122" s="4" t="s">
        <v>759</v>
      </c>
      <c r="H122" s="4" t="s">
        <v>375</v>
      </c>
      <c r="I122" s="75">
        <f t="shared" si="9"/>
        <v>2368912400</v>
      </c>
      <c r="J122" s="4">
        <v>2025</v>
      </c>
      <c r="K122" s="56">
        <f t="shared" si="7"/>
        <v>2368912400</v>
      </c>
      <c r="L122" s="94">
        <v>141200</v>
      </c>
      <c r="M122" s="94">
        <f>VLOOKUP(H122,BUNGA!$C$97:$D$98,2,0)</f>
        <v>16777</v>
      </c>
      <c r="N122" s="4" t="s">
        <v>579</v>
      </c>
      <c r="O122" s="102">
        <v>0</v>
      </c>
      <c r="P122" s="12">
        <v>0</v>
      </c>
      <c r="Q122" s="12">
        <v>0</v>
      </c>
      <c r="R122" s="12">
        <v>0</v>
      </c>
      <c r="S122" s="12">
        <v>0</v>
      </c>
    </row>
    <row r="123" spans="1:19" s="3" customFormat="1" ht="30" customHeight="1" x14ac:dyDescent="0.2">
      <c r="A123" s="4">
        <f t="shared" si="8"/>
        <v>116</v>
      </c>
      <c r="B123" s="5" t="str">
        <f t="shared" si="10"/>
        <v>0305</v>
      </c>
      <c r="C123" s="23" t="s">
        <v>42</v>
      </c>
      <c r="D123" s="4" t="s">
        <v>225</v>
      </c>
      <c r="E123" s="23" t="s">
        <v>713</v>
      </c>
      <c r="F123" s="5" t="s">
        <v>912</v>
      </c>
      <c r="G123" s="4" t="s">
        <v>759</v>
      </c>
      <c r="H123" s="4" t="s">
        <v>375</v>
      </c>
      <c r="I123" s="75">
        <f t="shared" si="9"/>
        <v>2522421950</v>
      </c>
      <c r="J123" s="4">
        <v>2025</v>
      </c>
      <c r="K123" s="56">
        <f t="shared" si="7"/>
        <v>2522421950</v>
      </c>
      <c r="L123" s="94">
        <v>150350</v>
      </c>
      <c r="M123" s="94">
        <f>VLOOKUP(H123,BUNGA!$C$97:$D$98,2,0)</f>
        <v>16777</v>
      </c>
      <c r="N123" s="4" t="s">
        <v>579</v>
      </c>
      <c r="O123" s="102">
        <v>0</v>
      </c>
      <c r="P123" s="12">
        <v>0</v>
      </c>
      <c r="Q123" s="12">
        <v>0</v>
      </c>
      <c r="R123" s="12">
        <v>0</v>
      </c>
      <c r="S123" s="12">
        <v>0</v>
      </c>
    </row>
    <row r="124" spans="1:19" s="3" customFormat="1" ht="30" customHeight="1" x14ac:dyDescent="0.2">
      <c r="A124" s="4">
        <f t="shared" si="8"/>
        <v>117</v>
      </c>
      <c r="B124" s="5" t="str">
        <f t="shared" si="10"/>
        <v>0305</v>
      </c>
      <c r="C124" s="23" t="s">
        <v>42</v>
      </c>
      <c r="D124" s="4" t="s">
        <v>225</v>
      </c>
      <c r="E124" s="23" t="s">
        <v>380</v>
      </c>
      <c r="F124" s="5" t="s">
        <v>852</v>
      </c>
      <c r="G124" s="4" t="s">
        <v>786</v>
      </c>
      <c r="H124" s="4" t="s">
        <v>376</v>
      </c>
      <c r="I124" s="75">
        <f t="shared" si="9"/>
        <v>1000000000</v>
      </c>
      <c r="J124" s="4">
        <v>2025</v>
      </c>
      <c r="K124" s="56">
        <f t="shared" si="7"/>
        <v>1000000000</v>
      </c>
      <c r="L124" s="94">
        <v>1000000000</v>
      </c>
      <c r="M124" s="94">
        <f>VLOOKUP(H124,BUNGA!$C$97:$D$98,2,0)</f>
        <v>1</v>
      </c>
      <c r="N124" s="4" t="s">
        <v>578</v>
      </c>
      <c r="O124" s="102">
        <v>1000000000</v>
      </c>
      <c r="P124" s="12">
        <v>1000000000</v>
      </c>
      <c r="Q124" s="12">
        <v>1000000000</v>
      </c>
      <c r="R124" s="12">
        <v>1000000000</v>
      </c>
      <c r="S124" s="12">
        <v>1000000000</v>
      </c>
    </row>
    <row r="125" spans="1:19" s="3" customFormat="1" ht="30" customHeight="1" x14ac:dyDescent="0.2">
      <c r="A125" s="4">
        <f t="shared" si="8"/>
        <v>118</v>
      </c>
      <c r="B125" s="5" t="str">
        <f t="shared" si="10"/>
        <v>0305</v>
      </c>
      <c r="C125" s="23" t="s">
        <v>42</v>
      </c>
      <c r="D125" s="4" t="s">
        <v>225</v>
      </c>
      <c r="E125" s="23" t="s">
        <v>380</v>
      </c>
      <c r="F125" s="5" t="s">
        <v>852</v>
      </c>
      <c r="G125" s="4" t="s">
        <v>786</v>
      </c>
      <c r="H125" s="4" t="s">
        <v>376</v>
      </c>
      <c r="I125" s="75">
        <f t="shared" si="9"/>
        <v>1406117000</v>
      </c>
      <c r="J125" s="4">
        <v>2025</v>
      </c>
      <c r="K125" s="56">
        <f t="shared" si="7"/>
        <v>1406117000</v>
      </c>
      <c r="L125" s="94">
        <v>1406117000</v>
      </c>
      <c r="M125" s="94">
        <f>VLOOKUP(H125,BUNGA!$C$97:$D$98,2,0)</f>
        <v>1</v>
      </c>
      <c r="N125" s="4" t="s">
        <v>579</v>
      </c>
      <c r="O125" s="102">
        <v>2100000000</v>
      </c>
      <c r="P125" s="12">
        <v>2100000000</v>
      </c>
      <c r="Q125" s="12">
        <v>2100000000</v>
      </c>
      <c r="R125" s="12">
        <v>2100000000</v>
      </c>
      <c r="S125" s="12">
        <v>2100000000</v>
      </c>
    </row>
    <row r="126" spans="1:19" s="3" customFormat="1" ht="30" customHeight="1" x14ac:dyDescent="0.2">
      <c r="A126" s="4">
        <f t="shared" si="8"/>
        <v>119</v>
      </c>
      <c r="B126" s="5" t="str">
        <f t="shared" si="10"/>
        <v>0305</v>
      </c>
      <c r="C126" s="23" t="s">
        <v>42</v>
      </c>
      <c r="D126" s="4" t="s">
        <v>225</v>
      </c>
      <c r="E126" s="23" t="s">
        <v>380</v>
      </c>
      <c r="F126" s="5" t="s">
        <v>838</v>
      </c>
      <c r="G126" s="4" t="s">
        <v>786</v>
      </c>
      <c r="H126" s="4" t="s">
        <v>375</v>
      </c>
      <c r="I126" s="75">
        <f t="shared" si="9"/>
        <v>8762476107</v>
      </c>
      <c r="J126" s="4">
        <v>2025</v>
      </c>
      <c r="K126" s="56">
        <f t="shared" si="7"/>
        <v>8762476107</v>
      </c>
      <c r="L126" s="94">
        <v>522291</v>
      </c>
      <c r="M126" s="94">
        <f>VLOOKUP(H126,BUNGA!$C$97:$D$98,2,0)</f>
        <v>16777</v>
      </c>
      <c r="N126" s="4" t="s">
        <v>578</v>
      </c>
      <c r="O126" s="102">
        <v>8494924905</v>
      </c>
      <c r="P126" s="12">
        <v>8958100000</v>
      </c>
      <c r="Q126" s="12">
        <v>7636230000</v>
      </c>
      <c r="R126" s="12">
        <v>4431140000</v>
      </c>
      <c r="S126" s="12">
        <v>4410680000</v>
      </c>
    </row>
    <row r="127" spans="1:19" s="3" customFormat="1" ht="30" customHeight="1" x14ac:dyDescent="0.2">
      <c r="A127" s="4">
        <f t="shared" si="8"/>
        <v>120</v>
      </c>
      <c r="B127" s="5" t="str">
        <f t="shared" si="10"/>
        <v>0305</v>
      </c>
      <c r="C127" s="23" t="s">
        <v>42</v>
      </c>
      <c r="D127" s="4" t="s">
        <v>225</v>
      </c>
      <c r="E127" s="23" t="s">
        <v>380</v>
      </c>
      <c r="F127" s="5" t="s">
        <v>839</v>
      </c>
      <c r="G127" s="4" t="s">
        <v>786</v>
      </c>
      <c r="H127" s="4" t="s">
        <v>375</v>
      </c>
      <c r="I127" s="75">
        <f t="shared" si="9"/>
        <v>3105808571</v>
      </c>
      <c r="J127" s="4">
        <v>2025</v>
      </c>
      <c r="K127" s="56">
        <f t="shared" si="7"/>
        <v>3105808571</v>
      </c>
      <c r="L127" s="94">
        <v>185123</v>
      </c>
      <c r="M127" s="94">
        <f>VLOOKUP(H127,BUNGA!$C$97:$D$98,2,0)</f>
        <v>16777</v>
      </c>
      <c r="N127" s="4" t="s">
        <v>579</v>
      </c>
      <c r="O127" s="102">
        <v>4023750000</v>
      </c>
      <c r="P127" s="12">
        <v>3875000000</v>
      </c>
      <c r="Q127" s="12">
        <v>3875000000</v>
      </c>
      <c r="R127" s="12">
        <v>3573500000</v>
      </c>
      <c r="S127" s="12">
        <v>3557000000</v>
      </c>
    </row>
    <row r="128" spans="1:19" s="3" customFormat="1" ht="30" customHeight="1" x14ac:dyDescent="0.2">
      <c r="A128" s="4">
        <f t="shared" si="8"/>
        <v>121</v>
      </c>
      <c r="B128" s="5" t="str">
        <f t="shared" si="10"/>
        <v>0305</v>
      </c>
      <c r="C128" s="23" t="s">
        <v>42</v>
      </c>
      <c r="D128" s="4" t="s">
        <v>225</v>
      </c>
      <c r="E128" s="23" t="s">
        <v>380</v>
      </c>
      <c r="F128" s="5" t="s">
        <v>914</v>
      </c>
      <c r="G128" s="4" t="s">
        <v>786</v>
      </c>
      <c r="H128" s="4" t="s">
        <v>375</v>
      </c>
      <c r="I128" s="75">
        <f t="shared" si="9"/>
        <v>997627528</v>
      </c>
      <c r="J128" s="4">
        <v>2025</v>
      </c>
      <c r="K128" s="56">
        <f t="shared" si="7"/>
        <v>997627528</v>
      </c>
      <c r="L128" s="94">
        <v>59464</v>
      </c>
      <c r="M128" s="94">
        <f>VLOOKUP(H128,BUNGA!$C$97:$D$98,2,0)</f>
        <v>16777</v>
      </c>
      <c r="N128" s="4" t="s">
        <v>578</v>
      </c>
      <c r="O128" s="102">
        <v>965700000</v>
      </c>
      <c r="P128" s="102">
        <v>0</v>
      </c>
      <c r="Q128" s="102">
        <v>0</v>
      </c>
      <c r="R128" s="102">
        <v>0</v>
      </c>
      <c r="S128" s="102">
        <v>0</v>
      </c>
    </row>
    <row r="129" spans="1:19" s="3" customFormat="1" ht="30" customHeight="1" x14ac:dyDescent="0.2">
      <c r="A129" s="4">
        <f t="shared" si="8"/>
        <v>122</v>
      </c>
      <c r="B129" s="5" t="str">
        <f t="shared" si="10"/>
        <v>0307</v>
      </c>
      <c r="C129" s="23" t="s">
        <v>188</v>
      </c>
      <c r="D129" s="4" t="s">
        <v>225</v>
      </c>
      <c r="E129" s="23" t="s">
        <v>380</v>
      </c>
      <c r="F129" s="5" t="s">
        <v>915</v>
      </c>
      <c r="G129" s="4" t="s">
        <v>786</v>
      </c>
      <c r="H129" s="4" t="s">
        <v>376</v>
      </c>
      <c r="I129" s="75">
        <f t="shared" si="9"/>
        <v>982814691</v>
      </c>
      <c r="J129" s="4">
        <v>2025</v>
      </c>
      <c r="K129" s="56">
        <f t="shared" si="7"/>
        <v>982814691</v>
      </c>
      <c r="L129" s="94">
        <v>982814691</v>
      </c>
      <c r="M129" s="94">
        <f>VLOOKUP(H129,BUNGA!$C$97:$D$98,2,0)</f>
        <v>1</v>
      </c>
      <c r="N129" s="4" t="s">
        <v>578</v>
      </c>
      <c r="O129" s="102">
        <v>0</v>
      </c>
      <c r="P129" s="102">
        <v>0</v>
      </c>
      <c r="Q129" s="102">
        <v>0</v>
      </c>
      <c r="R129" s="102">
        <v>0</v>
      </c>
      <c r="S129" s="102">
        <v>0</v>
      </c>
    </row>
    <row r="130" spans="1:19" s="3" customFormat="1" ht="30" customHeight="1" x14ac:dyDescent="0.2">
      <c r="A130" s="4">
        <f t="shared" si="8"/>
        <v>123</v>
      </c>
      <c r="B130" s="5" t="str">
        <f t="shared" si="10"/>
        <v>0305</v>
      </c>
      <c r="C130" s="23" t="s">
        <v>42</v>
      </c>
      <c r="D130" s="4" t="s">
        <v>225</v>
      </c>
      <c r="E130" s="23" t="s">
        <v>380</v>
      </c>
      <c r="F130" s="5" t="s">
        <v>916</v>
      </c>
      <c r="G130" s="4" t="s">
        <v>786</v>
      </c>
      <c r="H130" s="4" t="s">
        <v>375</v>
      </c>
      <c r="I130" s="75">
        <f t="shared" si="9"/>
        <v>1027188602</v>
      </c>
      <c r="J130" s="4">
        <v>2025</v>
      </c>
      <c r="K130" s="56">
        <f t="shared" si="7"/>
        <v>1027188602</v>
      </c>
      <c r="L130" s="94">
        <v>61226</v>
      </c>
      <c r="M130" s="94">
        <f>VLOOKUP(H130,BUNGA!$C$97:$D$98,2,0)</f>
        <v>16777</v>
      </c>
      <c r="N130" s="4" t="s">
        <v>579</v>
      </c>
      <c r="O130" s="102">
        <v>0</v>
      </c>
      <c r="P130" s="102">
        <v>0</v>
      </c>
      <c r="Q130" s="102">
        <v>0</v>
      </c>
      <c r="R130" s="102">
        <v>0</v>
      </c>
      <c r="S130" s="102">
        <v>0</v>
      </c>
    </row>
    <row r="131" spans="1:19" s="3" customFormat="1" ht="30" customHeight="1" x14ac:dyDescent="0.2">
      <c r="A131" s="4">
        <f t="shared" si="8"/>
        <v>124</v>
      </c>
      <c r="B131" s="5" t="str">
        <f t="shared" si="10"/>
        <v>0305</v>
      </c>
      <c r="C131" s="23" t="s">
        <v>42</v>
      </c>
      <c r="D131" s="4" t="s">
        <v>225</v>
      </c>
      <c r="E131" s="23" t="s">
        <v>380</v>
      </c>
      <c r="F131" s="5" t="s">
        <v>872</v>
      </c>
      <c r="G131" s="4" t="s">
        <v>786</v>
      </c>
      <c r="H131" s="4" t="s">
        <v>375</v>
      </c>
      <c r="I131" s="75">
        <f t="shared" si="9"/>
        <v>1778160676</v>
      </c>
      <c r="J131" s="4">
        <v>2025</v>
      </c>
      <c r="K131" s="56">
        <f t="shared" si="7"/>
        <v>1778160676</v>
      </c>
      <c r="L131" s="94">
        <v>105988</v>
      </c>
      <c r="M131" s="94">
        <f>VLOOKUP(H131,BUNGA!$C$97:$D$98,2,0)</f>
        <v>16777</v>
      </c>
      <c r="N131" s="4" t="s">
        <v>579</v>
      </c>
      <c r="O131" s="102">
        <v>0</v>
      </c>
      <c r="P131" s="102">
        <v>0</v>
      </c>
      <c r="Q131" s="102">
        <v>0</v>
      </c>
      <c r="R131" s="102">
        <v>0</v>
      </c>
      <c r="S131" s="102">
        <v>0</v>
      </c>
    </row>
    <row r="132" spans="1:19" s="3" customFormat="1" ht="30" customHeight="1" x14ac:dyDescent="0.2">
      <c r="A132" s="4">
        <f t="shared" si="8"/>
        <v>125</v>
      </c>
      <c r="B132" s="5" t="str">
        <f t="shared" si="10"/>
        <v>0307</v>
      </c>
      <c r="C132" s="23" t="s">
        <v>188</v>
      </c>
      <c r="D132" s="4" t="s">
        <v>225</v>
      </c>
      <c r="E132" s="23" t="s">
        <v>380</v>
      </c>
      <c r="F132" s="5" t="s">
        <v>917</v>
      </c>
      <c r="G132" s="4" t="s">
        <v>786</v>
      </c>
      <c r="H132" s="4" t="s">
        <v>376</v>
      </c>
      <c r="I132" s="75">
        <f t="shared" si="9"/>
        <v>2017035138</v>
      </c>
      <c r="J132" s="4">
        <v>2025</v>
      </c>
      <c r="K132" s="56">
        <f t="shared" si="7"/>
        <v>2017035138</v>
      </c>
      <c r="L132" s="94">
        <v>2017035138</v>
      </c>
      <c r="M132" s="94">
        <f>VLOOKUP(H132,BUNGA!$C$97:$D$98,2,0)</f>
        <v>1</v>
      </c>
      <c r="N132" s="4" t="s">
        <v>579</v>
      </c>
      <c r="O132" s="102">
        <v>0</v>
      </c>
      <c r="P132" s="102">
        <v>0</v>
      </c>
      <c r="Q132" s="102">
        <v>0</v>
      </c>
      <c r="R132" s="102">
        <v>0</v>
      </c>
      <c r="S132" s="102">
        <v>0</v>
      </c>
    </row>
    <row r="133" spans="1:19" s="3" customFormat="1" ht="30" customHeight="1" x14ac:dyDescent="0.2">
      <c r="A133" s="4">
        <f t="shared" si="8"/>
        <v>126</v>
      </c>
      <c r="B133" s="5" t="str">
        <f t="shared" si="10"/>
        <v>0305</v>
      </c>
      <c r="C133" s="23" t="s">
        <v>42</v>
      </c>
      <c r="D133" s="4" t="s">
        <v>225</v>
      </c>
      <c r="E133" s="23" t="s">
        <v>924</v>
      </c>
      <c r="F133" s="5" t="s">
        <v>913</v>
      </c>
      <c r="G133" s="4" t="s">
        <v>923</v>
      </c>
      <c r="H133" s="4" t="s">
        <v>375</v>
      </c>
      <c r="I133" s="75">
        <f t="shared" si="9"/>
        <v>2516550000</v>
      </c>
      <c r="J133" s="4">
        <v>2025</v>
      </c>
      <c r="K133" s="56">
        <f t="shared" si="7"/>
        <v>2516550000</v>
      </c>
      <c r="L133" s="94">
        <v>150000</v>
      </c>
      <c r="M133" s="94">
        <f>VLOOKUP(H133,BUNGA!$C$97:$D$98,2,0)</f>
        <v>16777</v>
      </c>
      <c r="N133" s="4" t="s">
        <v>579</v>
      </c>
      <c r="O133" s="102">
        <v>2316750000</v>
      </c>
      <c r="P133" s="12">
        <v>2316750000</v>
      </c>
      <c r="Q133" s="12">
        <v>2325000000</v>
      </c>
      <c r="R133" s="12">
        <v>2144100000</v>
      </c>
      <c r="S133" s="12">
        <v>2134200000</v>
      </c>
    </row>
    <row r="134" spans="1:19" s="3" customFormat="1" ht="30" customHeight="1" x14ac:dyDescent="0.2">
      <c r="A134" s="4">
        <f>A132+1</f>
        <v>126</v>
      </c>
      <c r="B134" s="5" t="str">
        <f t="shared" si="10"/>
        <v>0302</v>
      </c>
      <c r="C134" s="23" t="s">
        <v>37</v>
      </c>
      <c r="D134" s="4" t="s">
        <v>225</v>
      </c>
      <c r="E134" s="23" t="s">
        <v>819</v>
      </c>
      <c r="F134" s="5" t="s">
        <v>819</v>
      </c>
      <c r="G134" s="4" t="s">
        <v>30</v>
      </c>
      <c r="H134" s="4" t="s">
        <v>376</v>
      </c>
      <c r="I134" s="75">
        <f t="shared" si="9"/>
        <v>40000000</v>
      </c>
      <c r="J134" s="4">
        <v>2025</v>
      </c>
      <c r="K134" s="56">
        <f t="shared" si="7"/>
        <v>40000000</v>
      </c>
      <c r="L134" s="94">
        <v>40000000</v>
      </c>
      <c r="M134" s="94">
        <f>VLOOKUP(H134,BUNGA!$C$97:$D$98,2,0)</f>
        <v>1</v>
      </c>
      <c r="N134" s="4" t="s">
        <v>578</v>
      </c>
      <c r="O134" s="102">
        <v>40000000</v>
      </c>
      <c r="P134" s="102">
        <v>40000000</v>
      </c>
      <c r="Q134" s="102">
        <v>40000000</v>
      </c>
      <c r="R134" s="102">
        <v>40000000</v>
      </c>
      <c r="S134" s="102">
        <v>40000000</v>
      </c>
    </row>
    <row r="135" spans="1:19" s="3" customFormat="1" ht="30" customHeight="1" x14ac:dyDescent="0.2">
      <c r="A135" s="4">
        <f t="shared" si="8"/>
        <v>127</v>
      </c>
      <c r="B135" s="5" t="str">
        <f t="shared" ref="B135:B137" si="11">VLOOKUP(C135,$V:$W,2,0)</f>
        <v>0302</v>
      </c>
      <c r="C135" s="23" t="s">
        <v>37</v>
      </c>
      <c r="D135" s="4" t="s">
        <v>225</v>
      </c>
      <c r="E135" s="23" t="s">
        <v>820</v>
      </c>
      <c r="F135" s="5" t="s">
        <v>820</v>
      </c>
      <c r="G135" s="4" t="s">
        <v>30</v>
      </c>
      <c r="H135" s="4" t="s">
        <v>376</v>
      </c>
      <c r="I135" s="75">
        <f t="shared" si="9"/>
        <v>1680000000</v>
      </c>
      <c r="J135" s="4">
        <v>2025</v>
      </c>
      <c r="K135" s="56">
        <f t="shared" ref="K135:K137" si="12">ROUNDDOWN(L135*M135,0)</f>
        <v>1680000000</v>
      </c>
      <c r="L135" s="94">
        <v>1680000000</v>
      </c>
      <c r="M135" s="94">
        <f>VLOOKUP(H135,BUNGA!$C$97:$D$98,2,0)</f>
        <v>1</v>
      </c>
      <c r="N135" s="4" t="s">
        <v>578</v>
      </c>
      <c r="O135" s="102">
        <v>1680000000</v>
      </c>
      <c r="P135" s="102">
        <v>1680000000</v>
      </c>
      <c r="Q135" s="102">
        <v>1680000000</v>
      </c>
      <c r="R135" s="102">
        <v>1680000000</v>
      </c>
      <c r="S135" s="102">
        <v>1680000000</v>
      </c>
    </row>
    <row r="136" spans="1:19" s="3" customFormat="1" ht="30" customHeight="1" x14ac:dyDescent="0.2">
      <c r="A136" s="4">
        <f t="shared" si="8"/>
        <v>128</v>
      </c>
      <c r="B136" s="5" t="str">
        <f t="shared" si="11"/>
        <v>0302</v>
      </c>
      <c r="C136" s="23" t="s">
        <v>37</v>
      </c>
      <c r="D136" s="4" t="s">
        <v>225</v>
      </c>
      <c r="E136" s="23" t="s">
        <v>821</v>
      </c>
      <c r="F136" s="5" t="s">
        <v>821</v>
      </c>
      <c r="G136" s="4" t="s">
        <v>30</v>
      </c>
      <c r="H136" s="4" t="s">
        <v>376</v>
      </c>
      <c r="I136" s="75">
        <f t="shared" si="9"/>
        <v>250000000</v>
      </c>
      <c r="J136" s="4">
        <v>2025</v>
      </c>
      <c r="K136" s="56">
        <f t="shared" si="12"/>
        <v>250000000</v>
      </c>
      <c r="L136" s="94">
        <v>250000000</v>
      </c>
      <c r="M136" s="94">
        <f>VLOOKUP(H136,BUNGA!$C$97:$D$98,2,0)</f>
        <v>1</v>
      </c>
      <c r="N136" s="4" t="s">
        <v>578</v>
      </c>
      <c r="O136" s="102">
        <v>250000000</v>
      </c>
      <c r="P136" s="102">
        <v>250000000</v>
      </c>
      <c r="Q136" s="102">
        <v>250000000</v>
      </c>
      <c r="R136" s="102">
        <v>250000000</v>
      </c>
      <c r="S136" s="102">
        <v>250000000</v>
      </c>
    </row>
    <row r="137" spans="1:19" s="3" customFormat="1" ht="30" customHeight="1" x14ac:dyDescent="0.2">
      <c r="A137" s="4">
        <f t="shared" ref="A137" si="13">A136+1</f>
        <v>129</v>
      </c>
      <c r="B137" s="5" t="str">
        <f t="shared" si="11"/>
        <v>0302</v>
      </c>
      <c r="C137" s="23" t="s">
        <v>37</v>
      </c>
      <c r="D137" s="4" t="s">
        <v>225</v>
      </c>
      <c r="E137" s="23" t="s">
        <v>822</v>
      </c>
      <c r="F137" s="5" t="s">
        <v>822</v>
      </c>
      <c r="G137" s="4" t="s">
        <v>30</v>
      </c>
      <c r="H137" s="4" t="s">
        <v>376</v>
      </c>
      <c r="I137" s="75">
        <f t="shared" si="9"/>
        <v>236000000</v>
      </c>
      <c r="J137" s="4">
        <v>2025</v>
      </c>
      <c r="K137" s="56">
        <f t="shared" si="12"/>
        <v>236000000</v>
      </c>
      <c r="L137" s="94">
        <v>236000000</v>
      </c>
      <c r="M137" s="94">
        <f>VLOOKUP(H137,BUNGA!$C$97:$D$98,2,0)</f>
        <v>1</v>
      </c>
      <c r="N137" s="4" t="s">
        <v>578</v>
      </c>
      <c r="O137" s="102">
        <v>236000000</v>
      </c>
      <c r="P137" s="102">
        <v>236000000</v>
      </c>
      <c r="Q137" s="102">
        <v>236000000</v>
      </c>
      <c r="R137" s="102">
        <v>236000000</v>
      </c>
      <c r="S137" s="102">
        <v>236000000</v>
      </c>
    </row>
    <row r="138" spans="1:19" s="3" customFormat="1" ht="30" customHeight="1" x14ac:dyDescent="0.2">
      <c r="A138" s="4"/>
      <c r="B138" s="5"/>
      <c r="C138" s="23"/>
      <c r="D138" s="4"/>
      <c r="E138" s="23"/>
      <c r="F138" s="5"/>
      <c r="G138" s="4"/>
      <c r="H138" s="4"/>
      <c r="I138" s="75"/>
      <c r="J138" s="4"/>
      <c r="K138" s="56"/>
      <c r="L138" s="94"/>
      <c r="M138" s="94"/>
      <c r="N138" s="4"/>
      <c r="O138" s="102"/>
      <c r="P138" s="102"/>
      <c r="Q138" s="102"/>
      <c r="R138" s="102"/>
      <c r="S138" s="102"/>
    </row>
    <row r="139" spans="1:19" s="3" customFormat="1" ht="30" customHeight="1" x14ac:dyDescent="0.2">
      <c r="A139" s="4"/>
      <c r="B139" s="5"/>
      <c r="C139" s="23"/>
      <c r="D139" s="4"/>
      <c r="E139" s="23"/>
      <c r="F139" s="5"/>
      <c r="G139" s="4"/>
      <c r="H139" s="4"/>
      <c r="I139" s="75"/>
      <c r="J139" s="4"/>
      <c r="K139" s="56"/>
      <c r="L139" s="94"/>
      <c r="M139" s="94"/>
      <c r="N139" s="4"/>
      <c r="O139" s="102"/>
      <c r="P139" s="102"/>
      <c r="Q139" s="102"/>
      <c r="R139" s="102"/>
      <c r="S139" s="102"/>
    </row>
    <row r="140" spans="1:19" s="3" customFormat="1" ht="30" customHeight="1" x14ac:dyDescent="0.2">
      <c r="A140" s="4"/>
      <c r="B140" s="5"/>
      <c r="C140" s="23"/>
      <c r="D140" s="4"/>
      <c r="E140" s="23"/>
      <c r="F140" s="5"/>
      <c r="G140" s="4"/>
      <c r="H140" s="4"/>
      <c r="I140" s="75"/>
      <c r="J140" s="4"/>
      <c r="K140" s="56"/>
      <c r="L140" s="94"/>
      <c r="M140" s="94"/>
      <c r="N140" s="4"/>
      <c r="O140" s="102"/>
      <c r="P140" s="102"/>
      <c r="Q140" s="102"/>
      <c r="R140" s="102"/>
      <c r="S140" s="102"/>
    </row>
    <row r="141" spans="1:19" s="3" customFormat="1" ht="30" customHeight="1" x14ac:dyDescent="0.2">
      <c r="A141" s="4"/>
      <c r="B141" s="5"/>
      <c r="C141" s="103"/>
      <c r="D141" s="62"/>
      <c r="E141" s="103"/>
      <c r="F141" s="63"/>
      <c r="G141" s="62"/>
      <c r="H141" s="62"/>
      <c r="I141" s="104"/>
      <c r="J141" s="62"/>
      <c r="K141" s="105"/>
      <c r="L141" s="106"/>
      <c r="M141" s="106"/>
      <c r="N141" s="62"/>
      <c r="O141" s="107"/>
      <c r="P141" s="107"/>
      <c r="Q141" s="107"/>
      <c r="R141" s="107"/>
      <c r="S141" s="107"/>
    </row>
    <row r="142" spans="1:19" s="3" customFormat="1" ht="30" customHeight="1" x14ac:dyDescent="0.2">
      <c r="A142" s="4"/>
      <c r="B142" s="5"/>
      <c r="C142" s="103"/>
      <c r="D142" s="62"/>
      <c r="E142" s="103"/>
      <c r="F142" s="63"/>
      <c r="G142" s="62"/>
      <c r="H142" s="62"/>
      <c r="I142" s="104"/>
      <c r="J142" s="62"/>
      <c r="K142" s="105"/>
      <c r="L142" s="106"/>
      <c r="M142" s="106"/>
      <c r="N142" s="62"/>
      <c r="O142" s="107"/>
      <c r="P142" s="107"/>
      <c r="Q142" s="107"/>
      <c r="R142" s="107"/>
      <c r="S142" s="107"/>
    </row>
    <row r="143" spans="1:19" s="3" customFormat="1" ht="30" customHeight="1" x14ac:dyDescent="0.2">
      <c r="A143" s="4"/>
      <c r="B143" s="5"/>
      <c r="C143" s="103"/>
      <c r="D143" s="62"/>
      <c r="E143" s="103"/>
      <c r="F143" s="63"/>
      <c r="G143" s="62"/>
      <c r="H143" s="62"/>
      <c r="I143" s="104"/>
      <c r="J143" s="62"/>
      <c r="K143" s="105"/>
      <c r="L143" s="106"/>
      <c r="M143" s="106"/>
      <c r="N143" s="62"/>
      <c r="O143" s="107"/>
      <c r="P143" s="107"/>
      <c r="Q143" s="107"/>
      <c r="R143" s="107"/>
      <c r="S143" s="107"/>
    </row>
    <row r="144" spans="1:19" s="3" customFormat="1" ht="30" customHeight="1" x14ac:dyDescent="0.2">
      <c r="A144" s="4"/>
      <c r="B144" s="5"/>
      <c r="C144" s="103"/>
      <c r="D144" s="62"/>
      <c r="E144" s="103"/>
      <c r="F144" s="63"/>
      <c r="G144" s="62"/>
      <c r="H144" s="62"/>
      <c r="I144" s="104"/>
      <c r="J144" s="62"/>
      <c r="K144" s="105"/>
      <c r="L144" s="106"/>
      <c r="M144" s="106"/>
      <c r="N144" s="62"/>
      <c r="O144" s="107"/>
      <c r="P144" s="107"/>
      <c r="Q144" s="107"/>
      <c r="R144" s="107"/>
      <c r="S144" s="107"/>
    </row>
    <row r="145" spans="1:19" s="3" customFormat="1" ht="30" customHeight="1" x14ac:dyDescent="0.2">
      <c r="A145" s="4"/>
      <c r="B145" s="5"/>
      <c r="C145" s="103"/>
      <c r="D145" s="62"/>
      <c r="E145" s="103"/>
      <c r="F145" s="63"/>
      <c r="G145" s="62"/>
      <c r="H145" s="62"/>
      <c r="I145" s="104"/>
      <c r="J145" s="62"/>
      <c r="K145" s="105"/>
      <c r="L145" s="106"/>
      <c r="M145" s="106"/>
      <c r="N145" s="62"/>
      <c r="O145" s="107"/>
      <c r="P145" s="107"/>
      <c r="Q145" s="107"/>
      <c r="R145" s="107"/>
      <c r="S145" s="107"/>
    </row>
    <row r="146" spans="1:19" s="3" customFormat="1" ht="30" customHeight="1" x14ac:dyDescent="0.2">
      <c r="A146" s="4"/>
      <c r="B146" s="5"/>
      <c r="C146" s="103"/>
      <c r="D146" s="62"/>
      <c r="E146" s="103"/>
      <c r="F146" s="63"/>
      <c r="G146" s="62"/>
      <c r="H146" s="62"/>
      <c r="I146" s="104"/>
      <c r="J146" s="62"/>
      <c r="K146" s="105"/>
      <c r="L146" s="106"/>
      <c r="M146" s="106"/>
      <c r="N146" s="62"/>
      <c r="O146" s="107"/>
      <c r="P146" s="107"/>
      <c r="Q146" s="107"/>
      <c r="R146" s="107"/>
      <c r="S146" s="107"/>
    </row>
    <row r="147" spans="1:19" s="3" customFormat="1" ht="30" customHeight="1" x14ac:dyDescent="0.2">
      <c r="A147" s="4"/>
      <c r="B147" s="5"/>
      <c r="C147" s="103"/>
      <c r="D147" s="62"/>
      <c r="E147" s="103"/>
      <c r="F147" s="63"/>
      <c r="G147" s="62"/>
      <c r="H147" s="62"/>
      <c r="I147" s="104"/>
      <c r="J147" s="62"/>
      <c r="K147" s="105"/>
      <c r="L147" s="106"/>
      <c r="M147" s="106"/>
      <c r="N147" s="62"/>
      <c r="O147" s="107"/>
      <c r="P147" s="107"/>
      <c r="Q147" s="107"/>
      <c r="R147" s="107"/>
      <c r="S147" s="107"/>
    </row>
    <row r="148" spans="1:19" s="3" customFormat="1" ht="30" customHeight="1" x14ac:dyDescent="0.2">
      <c r="A148" s="4"/>
      <c r="B148" s="5"/>
      <c r="C148" s="103"/>
      <c r="D148" s="62"/>
      <c r="E148" s="103"/>
      <c r="F148" s="63"/>
      <c r="G148" s="62"/>
      <c r="H148" s="62"/>
      <c r="I148" s="104"/>
      <c r="J148" s="62"/>
      <c r="K148" s="105"/>
      <c r="L148" s="106"/>
      <c r="M148" s="106"/>
      <c r="N148" s="62"/>
      <c r="O148" s="107"/>
      <c r="P148" s="107"/>
      <c r="Q148" s="107"/>
      <c r="R148" s="107"/>
      <c r="S148" s="107"/>
    </row>
    <row r="149" spans="1:19" s="3" customFormat="1" ht="30" customHeight="1" x14ac:dyDescent="0.2">
      <c r="A149" s="4"/>
      <c r="B149" s="5"/>
      <c r="C149" s="103"/>
      <c r="D149" s="62"/>
      <c r="E149" s="103"/>
      <c r="F149" s="63"/>
      <c r="G149" s="62"/>
      <c r="H149" s="62"/>
      <c r="I149" s="104"/>
      <c r="J149" s="62"/>
      <c r="K149" s="105"/>
      <c r="L149" s="106"/>
      <c r="M149" s="106"/>
      <c r="N149" s="62"/>
      <c r="O149" s="107"/>
      <c r="P149" s="107"/>
      <c r="Q149" s="107"/>
      <c r="R149" s="107"/>
      <c r="S149" s="107"/>
    </row>
    <row r="150" spans="1:19" s="3" customFormat="1" ht="30" customHeight="1" x14ac:dyDescent="0.2">
      <c r="A150" s="4"/>
      <c r="B150" s="5"/>
      <c r="C150" s="103"/>
      <c r="D150" s="62"/>
      <c r="E150" s="103"/>
      <c r="F150" s="63"/>
      <c r="G150" s="62"/>
      <c r="H150" s="62"/>
      <c r="I150" s="104"/>
      <c r="J150" s="62"/>
      <c r="K150" s="105"/>
      <c r="L150" s="106"/>
      <c r="M150" s="106"/>
      <c r="N150" s="62"/>
      <c r="O150" s="107"/>
      <c r="P150" s="107"/>
      <c r="Q150" s="107"/>
      <c r="R150" s="107"/>
      <c r="S150" s="107"/>
    </row>
    <row r="151" spans="1:19" s="3" customFormat="1" ht="30" customHeight="1" x14ac:dyDescent="0.2">
      <c r="A151" s="4"/>
      <c r="B151" s="5"/>
      <c r="C151" s="103"/>
      <c r="D151" s="62"/>
      <c r="E151" s="103"/>
      <c r="F151" s="63"/>
      <c r="G151" s="62"/>
      <c r="H151" s="62"/>
      <c r="I151" s="104"/>
      <c r="J151" s="62"/>
      <c r="K151" s="105"/>
      <c r="L151" s="106"/>
      <c r="M151" s="106"/>
      <c r="N151" s="62"/>
      <c r="O151" s="107"/>
      <c r="P151" s="107"/>
      <c r="Q151" s="107"/>
      <c r="R151" s="107"/>
      <c r="S151" s="107"/>
    </row>
    <row r="152" spans="1:19" s="3" customFormat="1" ht="30" customHeight="1" x14ac:dyDescent="0.2">
      <c r="A152" s="4"/>
      <c r="B152" s="5"/>
      <c r="C152" s="103"/>
      <c r="D152" s="62"/>
      <c r="E152" s="103"/>
      <c r="F152" s="63"/>
      <c r="G152" s="62"/>
      <c r="H152" s="62"/>
      <c r="I152" s="104"/>
      <c r="J152" s="62"/>
      <c r="K152" s="105"/>
      <c r="L152" s="106"/>
      <c r="M152" s="106"/>
      <c r="N152" s="62"/>
      <c r="O152" s="107"/>
      <c r="P152" s="107"/>
      <c r="Q152" s="107"/>
      <c r="R152" s="107"/>
      <c r="S152" s="107"/>
    </row>
    <row r="153" spans="1:19" s="3" customFormat="1" ht="30" customHeight="1" x14ac:dyDescent="0.2">
      <c r="A153" s="4"/>
      <c r="B153" s="5"/>
      <c r="C153" s="103"/>
      <c r="D153" s="62"/>
      <c r="E153" s="103"/>
      <c r="F153" s="63"/>
      <c r="G153" s="62"/>
      <c r="H153" s="62"/>
      <c r="I153" s="104"/>
      <c r="J153" s="62"/>
      <c r="K153" s="105"/>
      <c r="L153" s="106"/>
      <c r="M153" s="106"/>
      <c r="N153" s="62"/>
      <c r="O153" s="107"/>
      <c r="P153" s="107"/>
      <c r="Q153" s="107"/>
      <c r="R153" s="107"/>
      <c r="S153" s="107"/>
    </row>
    <row r="154" spans="1:19" s="3" customFormat="1" ht="30" customHeight="1" x14ac:dyDescent="0.2">
      <c r="A154" s="4"/>
      <c r="B154" s="5"/>
      <c r="C154" s="103"/>
      <c r="D154" s="62"/>
      <c r="E154" s="103"/>
      <c r="F154" s="63"/>
      <c r="G154" s="62"/>
      <c r="H154" s="62"/>
      <c r="I154" s="104"/>
      <c r="J154" s="62"/>
      <c r="K154" s="105"/>
      <c r="L154" s="106"/>
      <c r="M154" s="106"/>
      <c r="N154" s="62"/>
      <c r="O154" s="107"/>
      <c r="P154" s="107"/>
      <c r="Q154" s="107"/>
      <c r="R154" s="107"/>
      <c r="S154" s="107"/>
    </row>
    <row r="155" spans="1:19" s="3" customFormat="1" ht="30" customHeight="1" x14ac:dyDescent="0.2">
      <c r="A155" s="4"/>
      <c r="B155" s="5"/>
      <c r="C155" s="103"/>
      <c r="D155" s="62"/>
      <c r="E155" s="103"/>
      <c r="F155" s="63"/>
      <c r="G155" s="62"/>
      <c r="H155" s="62"/>
      <c r="I155" s="104"/>
      <c r="J155" s="62"/>
      <c r="K155" s="105"/>
      <c r="L155" s="106"/>
      <c r="M155" s="106"/>
      <c r="N155" s="62"/>
      <c r="O155" s="107"/>
      <c r="P155" s="107"/>
      <c r="Q155" s="107"/>
      <c r="R155" s="107"/>
      <c r="S155" s="107"/>
    </row>
    <row r="156" spans="1:19" s="3" customFormat="1" ht="30" customHeight="1" x14ac:dyDescent="0.2">
      <c r="A156" s="4"/>
      <c r="B156" s="5"/>
      <c r="C156" s="103"/>
      <c r="D156" s="62"/>
      <c r="E156" s="103"/>
      <c r="F156" s="63"/>
      <c r="G156" s="62"/>
      <c r="H156" s="62"/>
      <c r="I156" s="104"/>
      <c r="J156" s="62"/>
      <c r="K156" s="105"/>
      <c r="L156" s="106"/>
      <c r="M156" s="106"/>
      <c r="N156" s="62"/>
      <c r="O156" s="107"/>
      <c r="P156" s="107"/>
      <c r="Q156" s="107"/>
      <c r="R156" s="107"/>
      <c r="S156" s="107"/>
    </row>
    <row r="157" spans="1:19" s="3" customFormat="1" ht="30" customHeight="1" x14ac:dyDescent="0.2">
      <c r="A157" s="4"/>
      <c r="B157" s="5"/>
      <c r="C157" s="103"/>
      <c r="D157" s="62"/>
      <c r="E157" s="103"/>
      <c r="F157" s="63"/>
      <c r="G157" s="62"/>
      <c r="H157" s="62"/>
      <c r="I157" s="104"/>
      <c r="J157" s="62"/>
      <c r="K157" s="105"/>
      <c r="L157" s="106"/>
      <c r="M157" s="106"/>
      <c r="N157" s="62"/>
      <c r="O157" s="107"/>
      <c r="P157" s="107"/>
      <c r="Q157" s="107"/>
      <c r="R157" s="107"/>
      <c r="S157" s="107"/>
    </row>
    <row r="158" spans="1:19" s="3" customFormat="1" ht="30" customHeight="1" x14ac:dyDescent="0.2">
      <c r="A158" s="4"/>
      <c r="B158" s="5"/>
      <c r="C158" s="103"/>
      <c r="D158" s="62"/>
      <c r="E158" s="103"/>
      <c r="F158" s="63"/>
      <c r="G158" s="62"/>
      <c r="H158" s="62"/>
      <c r="I158" s="104"/>
      <c r="J158" s="62"/>
      <c r="K158" s="105"/>
      <c r="L158" s="106"/>
      <c r="M158" s="106"/>
      <c r="N158" s="62"/>
      <c r="O158" s="107"/>
      <c r="P158" s="107"/>
      <c r="Q158" s="107"/>
      <c r="R158" s="107"/>
      <c r="S158" s="107"/>
    </row>
    <row r="159" spans="1:19" s="3" customFormat="1" ht="30" customHeight="1" x14ac:dyDescent="0.2">
      <c r="A159" s="4"/>
      <c r="B159" s="5"/>
      <c r="C159" s="103"/>
      <c r="D159" s="62"/>
      <c r="E159" s="103"/>
      <c r="F159" s="63"/>
      <c r="G159" s="62"/>
      <c r="H159" s="62"/>
      <c r="I159" s="104"/>
      <c r="J159" s="62"/>
      <c r="K159" s="105"/>
      <c r="L159" s="106"/>
      <c r="M159" s="106"/>
      <c r="N159" s="62"/>
      <c r="O159" s="107"/>
      <c r="P159" s="107"/>
      <c r="Q159" s="107"/>
      <c r="R159" s="107"/>
      <c r="S159" s="107"/>
    </row>
    <row r="160" spans="1:19" s="3" customFormat="1" ht="30" customHeight="1" x14ac:dyDescent="0.2">
      <c r="A160" s="4"/>
      <c r="B160" s="5"/>
      <c r="C160" s="103"/>
      <c r="D160" s="62"/>
      <c r="E160" s="103"/>
      <c r="F160" s="63"/>
      <c r="G160" s="62"/>
      <c r="H160" s="62"/>
      <c r="I160" s="104"/>
      <c r="J160" s="62"/>
      <c r="K160" s="105"/>
      <c r="L160" s="106"/>
      <c r="M160" s="106"/>
      <c r="N160" s="62"/>
      <c r="O160" s="107"/>
      <c r="P160" s="107"/>
      <c r="Q160" s="107"/>
      <c r="R160" s="107"/>
      <c r="S160" s="107"/>
    </row>
    <row r="161" spans="1:19" s="3" customFormat="1" ht="30" customHeight="1" x14ac:dyDescent="0.2">
      <c r="A161" s="4"/>
      <c r="B161" s="5"/>
      <c r="C161" s="103"/>
      <c r="D161" s="62"/>
      <c r="E161" s="103"/>
      <c r="F161" s="63"/>
      <c r="G161" s="62"/>
      <c r="H161" s="62"/>
      <c r="I161" s="104"/>
      <c r="J161" s="62"/>
      <c r="K161" s="105"/>
      <c r="L161" s="106"/>
      <c r="M161" s="106"/>
      <c r="N161" s="62"/>
      <c r="O161" s="107"/>
      <c r="P161" s="107"/>
      <c r="Q161" s="107"/>
      <c r="R161" s="107"/>
      <c r="S161" s="107"/>
    </row>
    <row r="162" spans="1:19" s="3" customFormat="1" ht="30" customHeight="1" x14ac:dyDescent="0.2">
      <c r="A162" s="4"/>
      <c r="B162" s="5"/>
      <c r="C162" s="103"/>
      <c r="D162" s="62"/>
      <c r="E162" s="103"/>
      <c r="F162" s="63"/>
      <c r="G162" s="62"/>
      <c r="H162" s="62"/>
      <c r="I162" s="104"/>
      <c r="J162" s="62"/>
      <c r="K162" s="105"/>
      <c r="L162" s="106"/>
      <c r="M162" s="106"/>
      <c r="N162" s="62"/>
      <c r="O162" s="107"/>
      <c r="P162" s="107"/>
      <c r="Q162" s="107"/>
      <c r="R162" s="107"/>
      <c r="S162" s="107"/>
    </row>
    <row r="163" spans="1:19" s="3" customFormat="1" ht="30" customHeight="1" x14ac:dyDescent="0.2">
      <c r="A163" s="4"/>
      <c r="B163" s="5"/>
      <c r="C163" s="103"/>
      <c r="D163" s="62"/>
      <c r="E163" s="103"/>
      <c r="F163" s="63"/>
      <c r="G163" s="62"/>
      <c r="H163" s="62"/>
      <c r="I163" s="104"/>
      <c r="J163" s="62"/>
      <c r="K163" s="105"/>
      <c r="L163" s="106"/>
      <c r="M163" s="106"/>
      <c r="N163" s="62"/>
      <c r="O163" s="107"/>
      <c r="P163" s="107"/>
      <c r="Q163" s="107"/>
      <c r="R163" s="107"/>
      <c r="S163" s="107"/>
    </row>
    <row r="164" spans="1:19" s="3" customFormat="1" ht="30" customHeight="1" x14ac:dyDescent="0.2">
      <c r="A164" s="4"/>
      <c r="B164" s="5"/>
      <c r="C164" s="103"/>
      <c r="D164" s="62"/>
      <c r="E164" s="103"/>
      <c r="F164" s="63"/>
      <c r="G164" s="62"/>
      <c r="H164" s="62"/>
      <c r="I164" s="104"/>
      <c r="J164" s="62"/>
      <c r="K164" s="105"/>
      <c r="L164" s="106"/>
      <c r="M164" s="106"/>
      <c r="N164" s="62"/>
      <c r="O164" s="107"/>
      <c r="P164" s="107"/>
      <c r="Q164" s="107"/>
      <c r="R164" s="107"/>
      <c r="S164" s="107"/>
    </row>
    <row r="165" spans="1:19" s="3" customFormat="1" ht="30" customHeight="1" x14ac:dyDescent="0.2">
      <c r="A165" s="4"/>
      <c r="B165" s="5"/>
      <c r="C165" s="103"/>
      <c r="D165" s="62"/>
      <c r="E165" s="103"/>
      <c r="F165" s="63"/>
      <c r="G165" s="62"/>
      <c r="H165" s="62"/>
      <c r="I165" s="104"/>
      <c r="J165" s="62"/>
      <c r="K165" s="105"/>
      <c r="L165" s="106"/>
      <c r="M165" s="106"/>
      <c r="N165" s="62"/>
      <c r="O165" s="107"/>
      <c r="P165" s="107"/>
      <c r="Q165" s="107"/>
      <c r="R165" s="107"/>
      <c r="S165" s="107"/>
    </row>
    <row r="166" spans="1:19" s="3" customFormat="1" ht="30" customHeight="1" x14ac:dyDescent="0.2">
      <c r="A166" s="4"/>
      <c r="B166" s="5"/>
      <c r="C166" s="103"/>
      <c r="D166" s="62"/>
      <c r="E166" s="103"/>
      <c r="F166" s="63"/>
      <c r="G166" s="62"/>
      <c r="H166" s="62"/>
      <c r="I166" s="104"/>
      <c r="J166" s="62"/>
      <c r="K166" s="105"/>
      <c r="L166" s="106"/>
      <c r="M166" s="106"/>
      <c r="N166" s="62"/>
      <c r="O166" s="107"/>
      <c r="P166" s="107"/>
      <c r="Q166" s="107"/>
      <c r="R166" s="107"/>
      <c r="S166" s="107"/>
    </row>
    <row r="167" spans="1:19" s="3" customFormat="1" ht="30" customHeight="1" x14ac:dyDescent="0.2">
      <c r="A167" s="4"/>
      <c r="B167" s="5"/>
      <c r="C167" s="103"/>
      <c r="D167" s="62"/>
      <c r="E167" s="103"/>
      <c r="F167" s="63"/>
      <c r="G167" s="62"/>
      <c r="H167" s="62"/>
      <c r="I167" s="104"/>
      <c r="J167" s="62"/>
      <c r="K167" s="105"/>
      <c r="L167" s="106"/>
      <c r="M167" s="106"/>
      <c r="N167" s="62"/>
      <c r="O167" s="107"/>
      <c r="P167" s="107"/>
      <c r="Q167" s="107"/>
      <c r="R167" s="107"/>
      <c r="S167" s="107"/>
    </row>
    <row r="168" spans="1:19" s="3" customFormat="1" ht="30" customHeight="1" x14ac:dyDescent="0.2">
      <c r="A168" s="4"/>
      <c r="B168" s="5"/>
      <c r="C168" s="103"/>
      <c r="D168" s="62"/>
      <c r="E168" s="103"/>
      <c r="F168" s="63"/>
      <c r="G168" s="62"/>
      <c r="H168" s="62"/>
      <c r="I168" s="104"/>
      <c r="J168" s="62"/>
      <c r="K168" s="105"/>
      <c r="L168" s="106"/>
      <c r="M168" s="106"/>
      <c r="N168" s="62"/>
      <c r="O168" s="107"/>
      <c r="P168" s="107"/>
      <c r="Q168" s="107"/>
      <c r="R168" s="107"/>
      <c r="S168" s="107"/>
    </row>
    <row r="169" spans="1:19" s="3" customFormat="1" ht="30" customHeight="1" x14ac:dyDescent="0.2">
      <c r="A169" s="4"/>
      <c r="B169" s="5"/>
      <c r="C169" s="103"/>
      <c r="D169" s="62"/>
      <c r="E169" s="103"/>
      <c r="F169" s="63"/>
      <c r="G169" s="62"/>
      <c r="H169" s="62"/>
      <c r="I169" s="104"/>
      <c r="J169" s="62"/>
      <c r="K169" s="105"/>
      <c r="L169" s="106"/>
      <c r="M169" s="106"/>
      <c r="N169" s="62"/>
      <c r="O169" s="107"/>
      <c r="P169" s="107"/>
      <c r="Q169" s="107"/>
      <c r="R169" s="107"/>
      <c r="S169" s="107"/>
    </row>
    <row r="170" spans="1:19" s="3" customFormat="1" ht="30" customHeight="1" x14ac:dyDescent="0.2">
      <c r="A170" s="4"/>
      <c r="B170" s="5"/>
      <c r="C170" s="103"/>
      <c r="D170" s="62"/>
      <c r="E170" s="103"/>
      <c r="F170" s="63"/>
      <c r="G170" s="62"/>
      <c r="H170" s="62"/>
      <c r="I170" s="104"/>
      <c r="J170" s="62"/>
      <c r="K170" s="105"/>
      <c r="L170" s="106"/>
      <c r="M170" s="106"/>
      <c r="N170" s="62"/>
      <c r="O170" s="107"/>
      <c r="P170" s="107"/>
      <c r="Q170" s="107"/>
      <c r="R170" s="107"/>
      <c r="S170" s="107"/>
    </row>
    <row r="171" spans="1:19" s="3" customFormat="1" ht="30" customHeight="1" x14ac:dyDescent="0.2">
      <c r="A171" s="4"/>
      <c r="B171" s="5"/>
      <c r="C171" s="103"/>
      <c r="D171" s="62"/>
      <c r="E171" s="103"/>
      <c r="F171" s="63"/>
      <c r="G171" s="62"/>
      <c r="H171" s="62"/>
      <c r="I171" s="104"/>
      <c r="J171" s="62"/>
      <c r="K171" s="105"/>
      <c r="L171" s="106"/>
      <c r="M171" s="106"/>
      <c r="N171" s="62"/>
      <c r="O171" s="107"/>
      <c r="P171" s="107"/>
      <c r="Q171" s="107"/>
      <c r="R171" s="107"/>
      <c r="S171" s="107"/>
    </row>
    <row r="172" spans="1:19" s="3" customFormat="1" ht="30" customHeight="1" x14ac:dyDescent="0.2">
      <c r="A172" s="4"/>
      <c r="B172" s="5"/>
      <c r="C172" s="103"/>
      <c r="D172" s="62"/>
      <c r="E172" s="103"/>
      <c r="F172" s="63"/>
      <c r="G172" s="62"/>
      <c r="H172" s="62"/>
      <c r="I172" s="104"/>
      <c r="J172" s="62"/>
      <c r="K172" s="105"/>
      <c r="L172" s="106"/>
      <c r="M172" s="106"/>
      <c r="N172" s="62"/>
      <c r="O172" s="107"/>
      <c r="P172" s="107"/>
      <c r="Q172" s="107"/>
      <c r="R172" s="107"/>
      <c r="S172" s="107"/>
    </row>
    <row r="173" spans="1:19" s="3" customFormat="1" ht="30" customHeight="1" x14ac:dyDescent="0.2">
      <c r="A173" s="4"/>
      <c r="B173" s="5"/>
      <c r="C173" s="103"/>
      <c r="D173" s="62"/>
      <c r="E173" s="103"/>
      <c r="F173" s="63"/>
      <c r="G173" s="62"/>
      <c r="H173" s="62"/>
      <c r="I173" s="104"/>
      <c r="J173" s="62"/>
      <c r="K173" s="105"/>
      <c r="L173" s="106"/>
      <c r="M173" s="106"/>
      <c r="N173" s="62"/>
      <c r="O173" s="107"/>
      <c r="P173" s="107"/>
      <c r="Q173" s="107"/>
      <c r="R173" s="107"/>
      <c r="S173" s="107"/>
    </row>
    <row r="174" spans="1:19" s="3" customFormat="1" ht="30" customHeight="1" x14ac:dyDescent="0.2">
      <c r="A174" s="4"/>
      <c r="B174" s="5"/>
      <c r="C174" s="103"/>
      <c r="D174" s="62"/>
      <c r="E174" s="103"/>
      <c r="F174" s="63"/>
      <c r="G174" s="62"/>
      <c r="H174" s="62"/>
      <c r="I174" s="104"/>
      <c r="J174" s="62"/>
      <c r="K174" s="105"/>
      <c r="L174" s="106"/>
      <c r="M174" s="106"/>
      <c r="N174" s="62"/>
      <c r="O174" s="107"/>
      <c r="P174" s="107"/>
      <c r="Q174" s="107"/>
      <c r="R174" s="107"/>
      <c r="S174" s="107"/>
    </row>
    <row r="175" spans="1:19" s="3" customFormat="1" ht="30" customHeight="1" x14ac:dyDescent="0.2">
      <c r="A175" s="4"/>
      <c r="B175" s="5"/>
      <c r="C175" s="103"/>
      <c r="D175" s="62"/>
      <c r="E175" s="103"/>
      <c r="F175" s="63"/>
      <c r="G175" s="62"/>
      <c r="H175" s="62"/>
      <c r="I175" s="104"/>
      <c r="J175" s="62"/>
      <c r="K175" s="105"/>
      <c r="L175" s="106"/>
      <c r="M175" s="106"/>
      <c r="N175" s="62"/>
      <c r="O175" s="107"/>
      <c r="P175" s="107"/>
      <c r="Q175" s="107"/>
      <c r="R175" s="107"/>
      <c r="S175" s="107"/>
    </row>
    <row r="176" spans="1:19" s="3" customFormat="1" ht="30" customHeight="1" x14ac:dyDescent="0.2">
      <c r="A176" s="4"/>
      <c r="B176" s="5"/>
      <c r="C176" s="103"/>
      <c r="D176" s="62"/>
      <c r="E176" s="103"/>
      <c r="F176" s="63"/>
      <c r="G176" s="62"/>
      <c r="H176" s="62"/>
      <c r="I176" s="104"/>
      <c r="J176" s="62"/>
      <c r="K176" s="105"/>
      <c r="L176" s="106"/>
      <c r="M176" s="106"/>
      <c r="N176" s="62"/>
      <c r="O176" s="107"/>
      <c r="P176" s="107"/>
      <c r="Q176" s="107"/>
      <c r="R176" s="107"/>
      <c r="S176" s="107"/>
    </row>
    <row r="177" spans="1:20" s="3" customFormat="1" ht="30" customHeight="1" x14ac:dyDescent="0.2">
      <c r="A177" s="4"/>
      <c r="B177" s="5"/>
      <c r="C177" s="103"/>
      <c r="D177" s="62"/>
      <c r="E177" s="103"/>
      <c r="F177" s="63"/>
      <c r="G177" s="62"/>
      <c r="H177" s="62"/>
      <c r="I177" s="104"/>
      <c r="J177" s="62"/>
      <c r="K177" s="105"/>
      <c r="L177" s="106"/>
      <c r="M177" s="106"/>
      <c r="N177" s="62"/>
      <c r="O177" s="107"/>
      <c r="P177" s="107"/>
      <c r="Q177" s="107"/>
      <c r="R177" s="107"/>
      <c r="S177" s="107"/>
    </row>
    <row r="178" spans="1:20" s="3" customFormat="1" ht="30" customHeight="1" x14ac:dyDescent="0.2">
      <c r="A178" s="4"/>
      <c r="B178" s="5"/>
      <c r="C178" s="103"/>
      <c r="D178" s="62"/>
      <c r="E178" s="103"/>
      <c r="F178" s="63"/>
      <c r="G178" s="62"/>
      <c r="H178" s="62"/>
      <c r="I178" s="104"/>
      <c r="J178" s="62"/>
      <c r="K178" s="105"/>
      <c r="L178" s="106"/>
      <c r="M178" s="106"/>
      <c r="N178" s="62"/>
      <c r="O178" s="107"/>
      <c r="P178" s="107"/>
      <c r="Q178" s="107"/>
      <c r="R178" s="107"/>
      <c r="S178" s="107"/>
    </row>
    <row r="179" spans="1:20" s="3" customFormat="1" x14ac:dyDescent="0.2">
      <c r="A179" s="4"/>
      <c r="B179" s="5"/>
      <c r="C179" s="23"/>
      <c r="D179" s="4"/>
      <c r="E179" s="23"/>
      <c r="F179" s="4"/>
      <c r="G179" s="4"/>
      <c r="H179" s="4"/>
      <c r="I179" s="4"/>
      <c r="J179" s="4"/>
      <c r="K179" s="6"/>
      <c r="L179" s="6"/>
      <c r="M179" s="6"/>
      <c r="N179" s="4"/>
      <c r="O179" s="102"/>
      <c r="P179" s="12"/>
      <c r="Q179" s="12"/>
      <c r="R179" s="12"/>
      <c r="S179" s="12"/>
      <c r="T179" s="74"/>
    </row>
    <row r="180" spans="1:20" s="3" customFormat="1" x14ac:dyDescent="0.2">
      <c r="A180" s="4"/>
      <c r="B180" s="5"/>
      <c r="C180" s="23"/>
      <c r="D180" s="4"/>
      <c r="E180" s="23"/>
      <c r="F180" s="4"/>
      <c r="G180" s="4"/>
      <c r="H180" s="4"/>
      <c r="I180" s="4"/>
      <c r="J180" s="4"/>
      <c r="K180" s="6"/>
      <c r="L180" s="6"/>
      <c r="M180" s="6"/>
      <c r="N180" s="4"/>
      <c r="O180" s="102"/>
      <c r="P180" s="12"/>
      <c r="Q180" s="12"/>
      <c r="R180" s="12"/>
      <c r="S180" s="12"/>
      <c r="T180" s="74"/>
    </row>
    <row r="181" spans="1:20" s="3" customFormat="1" x14ac:dyDescent="0.2">
      <c r="A181" s="4"/>
      <c r="B181" s="5"/>
      <c r="C181" s="23"/>
      <c r="D181" s="4"/>
      <c r="E181" s="23"/>
      <c r="F181" s="4"/>
      <c r="G181" s="4"/>
      <c r="H181" s="4"/>
      <c r="I181" s="4"/>
      <c r="J181" s="4"/>
      <c r="K181" s="6"/>
      <c r="L181" s="6"/>
      <c r="M181" s="6"/>
      <c r="N181" s="4"/>
      <c r="O181" s="102"/>
      <c r="P181" s="12"/>
      <c r="Q181" s="12"/>
      <c r="R181" s="12"/>
      <c r="S181" s="12"/>
      <c r="T181" s="74"/>
    </row>
    <row r="182" spans="1:20" s="3" customFormat="1" x14ac:dyDescent="0.2">
      <c r="A182" s="4"/>
      <c r="B182" s="5"/>
      <c r="C182" s="23"/>
      <c r="D182" s="4"/>
      <c r="E182" s="23"/>
      <c r="F182" s="4"/>
      <c r="G182" s="4"/>
      <c r="H182" s="4"/>
      <c r="I182" s="4"/>
      <c r="J182" s="4"/>
      <c r="K182" s="6"/>
      <c r="L182" s="6"/>
      <c r="M182" s="6"/>
      <c r="N182" s="4"/>
      <c r="O182" s="102"/>
      <c r="P182" s="12"/>
      <c r="Q182" s="12"/>
      <c r="R182" s="12"/>
      <c r="S182" s="12"/>
      <c r="T182" s="74"/>
    </row>
    <row r="183" spans="1:20" s="3" customFormat="1" x14ac:dyDescent="0.2">
      <c r="A183" s="4"/>
      <c r="B183" s="5"/>
      <c r="C183" s="23"/>
      <c r="D183" s="4"/>
      <c r="E183" s="23"/>
      <c r="F183" s="4"/>
      <c r="G183" s="4"/>
      <c r="H183" s="4"/>
      <c r="I183" s="4"/>
      <c r="J183" s="4"/>
      <c r="K183" s="6"/>
      <c r="L183" s="6"/>
      <c r="M183" s="6"/>
      <c r="N183" s="4"/>
      <c r="O183" s="102"/>
      <c r="P183" s="12"/>
      <c r="Q183" s="12"/>
      <c r="R183" s="12"/>
      <c r="S183" s="12"/>
      <c r="T183" s="74"/>
    </row>
    <row r="184" spans="1:20" s="3" customFormat="1" x14ac:dyDescent="0.2">
      <c r="A184" s="4"/>
      <c r="B184" s="5"/>
      <c r="C184" s="23"/>
      <c r="D184" s="4"/>
      <c r="E184" s="23"/>
      <c r="F184" s="4"/>
      <c r="G184" s="4"/>
      <c r="H184" s="4"/>
      <c r="I184" s="4"/>
      <c r="J184" s="4"/>
      <c r="K184" s="6"/>
      <c r="L184" s="6"/>
      <c r="M184" s="6"/>
      <c r="N184" s="4"/>
      <c r="O184" s="102"/>
      <c r="P184" s="12"/>
      <c r="Q184" s="12"/>
      <c r="R184" s="12"/>
      <c r="S184" s="12"/>
      <c r="T184" s="74"/>
    </row>
    <row r="185" spans="1:20" s="3" customFormat="1" x14ac:dyDescent="0.2">
      <c r="A185" s="4"/>
      <c r="B185" s="5"/>
      <c r="C185" s="23"/>
      <c r="D185" s="4"/>
      <c r="E185" s="23"/>
      <c r="F185" s="4"/>
      <c r="G185" s="4"/>
      <c r="H185" s="4"/>
      <c r="I185" s="4"/>
      <c r="J185" s="4"/>
      <c r="K185" s="6"/>
      <c r="L185" s="6"/>
      <c r="M185" s="6"/>
      <c r="N185" s="4"/>
      <c r="O185" s="102"/>
      <c r="P185" s="12"/>
      <c r="Q185" s="12"/>
      <c r="R185" s="12"/>
      <c r="S185" s="12"/>
      <c r="T185" s="74"/>
    </row>
    <row r="186" spans="1:20" s="3" customFormat="1" x14ac:dyDescent="0.2">
      <c r="A186" s="4"/>
      <c r="B186" s="5"/>
      <c r="C186" s="23"/>
      <c r="D186" s="4"/>
      <c r="E186" s="23"/>
      <c r="F186" s="4"/>
      <c r="G186" s="4"/>
      <c r="H186" s="4"/>
      <c r="I186" s="4"/>
      <c r="J186" s="4"/>
      <c r="K186" s="6"/>
      <c r="L186" s="6"/>
      <c r="M186" s="6"/>
      <c r="N186" s="4"/>
      <c r="O186" s="102"/>
      <c r="P186" s="12"/>
      <c r="Q186" s="12"/>
      <c r="R186" s="12"/>
      <c r="S186" s="12"/>
      <c r="T186" s="74"/>
    </row>
    <row r="187" spans="1:20" s="3" customFormat="1" x14ac:dyDescent="0.2">
      <c r="A187" s="4"/>
      <c r="B187" s="5"/>
      <c r="C187" s="23"/>
      <c r="D187" s="4"/>
      <c r="E187" s="23"/>
      <c r="F187" s="4"/>
      <c r="G187" s="4"/>
      <c r="H187" s="4"/>
      <c r="I187" s="4"/>
      <c r="J187" s="4"/>
      <c r="K187" s="6"/>
      <c r="L187" s="6"/>
      <c r="M187" s="6"/>
      <c r="N187" s="4"/>
      <c r="O187" s="102"/>
      <c r="P187" s="12"/>
      <c r="Q187" s="12"/>
      <c r="R187" s="12"/>
      <c r="S187" s="12"/>
      <c r="T187" s="74"/>
    </row>
    <row r="188" spans="1:20" s="3" customFormat="1" x14ac:dyDescent="0.2">
      <c r="A188" s="4"/>
      <c r="B188" s="5"/>
      <c r="C188" s="23"/>
      <c r="D188" s="4"/>
      <c r="E188" s="23"/>
      <c r="F188" s="4"/>
      <c r="G188" s="4"/>
      <c r="H188" s="4"/>
      <c r="I188" s="4"/>
      <c r="J188" s="4"/>
      <c r="K188" s="6"/>
      <c r="L188" s="6"/>
      <c r="M188" s="6"/>
      <c r="N188" s="4"/>
      <c r="O188" s="102"/>
      <c r="P188" s="12"/>
      <c r="Q188" s="12"/>
      <c r="R188" s="12"/>
      <c r="S188" s="12"/>
      <c r="T188" s="74"/>
    </row>
    <row r="189" spans="1:20" s="3" customFormat="1" x14ac:dyDescent="0.2">
      <c r="A189" s="4"/>
      <c r="B189" s="5"/>
      <c r="C189" s="23"/>
      <c r="D189" s="4"/>
      <c r="E189" s="23"/>
      <c r="F189" s="4"/>
      <c r="G189" s="4"/>
      <c r="H189" s="4"/>
      <c r="I189" s="4"/>
      <c r="J189" s="4"/>
      <c r="K189" s="6"/>
      <c r="L189" s="6"/>
      <c r="M189" s="6"/>
      <c r="N189" s="4"/>
      <c r="O189" s="102"/>
      <c r="P189" s="12"/>
      <c r="Q189" s="12"/>
      <c r="R189" s="12"/>
      <c r="S189" s="12"/>
      <c r="T189" s="74"/>
    </row>
    <row r="190" spans="1:20" s="3" customFormat="1" x14ac:dyDescent="0.2">
      <c r="A190" s="4"/>
      <c r="B190" s="5"/>
      <c r="C190" s="23"/>
      <c r="D190" s="4"/>
      <c r="E190" s="23"/>
      <c r="F190" s="4"/>
      <c r="G190" s="4"/>
      <c r="H190" s="4"/>
      <c r="I190" s="4"/>
      <c r="J190" s="4"/>
      <c r="K190" s="6"/>
      <c r="L190" s="6"/>
      <c r="M190" s="6"/>
      <c r="N190" s="4"/>
      <c r="O190" s="102"/>
      <c r="P190" s="12"/>
      <c r="Q190" s="12"/>
      <c r="R190" s="12"/>
      <c r="S190" s="12"/>
      <c r="T190" s="74"/>
    </row>
    <row r="191" spans="1:20" s="3" customFormat="1" x14ac:dyDescent="0.2">
      <c r="A191" s="4"/>
      <c r="B191" s="5"/>
      <c r="C191" s="23"/>
      <c r="D191" s="4"/>
      <c r="E191" s="23"/>
      <c r="F191" s="4"/>
      <c r="G191" s="4"/>
      <c r="H191" s="4"/>
      <c r="I191" s="4"/>
      <c r="J191" s="4"/>
      <c r="K191" s="6"/>
      <c r="L191" s="6"/>
      <c r="M191" s="6"/>
      <c r="N191" s="4"/>
      <c r="O191" s="102"/>
      <c r="P191" s="12"/>
      <c r="Q191" s="12"/>
      <c r="R191" s="12"/>
      <c r="S191" s="12"/>
      <c r="T191" s="74"/>
    </row>
    <row r="192" spans="1:20" s="3" customFormat="1" x14ac:dyDescent="0.2">
      <c r="A192" s="4"/>
      <c r="B192" s="5"/>
      <c r="C192" s="23"/>
      <c r="D192" s="4"/>
      <c r="E192" s="23"/>
      <c r="F192" s="4"/>
      <c r="G192" s="4"/>
      <c r="H192" s="4"/>
      <c r="I192" s="4"/>
      <c r="J192" s="4"/>
      <c r="K192" s="6"/>
      <c r="L192" s="6"/>
      <c r="M192" s="6"/>
      <c r="N192" s="4"/>
      <c r="O192" s="102"/>
      <c r="P192" s="12"/>
      <c r="Q192" s="12"/>
      <c r="R192" s="12"/>
      <c r="S192" s="12"/>
      <c r="T192" s="74"/>
    </row>
    <row r="193" spans="1:20" s="3" customFormat="1" ht="30" customHeight="1" x14ac:dyDescent="0.2">
      <c r="A193" s="4"/>
      <c r="B193" s="5" t="str">
        <f>VLOOKUP(C193,$V:$W,2,0)</f>
        <v>0305</v>
      </c>
      <c r="C193" s="23" t="s">
        <v>42</v>
      </c>
      <c r="D193" s="4" t="s">
        <v>225</v>
      </c>
      <c r="E193" s="23" t="s">
        <v>380</v>
      </c>
      <c r="F193" s="5" t="s">
        <v>769</v>
      </c>
      <c r="G193" s="4" t="s">
        <v>786</v>
      </c>
      <c r="H193" s="4" t="s">
        <v>376</v>
      </c>
      <c r="I193" s="4" t="s">
        <v>53</v>
      </c>
      <c r="J193" s="4" t="s">
        <v>53</v>
      </c>
      <c r="K193" s="6" t="s">
        <v>53</v>
      </c>
      <c r="L193" s="6" t="s">
        <v>53</v>
      </c>
      <c r="M193" s="6" t="s">
        <v>53</v>
      </c>
      <c r="N193" s="4"/>
      <c r="O193" s="102">
        <v>1500000000</v>
      </c>
      <c r="P193" s="12">
        <v>1500000000</v>
      </c>
      <c r="Q193" s="12">
        <v>1500000000</v>
      </c>
      <c r="R193" s="12">
        <v>1500000000</v>
      </c>
      <c r="S193" s="12">
        <v>1500000000</v>
      </c>
    </row>
    <row r="194" spans="1:20" s="3" customFormat="1" ht="30" customHeight="1" x14ac:dyDescent="0.2">
      <c r="A194" s="4"/>
      <c r="B194" s="5" t="str">
        <f>VLOOKUP(C194,$V:$W,2,0)</f>
        <v>0307</v>
      </c>
      <c r="C194" s="23" t="s">
        <v>188</v>
      </c>
      <c r="D194" s="4" t="s">
        <v>225</v>
      </c>
      <c r="E194" s="23" t="s">
        <v>380</v>
      </c>
      <c r="F194" s="5" t="s">
        <v>774</v>
      </c>
      <c r="G194" s="4" t="s">
        <v>786</v>
      </c>
      <c r="H194" s="4" t="s">
        <v>376</v>
      </c>
      <c r="I194" s="4" t="s">
        <v>53</v>
      </c>
      <c r="J194" s="4" t="s">
        <v>53</v>
      </c>
      <c r="K194" s="6" t="s">
        <v>53</v>
      </c>
      <c r="L194" s="6" t="s">
        <v>53</v>
      </c>
      <c r="M194" s="6" t="s">
        <v>53</v>
      </c>
      <c r="N194" s="4"/>
      <c r="O194" s="102">
        <v>549980807</v>
      </c>
      <c r="P194" s="12">
        <v>634063462</v>
      </c>
      <c r="Q194" s="12">
        <v>1227536927</v>
      </c>
      <c r="R194" s="12">
        <v>1301827718</v>
      </c>
      <c r="S194" s="12">
        <v>1301827718</v>
      </c>
    </row>
    <row r="195" spans="1:20" s="3" customFormat="1" ht="30" customHeight="1" x14ac:dyDescent="0.2">
      <c r="A195" s="4"/>
      <c r="B195" s="5" t="str">
        <f>VLOOKUP(C195,$V:$W,2,0)</f>
        <v>0307</v>
      </c>
      <c r="C195" s="23" t="s">
        <v>188</v>
      </c>
      <c r="D195" s="4" t="s">
        <v>225</v>
      </c>
      <c r="E195" s="23" t="s">
        <v>380</v>
      </c>
      <c r="F195" s="5" t="s">
        <v>775</v>
      </c>
      <c r="G195" s="4" t="s">
        <v>786</v>
      </c>
      <c r="H195" s="4" t="s">
        <v>376</v>
      </c>
      <c r="I195" s="4" t="s">
        <v>53</v>
      </c>
      <c r="J195" s="4" t="s">
        <v>53</v>
      </c>
      <c r="K195" s="6" t="s">
        <v>53</v>
      </c>
      <c r="L195" s="6" t="s">
        <v>53</v>
      </c>
      <c r="M195" s="6" t="s">
        <v>53</v>
      </c>
      <c r="N195" s="4"/>
      <c r="O195" s="102">
        <v>1411453237</v>
      </c>
      <c r="P195" s="12">
        <v>1411453237</v>
      </c>
      <c r="Q195" s="12">
        <v>1524708144</v>
      </c>
      <c r="R195" s="12">
        <v>1422201565</v>
      </c>
      <c r="S195" s="12">
        <v>1422201565</v>
      </c>
    </row>
    <row r="196" spans="1:20" s="3" customFormat="1" ht="30" customHeight="1" x14ac:dyDescent="0.2">
      <c r="A196" s="4"/>
      <c r="B196" s="5" t="str">
        <f>VLOOKUP(C196,$V:$W,2,0)</f>
        <v>0307</v>
      </c>
      <c r="C196" s="23" t="s">
        <v>188</v>
      </c>
      <c r="D196" s="4" t="s">
        <v>225</v>
      </c>
      <c r="E196" s="23" t="s">
        <v>380</v>
      </c>
      <c r="F196" s="5" t="s">
        <v>782</v>
      </c>
      <c r="G196" s="4" t="s">
        <v>786</v>
      </c>
      <c r="H196" s="4" t="s">
        <v>375</v>
      </c>
      <c r="I196" s="4" t="s">
        <v>53</v>
      </c>
      <c r="J196" s="4" t="s">
        <v>53</v>
      </c>
      <c r="K196" s="6" t="s">
        <v>53</v>
      </c>
      <c r="L196" s="6" t="s">
        <v>53</v>
      </c>
      <c r="M196" s="6" t="s">
        <v>53</v>
      </c>
      <c r="N196" s="4"/>
      <c r="O196" s="102">
        <v>226586251</v>
      </c>
      <c r="P196" s="12">
        <v>429765191</v>
      </c>
      <c r="Q196" s="12"/>
      <c r="R196" s="12"/>
      <c r="S196" s="12"/>
    </row>
    <row r="197" spans="1:20" s="3" customFormat="1" ht="30" customHeight="1" x14ac:dyDescent="0.2">
      <c r="A197" s="4"/>
      <c r="B197" s="5" t="str">
        <f>VLOOKUP(C197,$V:$W,2,0)</f>
        <v>0307</v>
      </c>
      <c r="C197" s="23" t="s">
        <v>188</v>
      </c>
      <c r="D197" s="4" t="s">
        <v>225</v>
      </c>
      <c r="E197" s="23" t="s">
        <v>380</v>
      </c>
      <c r="F197" s="5" t="s">
        <v>783</v>
      </c>
      <c r="G197" s="4" t="s">
        <v>786</v>
      </c>
      <c r="H197" s="4" t="s">
        <v>376</v>
      </c>
      <c r="I197" s="4" t="s">
        <v>53</v>
      </c>
      <c r="J197" s="4" t="s">
        <v>53</v>
      </c>
      <c r="K197" s="6" t="s">
        <v>53</v>
      </c>
      <c r="L197" s="6" t="s">
        <v>53</v>
      </c>
      <c r="M197" s="6" t="s">
        <v>53</v>
      </c>
      <c r="N197" s="4"/>
      <c r="O197" s="102">
        <v>417256967</v>
      </c>
      <c r="P197" s="12">
        <v>224407877</v>
      </c>
      <c r="Q197" s="12"/>
      <c r="R197" s="12"/>
      <c r="S197" s="12"/>
    </row>
    <row r="198" spans="1:20" s="3" customFormat="1" ht="15" x14ac:dyDescent="0.2">
      <c r="A198" s="4"/>
      <c r="B198" s="5"/>
      <c r="C198" s="23" t="s">
        <v>229</v>
      </c>
      <c r="D198" s="4" t="s">
        <v>225</v>
      </c>
      <c r="E198" s="23" t="s">
        <v>468</v>
      </c>
      <c r="F198" s="4" t="s">
        <v>474</v>
      </c>
      <c r="G198" s="4" t="s">
        <v>515</v>
      </c>
      <c r="H198" s="4" t="s">
        <v>376</v>
      </c>
      <c r="I198" s="4" t="s">
        <v>53</v>
      </c>
      <c r="J198" s="4" t="s">
        <v>53</v>
      </c>
      <c r="K198" s="6" t="s">
        <v>53</v>
      </c>
      <c r="L198" s="6" t="s">
        <v>53</v>
      </c>
      <c r="M198" s="6" t="s">
        <v>53</v>
      </c>
      <c r="N198" s="4" t="s">
        <v>30</v>
      </c>
      <c r="O198" s="102">
        <v>3700000000</v>
      </c>
      <c r="P198" s="12">
        <v>3700000000</v>
      </c>
      <c r="Q198" s="12">
        <v>3700000000</v>
      </c>
      <c r="R198" s="12">
        <v>3700000000</v>
      </c>
      <c r="S198" s="12">
        <v>3700000000</v>
      </c>
      <c r="T198" s="74"/>
    </row>
    <row r="199" spans="1:20" s="3" customFormat="1" ht="15" x14ac:dyDescent="0.2">
      <c r="A199" s="4"/>
      <c r="B199" s="5"/>
      <c r="C199" s="23" t="s">
        <v>229</v>
      </c>
      <c r="D199" s="4" t="s">
        <v>225</v>
      </c>
      <c r="E199" s="23" t="s">
        <v>468</v>
      </c>
      <c r="F199" s="4" t="s">
        <v>476</v>
      </c>
      <c r="G199" s="4" t="s">
        <v>515</v>
      </c>
      <c r="H199" s="4" t="s">
        <v>376</v>
      </c>
      <c r="I199" s="4" t="s">
        <v>53</v>
      </c>
      <c r="J199" s="4" t="s">
        <v>53</v>
      </c>
      <c r="K199" s="6" t="s">
        <v>53</v>
      </c>
      <c r="L199" s="6" t="s">
        <v>53</v>
      </c>
      <c r="M199" s="6" t="s">
        <v>53</v>
      </c>
      <c r="N199" s="4" t="s">
        <v>30</v>
      </c>
      <c r="O199" s="102">
        <v>2300000000</v>
      </c>
      <c r="P199" s="12">
        <v>2300000000</v>
      </c>
      <c r="Q199" s="12">
        <v>2300000000</v>
      </c>
      <c r="R199" s="12">
        <v>0</v>
      </c>
      <c r="S199" s="12">
        <v>0</v>
      </c>
      <c r="T199" s="74"/>
    </row>
    <row r="200" spans="1:20" s="3" customFormat="1" ht="15" x14ac:dyDescent="0.2">
      <c r="A200" s="4"/>
      <c r="B200" s="5"/>
      <c r="C200" s="23" t="s">
        <v>229</v>
      </c>
      <c r="D200" s="4" t="s">
        <v>225</v>
      </c>
      <c r="E200" s="23" t="s">
        <v>468</v>
      </c>
      <c r="F200" s="4" t="s">
        <v>501</v>
      </c>
      <c r="G200" s="4" t="s">
        <v>515</v>
      </c>
      <c r="H200" s="4" t="s">
        <v>376</v>
      </c>
      <c r="I200" s="4" t="s">
        <v>53</v>
      </c>
      <c r="J200" s="4" t="s">
        <v>53</v>
      </c>
      <c r="K200" s="6" t="s">
        <v>53</v>
      </c>
      <c r="L200" s="6" t="s">
        <v>53</v>
      </c>
      <c r="M200" s="6" t="s">
        <v>53</v>
      </c>
      <c r="N200" s="4" t="s">
        <v>30</v>
      </c>
      <c r="O200" s="102">
        <v>2000000000</v>
      </c>
      <c r="P200" s="12">
        <v>2000000000</v>
      </c>
      <c r="Q200" s="12">
        <v>2000000000</v>
      </c>
      <c r="R200" s="12">
        <v>0</v>
      </c>
      <c r="S200" s="12">
        <v>0</v>
      </c>
      <c r="T200" s="74"/>
    </row>
    <row r="201" spans="1:20" s="3" customFormat="1" ht="15" x14ac:dyDescent="0.2">
      <c r="A201" s="4"/>
      <c r="B201" s="5"/>
      <c r="C201" s="23" t="s">
        <v>229</v>
      </c>
      <c r="D201" s="4" t="s">
        <v>225</v>
      </c>
      <c r="E201" s="23" t="s">
        <v>468</v>
      </c>
      <c r="F201" s="4" t="s">
        <v>508</v>
      </c>
      <c r="G201" s="4" t="s">
        <v>515</v>
      </c>
      <c r="H201" s="4" t="s">
        <v>376</v>
      </c>
      <c r="I201" s="4" t="s">
        <v>53</v>
      </c>
      <c r="J201" s="4" t="s">
        <v>53</v>
      </c>
      <c r="K201" s="6" t="s">
        <v>53</v>
      </c>
      <c r="L201" s="6" t="s">
        <v>53</v>
      </c>
      <c r="M201" s="6" t="s">
        <v>53</v>
      </c>
      <c r="N201" s="4" t="s">
        <v>30</v>
      </c>
      <c r="O201" s="102">
        <v>1931400000</v>
      </c>
      <c r="P201" s="12">
        <v>1860000000</v>
      </c>
      <c r="Q201" s="12">
        <v>1860000000</v>
      </c>
      <c r="R201" s="12">
        <v>1715280000</v>
      </c>
      <c r="S201" s="12">
        <v>1707360000</v>
      </c>
      <c r="T201" s="74"/>
    </row>
    <row r="202" spans="1:20" s="3" customFormat="1" ht="15" x14ac:dyDescent="0.2">
      <c r="A202" s="4"/>
      <c r="B202" s="5"/>
      <c r="C202" s="23" t="s">
        <v>229</v>
      </c>
      <c r="D202" s="4" t="s">
        <v>225</v>
      </c>
      <c r="E202" s="23" t="s">
        <v>468</v>
      </c>
      <c r="F202" s="4" t="s">
        <v>495</v>
      </c>
      <c r="G202" s="4" t="s">
        <v>515</v>
      </c>
      <c r="H202" s="4" t="s">
        <v>376</v>
      </c>
      <c r="I202" s="4" t="s">
        <v>53</v>
      </c>
      <c r="J202" s="4" t="s">
        <v>53</v>
      </c>
      <c r="K202" s="6" t="s">
        <v>53</v>
      </c>
      <c r="L202" s="6" t="s">
        <v>53</v>
      </c>
      <c r="M202" s="6" t="s">
        <v>53</v>
      </c>
      <c r="N202" s="4" t="s">
        <v>30</v>
      </c>
      <c r="O202" s="102">
        <v>1000000000</v>
      </c>
      <c r="P202" s="12">
        <v>1000000000</v>
      </c>
      <c r="Q202" s="12">
        <v>0</v>
      </c>
      <c r="R202" s="12">
        <v>0</v>
      </c>
      <c r="S202" s="12">
        <v>0</v>
      </c>
      <c r="T202" s="74"/>
    </row>
    <row r="203" spans="1:20" s="3" customFormat="1" ht="15" x14ac:dyDescent="0.2">
      <c r="A203" s="4"/>
      <c r="B203" s="5"/>
      <c r="C203" s="23" t="s">
        <v>188</v>
      </c>
      <c r="D203" s="4" t="s">
        <v>225</v>
      </c>
      <c r="E203" s="23" t="s">
        <v>468</v>
      </c>
      <c r="F203" s="4" t="s">
        <v>497</v>
      </c>
      <c r="G203" s="4" t="s">
        <v>515</v>
      </c>
      <c r="H203" s="4" t="s">
        <v>376</v>
      </c>
      <c r="I203" s="4" t="s">
        <v>53</v>
      </c>
      <c r="J203" s="4" t="s">
        <v>53</v>
      </c>
      <c r="K203" s="6" t="s">
        <v>53</v>
      </c>
      <c r="L203" s="6" t="s">
        <v>53</v>
      </c>
      <c r="M203" s="6" t="s">
        <v>53</v>
      </c>
      <c r="N203" s="4" t="s">
        <v>30</v>
      </c>
      <c r="O203" s="102">
        <v>370846598</v>
      </c>
      <c r="P203" s="12">
        <v>0</v>
      </c>
      <c r="Q203" s="12">
        <v>0</v>
      </c>
      <c r="R203" s="12">
        <v>0</v>
      </c>
      <c r="S203" s="12">
        <v>0</v>
      </c>
      <c r="T203" s="74"/>
    </row>
    <row r="204" spans="1:20" s="3" customFormat="1" ht="15" x14ac:dyDescent="0.2">
      <c r="A204" s="4"/>
      <c r="B204" s="5"/>
      <c r="C204" s="23" t="s">
        <v>188</v>
      </c>
      <c r="D204" s="4" t="s">
        <v>225</v>
      </c>
      <c r="E204" s="23" t="s">
        <v>468</v>
      </c>
      <c r="F204" s="4" t="s">
        <v>498</v>
      </c>
      <c r="G204" s="4" t="s">
        <v>515</v>
      </c>
      <c r="H204" s="4" t="s">
        <v>376</v>
      </c>
      <c r="I204" s="4" t="s">
        <v>53</v>
      </c>
      <c r="J204" s="4" t="s">
        <v>53</v>
      </c>
      <c r="K204" s="6" t="s">
        <v>53</v>
      </c>
      <c r="L204" s="6" t="s">
        <v>53</v>
      </c>
      <c r="M204" s="6" t="s">
        <v>53</v>
      </c>
      <c r="N204" s="4" t="s">
        <v>30</v>
      </c>
      <c r="O204" s="102">
        <v>87230604</v>
      </c>
      <c r="P204" s="12">
        <v>0</v>
      </c>
      <c r="Q204" s="12">
        <v>0</v>
      </c>
      <c r="R204" s="12">
        <v>0</v>
      </c>
      <c r="S204" s="12">
        <v>0</v>
      </c>
      <c r="T204" s="74"/>
    </row>
    <row r="205" spans="1:20" s="3" customFormat="1" ht="15" x14ac:dyDescent="0.2">
      <c r="A205" s="4"/>
      <c r="B205" s="5"/>
      <c r="C205" s="23" t="s">
        <v>229</v>
      </c>
      <c r="D205" s="4" t="s">
        <v>225</v>
      </c>
      <c r="E205" s="23" t="s">
        <v>468</v>
      </c>
      <c r="F205" s="4" t="s">
        <v>499</v>
      </c>
      <c r="G205" s="4" t="s">
        <v>515</v>
      </c>
      <c r="H205" s="4" t="s">
        <v>376</v>
      </c>
      <c r="I205" s="4" t="s">
        <v>53</v>
      </c>
      <c r="J205" s="4" t="s">
        <v>53</v>
      </c>
      <c r="K205" s="6" t="s">
        <v>53</v>
      </c>
      <c r="L205" s="6" t="s">
        <v>53</v>
      </c>
      <c r="M205" s="6" t="s">
        <v>53</v>
      </c>
      <c r="N205" s="4" t="s">
        <v>30</v>
      </c>
      <c r="O205" s="102">
        <v>3050000000</v>
      </c>
      <c r="P205" s="12">
        <v>0</v>
      </c>
      <c r="Q205" s="12">
        <v>0</v>
      </c>
      <c r="R205" s="12">
        <v>0</v>
      </c>
      <c r="S205" s="12">
        <v>0</v>
      </c>
      <c r="T205" s="74"/>
    </row>
    <row r="206" spans="1:20" s="3" customFormat="1" ht="15" x14ac:dyDescent="0.2">
      <c r="A206" s="4"/>
      <c r="B206" s="5"/>
      <c r="C206" s="23" t="s">
        <v>229</v>
      </c>
      <c r="D206" s="4" t="s">
        <v>225</v>
      </c>
      <c r="E206" s="23" t="s">
        <v>468</v>
      </c>
      <c r="F206" s="4" t="s">
        <v>500</v>
      </c>
      <c r="G206" s="4" t="s">
        <v>515</v>
      </c>
      <c r="H206" s="4" t="s">
        <v>376</v>
      </c>
      <c r="I206" s="4" t="s">
        <v>53</v>
      </c>
      <c r="J206" s="4" t="s">
        <v>53</v>
      </c>
      <c r="K206" s="6" t="s">
        <v>53</v>
      </c>
      <c r="L206" s="6" t="s">
        <v>53</v>
      </c>
      <c r="M206" s="6" t="s">
        <v>53</v>
      </c>
      <c r="N206" s="4" t="s">
        <v>30</v>
      </c>
      <c r="O206" s="102">
        <v>2400000000</v>
      </c>
      <c r="P206" s="12">
        <v>0</v>
      </c>
      <c r="Q206" s="12">
        <v>0</v>
      </c>
      <c r="R206" s="12">
        <v>0</v>
      </c>
      <c r="S206" s="12">
        <v>0</v>
      </c>
      <c r="T206" s="74"/>
    </row>
    <row r="207" spans="1:20" s="3" customFormat="1" ht="15" x14ac:dyDescent="0.2">
      <c r="A207" s="4"/>
      <c r="B207" s="5"/>
      <c r="C207" s="23" t="s">
        <v>229</v>
      </c>
      <c r="D207" s="4" t="s">
        <v>225</v>
      </c>
      <c r="E207" s="23" t="s">
        <v>468</v>
      </c>
      <c r="F207" s="4" t="s">
        <v>501</v>
      </c>
      <c r="G207" s="4" t="s">
        <v>515</v>
      </c>
      <c r="H207" s="4" t="s">
        <v>376</v>
      </c>
      <c r="I207" s="4" t="s">
        <v>53</v>
      </c>
      <c r="J207" s="4" t="s">
        <v>53</v>
      </c>
      <c r="K207" s="6" t="s">
        <v>53</v>
      </c>
      <c r="L207" s="6" t="s">
        <v>53</v>
      </c>
      <c r="M207" s="6" t="s">
        <v>53</v>
      </c>
      <c r="N207" s="4" t="s">
        <v>30</v>
      </c>
      <c r="O207" s="102">
        <v>1150000000</v>
      </c>
      <c r="P207" s="12">
        <v>0</v>
      </c>
      <c r="Q207" s="12">
        <v>0</v>
      </c>
      <c r="R207" s="12">
        <v>0</v>
      </c>
      <c r="S207" s="12">
        <v>0</v>
      </c>
      <c r="T207" s="74"/>
    </row>
    <row r="208" spans="1:20" s="3" customFormat="1" ht="15" x14ac:dyDescent="0.2">
      <c r="A208" s="4"/>
      <c r="B208" s="5"/>
      <c r="C208" s="23" t="s">
        <v>229</v>
      </c>
      <c r="D208" s="4" t="s">
        <v>225</v>
      </c>
      <c r="E208" s="23" t="s">
        <v>468</v>
      </c>
      <c r="F208" s="4" t="s">
        <v>502</v>
      </c>
      <c r="G208" s="4" t="s">
        <v>515</v>
      </c>
      <c r="H208" s="4" t="s">
        <v>376</v>
      </c>
      <c r="I208" s="4" t="s">
        <v>53</v>
      </c>
      <c r="J208" s="4" t="s">
        <v>53</v>
      </c>
      <c r="K208" s="6" t="s">
        <v>53</v>
      </c>
      <c r="L208" s="6" t="s">
        <v>53</v>
      </c>
      <c r="M208" s="6" t="s">
        <v>53</v>
      </c>
      <c r="N208" s="4" t="s">
        <v>30</v>
      </c>
      <c r="O208" s="102">
        <v>120650238</v>
      </c>
      <c r="P208" s="12">
        <v>0</v>
      </c>
      <c r="Q208" s="12">
        <v>0</v>
      </c>
      <c r="R208" s="12">
        <v>0</v>
      </c>
      <c r="S208" s="12">
        <v>0</v>
      </c>
      <c r="T208" s="74"/>
    </row>
    <row r="209" spans="1:20" s="3" customFormat="1" ht="15" x14ac:dyDescent="0.2">
      <c r="A209" s="4"/>
      <c r="B209" s="5"/>
      <c r="C209" s="23" t="s">
        <v>229</v>
      </c>
      <c r="D209" s="4" t="s">
        <v>225</v>
      </c>
      <c r="E209" s="23" t="s">
        <v>468</v>
      </c>
      <c r="F209" s="4" t="s">
        <v>478</v>
      </c>
      <c r="G209" s="4" t="s">
        <v>515</v>
      </c>
      <c r="H209" s="4" t="s">
        <v>376</v>
      </c>
      <c r="I209" s="4" t="s">
        <v>53</v>
      </c>
      <c r="J209" s="4" t="s">
        <v>53</v>
      </c>
      <c r="K209" s="6" t="s">
        <v>53</v>
      </c>
      <c r="L209" s="6" t="s">
        <v>53</v>
      </c>
      <c r="M209" s="6" t="s">
        <v>53</v>
      </c>
      <c r="N209" s="4" t="s">
        <v>30</v>
      </c>
      <c r="O209" s="102">
        <v>0</v>
      </c>
      <c r="P209" s="12">
        <v>0</v>
      </c>
      <c r="Q209" s="12">
        <v>1000000000</v>
      </c>
      <c r="R209" s="12">
        <v>1000000000</v>
      </c>
      <c r="S209" s="12">
        <v>1000000000</v>
      </c>
      <c r="T209" s="74"/>
    </row>
    <row r="210" spans="1:20" s="3" customFormat="1" ht="15" x14ac:dyDescent="0.2">
      <c r="A210" s="4"/>
      <c r="B210" s="5"/>
      <c r="C210" s="23" t="s">
        <v>229</v>
      </c>
      <c r="D210" s="4" t="s">
        <v>225</v>
      </c>
      <c r="E210" s="23" t="s">
        <v>468</v>
      </c>
      <c r="F210" s="4" t="s">
        <v>479</v>
      </c>
      <c r="G210" s="4" t="s">
        <v>515</v>
      </c>
      <c r="H210" s="4" t="s">
        <v>376</v>
      </c>
      <c r="I210" s="4" t="s">
        <v>53</v>
      </c>
      <c r="J210" s="4" t="s">
        <v>53</v>
      </c>
      <c r="K210" s="6" t="s">
        <v>53</v>
      </c>
      <c r="L210" s="6" t="s">
        <v>53</v>
      </c>
      <c r="M210" s="6" t="s">
        <v>53</v>
      </c>
      <c r="N210" s="4" t="s">
        <v>30</v>
      </c>
      <c r="O210" s="102">
        <v>0</v>
      </c>
      <c r="P210" s="12">
        <v>0</v>
      </c>
      <c r="Q210" s="12">
        <v>1000000000</v>
      </c>
      <c r="R210" s="12">
        <v>1000000000</v>
      </c>
      <c r="S210" s="12">
        <v>0</v>
      </c>
      <c r="T210" s="74"/>
    </row>
    <row r="211" spans="1:20" s="3" customFormat="1" ht="15" x14ac:dyDescent="0.2">
      <c r="A211" s="4"/>
      <c r="B211" s="5"/>
      <c r="C211" s="23" t="s">
        <v>229</v>
      </c>
      <c r="D211" s="4" t="s">
        <v>225</v>
      </c>
      <c r="E211" s="23" t="s">
        <v>468</v>
      </c>
      <c r="F211" s="4" t="s">
        <v>479</v>
      </c>
      <c r="G211" s="4" t="s">
        <v>515</v>
      </c>
      <c r="H211" s="4" t="s">
        <v>376</v>
      </c>
      <c r="I211" s="4" t="s">
        <v>53</v>
      </c>
      <c r="J211" s="4" t="s">
        <v>53</v>
      </c>
      <c r="K211" s="6" t="s">
        <v>53</v>
      </c>
      <c r="L211" s="6" t="s">
        <v>53</v>
      </c>
      <c r="M211" s="6" t="s">
        <v>53</v>
      </c>
      <c r="N211" s="4" t="s">
        <v>30</v>
      </c>
      <c r="O211" s="102">
        <v>0</v>
      </c>
      <c r="P211" s="12">
        <v>0</v>
      </c>
      <c r="Q211" s="12">
        <v>1000000000</v>
      </c>
      <c r="R211" s="12">
        <v>0</v>
      </c>
      <c r="S211" s="12">
        <v>0</v>
      </c>
      <c r="T211" s="74"/>
    </row>
    <row r="212" spans="1:20" s="3" customFormat="1" ht="15" x14ac:dyDescent="0.2">
      <c r="A212" s="4"/>
      <c r="B212" s="5"/>
      <c r="C212" s="23" t="s">
        <v>229</v>
      </c>
      <c r="D212" s="4" t="s">
        <v>225</v>
      </c>
      <c r="E212" s="23" t="s">
        <v>468</v>
      </c>
      <c r="F212" s="4" t="s">
        <v>480</v>
      </c>
      <c r="G212" s="4" t="s">
        <v>515</v>
      </c>
      <c r="H212" s="4" t="s">
        <v>376</v>
      </c>
      <c r="I212" s="4" t="s">
        <v>53</v>
      </c>
      <c r="J212" s="4" t="s">
        <v>53</v>
      </c>
      <c r="K212" s="6" t="s">
        <v>53</v>
      </c>
      <c r="L212" s="6" t="s">
        <v>53</v>
      </c>
      <c r="M212" s="6" t="s">
        <v>53</v>
      </c>
      <c r="N212" s="4" t="s">
        <v>30</v>
      </c>
      <c r="O212" s="102">
        <v>0</v>
      </c>
      <c r="P212" s="12">
        <v>2000000000</v>
      </c>
      <c r="Q212" s="12">
        <v>2600000000</v>
      </c>
      <c r="R212" s="12">
        <v>2000000000</v>
      </c>
      <c r="S212" s="12">
        <v>2000000000</v>
      </c>
      <c r="T212" s="74"/>
    </row>
    <row r="213" spans="1:20" s="3" customFormat="1" ht="15" x14ac:dyDescent="0.2">
      <c r="A213" s="4"/>
      <c r="B213" s="5"/>
      <c r="C213" s="23" t="s">
        <v>229</v>
      </c>
      <c r="D213" s="4" t="s">
        <v>225</v>
      </c>
      <c r="E213" s="23" t="s">
        <v>468</v>
      </c>
      <c r="F213" s="4" t="s">
        <v>481</v>
      </c>
      <c r="G213" s="4" t="s">
        <v>515</v>
      </c>
      <c r="H213" s="4" t="s">
        <v>376</v>
      </c>
      <c r="I213" s="4" t="s">
        <v>53</v>
      </c>
      <c r="J213" s="4" t="s">
        <v>53</v>
      </c>
      <c r="K213" s="6" t="s">
        <v>53</v>
      </c>
      <c r="L213" s="6" t="s">
        <v>53</v>
      </c>
      <c r="M213" s="6" t="s">
        <v>53</v>
      </c>
      <c r="N213" s="4" t="s">
        <v>30</v>
      </c>
      <c r="O213" s="102">
        <v>0</v>
      </c>
      <c r="P213" s="12">
        <v>0</v>
      </c>
      <c r="Q213" s="12">
        <v>1000000000</v>
      </c>
      <c r="R213" s="12">
        <v>2000000000</v>
      </c>
      <c r="S213" s="12">
        <v>0</v>
      </c>
      <c r="T213" s="74"/>
    </row>
    <row r="214" spans="1:20" s="3" customFormat="1" ht="15" x14ac:dyDescent="0.2">
      <c r="A214" s="4"/>
      <c r="B214" s="5"/>
      <c r="C214" s="23" t="s">
        <v>188</v>
      </c>
      <c r="D214" s="4" t="s">
        <v>225</v>
      </c>
      <c r="E214" s="23" t="s">
        <v>468</v>
      </c>
      <c r="F214" s="4" t="s">
        <v>482</v>
      </c>
      <c r="G214" s="4" t="s">
        <v>515</v>
      </c>
      <c r="H214" s="4" t="s">
        <v>376</v>
      </c>
      <c r="I214" s="4" t="s">
        <v>53</v>
      </c>
      <c r="J214" s="4" t="s">
        <v>53</v>
      </c>
      <c r="K214" s="6" t="s">
        <v>53</v>
      </c>
      <c r="L214" s="6" t="s">
        <v>53</v>
      </c>
      <c r="M214" s="6" t="s">
        <v>53</v>
      </c>
      <c r="N214" s="4" t="s">
        <v>30</v>
      </c>
      <c r="O214" s="102">
        <v>0</v>
      </c>
      <c r="P214" s="12">
        <v>0</v>
      </c>
      <c r="Q214" s="12">
        <v>0</v>
      </c>
      <c r="R214" s="12">
        <v>603490925</v>
      </c>
      <c r="S214" s="12">
        <v>0</v>
      </c>
      <c r="T214" s="74"/>
    </row>
    <row r="215" spans="1:20" s="3" customFormat="1" ht="15" x14ac:dyDescent="0.2">
      <c r="A215" s="4"/>
      <c r="B215" s="5"/>
      <c r="C215" s="23" t="s">
        <v>188</v>
      </c>
      <c r="D215" s="4" t="s">
        <v>225</v>
      </c>
      <c r="E215" s="23" t="s">
        <v>468</v>
      </c>
      <c r="F215" s="4" t="s">
        <v>483</v>
      </c>
      <c r="G215" s="4" t="s">
        <v>515</v>
      </c>
      <c r="H215" s="4" t="s">
        <v>376</v>
      </c>
      <c r="I215" s="4" t="s">
        <v>53</v>
      </c>
      <c r="J215" s="4" t="s">
        <v>53</v>
      </c>
      <c r="K215" s="6" t="s">
        <v>53</v>
      </c>
      <c r="L215" s="6" t="s">
        <v>53</v>
      </c>
      <c r="M215" s="6" t="s">
        <v>53</v>
      </c>
      <c r="N215" s="4" t="s">
        <v>30</v>
      </c>
      <c r="O215" s="102">
        <v>0</v>
      </c>
      <c r="P215" s="12">
        <v>0</v>
      </c>
      <c r="Q215" s="12">
        <v>436026214</v>
      </c>
      <c r="R215" s="12">
        <v>504657757</v>
      </c>
      <c r="S215" s="12">
        <v>0</v>
      </c>
      <c r="T215" s="74"/>
    </row>
    <row r="216" spans="1:20" s="3" customFormat="1" ht="15" x14ac:dyDescent="0.2">
      <c r="A216" s="4"/>
      <c r="B216" s="5"/>
      <c r="C216" s="23" t="s">
        <v>188</v>
      </c>
      <c r="D216" s="4" t="s">
        <v>225</v>
      </c>
      <c r="E216" s="23" t="s">
        <v>468</v>
      </c>
      <c r="F216" s="4" t="s">
        <v>484</v>
      </c>
      <c r="G216" s="4" t="s">
        <v>515</v>
      </c>
      <c r="H216" s="4" t="s">
        <v>376</v>
      </c>
      <c r="I216" s="4" t="s">
        <v>53</v>
      </c>
      <c r="J216" s="4" t="s">
        <v>53</v>
      </c>
      <c r="K216" s="6" t="s">
        <v>53</v>
      </c>
      <c r="L216" s="6" t="s">
        <v>53</v>
      </c>
      <c r="M216" s="6" t="s">
        <v>53</v>
      </c>
      <c r="N216" s="4" t="s">
        <v>30</v>
      </c>
      <c r="O216" s="102">
        <v>0</v>
      </c>
      <c r="P216" s="12">
        <v>0</v>
      </c>
      <c r="Q216" s="12">
        <v>323949804</v>
      </c>
      <c r="R216" s="12">
        <v>0</v>
      </c>
      <c r="S216" s="12">
        <v>0</v>
      </c>
      <c r="T216" s="74"/>
    </row>
    <row r="217" spans="1:20" s="3" customFormat="1" ht="15" x14ac:dyDescent="0.2">
      <c r="A217" s="4"/>
      <c r="B217" s="5"/>
      <c r="C217" s="23" t="s">
        <v>188</v>
      </c>
      <c r="D217" s="4" t="s">
        <v>225</v>
      </c>
      <c r="E217" s="23" t="s">
        <v>468</v>
      </c>
      <c r="F217" s="4" t="s">
        <v>484</v>
      </c>
      <c r="G217" s="4" t="s">
        <v>515</v>
      </c>
      <c r="H217" s="4" t="s">
        <v>376</v>
      </c>
      <c r="I217" s="4" t="s">
        <v>53</v>
      </c>
      <c r="J217" s="4" t="s">
        <v>53</v>
      </c>
      <c r="K217" s="6" t="s">
        <v>53</v>
      </c>
      <c r="L217" s="6" t="s">
        <v>53</v>
      </c>
      <c r="M217" s="6" t="s">
        <v>53</v>
      </c>
      <c r="N217" s="4" t="s">
        <v>30</v>
      </c>
      <c r="O217" s="102">
        <v>0</v>
      </c>
      <c r="P217" s="12">
        <v>304174890</v>
      </c>
      <c r="Q217" s="12">
        <v>404174890</v>
      </c>
      <c r="R217" s="12">
        <v>0</v>
      </c>
      <c r="S217" s="12">
        <v>0</v>
      </c>
      <c r="T217" s="74"/>
    </row>
    <row r="218" spans="1:20" s="3" customFormat="1" ht="15" x14ac:dyDescent="0.2">
      <c r="A218" s="4"/>
      <c r="B218" s="5"/>
      <c r="C218" s="23" t="s">
        <v>188</v>
      </c>
      <c r="D218" s="4" t="s">
        <v>225</v>
      </c>
      <c r="E218" s="23" t="s">
        <v>468</v>
      </c>
      <c r="F218" s="4" t="s">
        <v>485</v>
      </c>
      <c r="G218" s="4" t="s">
        <v>515</v>
      </c>
      <c r="H218" s="4" t="s">
        <v>376</v>
      </c>
      <c r="I218" s="4" t="s">
        <v>53</v>
      </c>
      <c r="J218" s="4" t="s">
        <v>53</v>
      </c>
      <c r="K218" s="6" t="s">
        <v>53</v>
      </c>
      <c r="L218" s="6" t="s">
        <v>53</v>
      </c>
      <c r="M218" s="6" t="s">
        <v>53</v>
      </c>
      <c r="N218" s="4" t="s">
        <v>30</v>
      </c>
      <c r="O218" s="102">
        <v>0</v>
      </c>
      <c r="P218" s="12">
        <v>170500000</v>
      </c>
      <c r="Q218" s="12">
        <v>170500000</v>
      </c>
      <c r="R218" s="12">
        <v>157234000</v>
      </c>
      <c r="S218" s="12">
        <v>0</v>
      </c>
      <c r="T218" s="74"/>
    </row>
    <row r="219" spans="1:20" s="3" customFormat="1" ht="15" x14ac:dyDescent="0.2">
      <c r="A219" s="4"/>
      <c r="B219" s="5"/>
      <c r="C219" s="23" t="s">
        <v>32</v>
      </c>
      <c r="D219" s="4" t="s">
        <v>225</v>
      </c>
      <c r="E219" s="23" t="s">
        <v>468</v>
      </c>
      <c r="F219" s="4" t="s">
        <v>486</v>
      </c>
      <c r="G219" s="4" t="s">
        <v>515</v>
      </c>
      <c r="H219" s="4" t="s">
        <v>376</v>
      </c>
      <c r="I219" s="4" t="s">
        <v>53</v>
      </c>
      <c r="J219" s="4" t="s">
        <v>53</v>
      </c>
      <c r="K219" s="6" t="s">
        <v>53</v>
      </c>
      <c r="L219" s="6" t="s">
        <v>53</v>
      </c>
      <c r="M219" s="6" t="s">
        <v>53</v>
      </c>
      <c r="N219" s="4" t="s">
        <v>30</v>
      </c>
      <c r="O219" s="102">
        <v>0</v>
      </c>
      <c r="P219" s="12">
        <v>0</v>
      </c>
      <c r="Q219" s="12">
        <v>498503366</v>
      </c>
      <c r="R219" s="12">
        <v>745520823</v>
      </c>
      <c r="S219" s="12">
        <v>0</v>
      </c>
      <c r="T219" s="74"/>
    </row>
    <row r="220" spans="1:20" s="3" customFormat="1" ht="15" x14ac:dyDescent="0.2">
      <c r="A220" s="4"/>
      <c r="B220" s="5"/>
      <c r="C220" s="23" t="s">
        <v>32</v>
      </c>
      <c r="D220" s="4" t="s">
        <v>225</v>
      </c>
      <c r="E220" s="23" t="s">
        <v>468</v>
      </c>
      <c r="F220" s="4" t="s">
        <v>487</v>
      </c>
      <c r="G220" s="4" t="s">
        <v>515</v>
      </c>
      <c r="H220" s="4" t="s">
        <v>376</v>
      </c>
      <c r="I220" s="4" t="s">
        <v>53</v>
      </c>
      <c r="J220" s="4" t="s">
        <v>53</v>
      </c>
      <c r="K220" s="6" t="s">
        <v>53</v>
      </c>
      <c r="L220" s="6" t="s">
        <v>53</v>
      </c>
      <c r="M220" s="6" t="s">
        <v>53</v>
      </c>
      <c r="N220" s="4" t="s">
        <v>30</v>
      </c>
      <c r="O220" s="102">
        <v>0</v>
      </c>
      <c r="P220" s="12">
        <v>179956104</v>
      </c>
      <c r="Q220" s="12">
        <v>578723665</v>
      </c>
      <c r="R220" s="12">
        <v>590545251</v>
      </c>
      <c r="S220" s="12">
        <v>0</v>
      </c>
      <c r="T220" s="74"/>
    </row>
    <row r="221" spans="1:20" s="3" customFormat="1" ht="15" x14ac:dyDescent="0.2">
      <c r="A221" s="4"/>
      <c r="B221" s="5"/>
      <c r="C221" s="23" t="s">
        <v>32</v>
      </c>
      <c r="D221" s="4" t="s">
        <v>225</v>
      </c>
      <c r="E221" s="23" t="s">
        <v>468</v>
      </c>
      <c r="F221" s="4" t="s">
        <v>488</v>
      </c>
      <c r="G221" s="4" t="s">
        <v>515</v>
      </c>
      <c r="H221" s="4" t="s">
        <v>376</v>
      </c>
      <c r="I221" s="4" t="s">
        <v>53</v>
      </c>
      <c r="J221" s="4" t="s">
        <v>53</v>
      </c>
      <c r="K221" s="6" t="s">
        <v>53</v>
      </c>
      <c r="L221" s="6" t="s">
        <v>53</v>
      </c>
      <c r="M221" s="6" t="s">
        <v>53</v>
      </c>
      <c r="N221" s="4" t="s">
        <v>30</v>
      </c>
      <c r="O221" s="102">
        <v>0</v>
      </c>
      <c r="P221" s="12">
        <v>0</v>
      </c>
      <c r="Q221" s="12">
        <v>168253767</v>
      </c>
      <c r="R221" s="12">
        <v>168253767</v>
      </c>
      <c r="S221" s="12">
        <v>0</v>
      </c>
      <c r="T221" s="74"/>
    </row>
    <row r="222" spans="1:20" s="3" customFormat="1" ht="15" x14ac:dyDescent="0.2">
      <c r="A222" s="4"/>
      <c r="B222" s="5"/>
      <c r="C222" s="23" t="s">
        <v>32</v>
      </c>
      <c r="D222" s="4" t="s">
        <v>225</v>
      </c>
      <c r="E222" s="23" t="s">
        <v>468</v>
      </c>
      <c r="F222" s="4" t="s">
        <v>489</v>
      </c>
      <c r="G222" s="4" t="s">
        <v>515</v>
      </c>
      <c r="H222" s="4" t="s">
        <v>376</v>
      </c>
      <c r="I222" s="4" t="s">
        <v>53</v>
      </c>
      <c r="J222" s="4" t="s">
        <v>53</v>
      </c>
      <c r="K222" s="6" t="s">
        <v>53</v>
      </c>
      <c r="L222" s="6" t="s">
        <v>53</v>
      </c>
      <c r="M222" s="6" t="s">
        <v>53</v>
      </c>
      <c r="N222" s="4" t="s">
        <v>30</v>
      </c>
      <c r="O222" s="102">
        <v>0</v>
      </c>
      <c r="P222" s="12">
        <v>0</v>
      </c>
      <c r="Q222" s="12">
        <v>265207993</v>
      </c>
      <c r="R222" s="12">
        <v>265207993</v>
      </c>
      <c r="S222" s="12">
        <v>2000000000</v>
      </c>
      <c r="T222" s="74"/>
    </row>
    <row r="223" spans="1:20" s="3" customFormat="1" ht="15" x14ac:dyDescent="0.2">
      <c r="A223" s="4"/>
      <c r="B223" s="5"/>
      <c r="C223" s="23" t="s">
        <v>32</v>
      </c>
      <c r="D223" s="4" t="s">
        <v>225</v>
      </c>
      <c r="E223" s="23" t="s">
        <v>468</v>
      </c>
      <c r="F223" s="4" t="s">
        <v>490</v>
      </c>
      <c r="G223" s="4" t="s">
        <v>515</v>
      </c>
      <c r="H223" s="4" t="s">
        <v>376</v>
      </c>
      <c r="I223" s="4" t="s">
        <v>53</v>
      </c>
      <c r="J223" s="4" t="s">
        <v>53</v>
      </c>
      <c r="K223" s="6" t="s">
        <v>53</v>
      </c>
      <c r="L223" s="6" t="s">
        <v>53</v>
      </c>
      <c r="M223" s="6" t="s">
        <v>53</v>
      </c>
      <c r="N223" s="4" t="s">
        <v>30</v>
      </c>
      <c r="O223" s="102">
        <v>0</v>
      </c>
      <c r="P223" s="12">
        <v>0</v>
      </c>
      <c r="Q223" s="12">
        <v>275531185</v>
      </c>
      <c r="R223" s="12">
        <v>275531185</v>
      </c>
      <c r="S223" s="12">
        <v>2000000000</v>
      </c>
      <c r="T223" s="74"/>
    </row>
    <row r="224" spans="1:20" s="3" customFormat="1" ht="15" x14ac:dyDescent="0.2">
      <c r="A224" s="4"/>
      <c r="B224" s="5"/>
      <c r="C224" s="23" t="s">
        <v>32</v>
      </c>
      <c r="D224" s="4" t="s">
        <v>225</v>
      </c>
      <c r="E224" s="23" t="s">
        <v>468</v>
      </c>
      <c r="F224" s="4" t="s">
        <v>491</v>
      </c>
      <c r="G224" s="4" t="s">
        <v>515</v>
      </c>
      <c r="H224" s="4" t="s">
        <v>376</v>
      </c>
      <c r="I224" s="4" t="s">
        <v>53</v>
      </c>
      <c r="J224" s="4" t="s">
        <v>53</v>
      </c>
      <c r="K224" s="6" t="s">
        <v>53</v>
      </c>
      <c r="L224" s="6" t="s">
        <v>53</v>
      </c>
      <c r="M224" s="6" t="s">
        <v>53</v>
      </c>
      <c r="N224" s="4" t="s">
        <v>30</v>
      </c>
      <c r="O224" s="102">
        <v>0</v>
      </c>
      <c r="P224" s="12">
        <v>0</v>
      </c>
      <c r="Q224" s="12">
        <v>168027740</v>
      </c>
      <c r="R224" s="12">
        <v>168027740</v>
      </c>
      <c r="S224" s="12">
        <v>1500000000</v>
      </c>
      <c r="T224" s="74"/>
    </row>
    <row r="225" spans="1:20" s="3" customFormat="1" ht="15" x14ac:dyDescent="0.2">
      <c r="A225" s="4"/>
      <c r="B225" s="5"/>
      <c r="C225" s="23" t="s">
        <v>32</v>
      </c>
      <c r="D225" s="4" t="s">
        <v>225</v>
      </c>
      <c r="E225" s="23" t="s">
        <v>468</v>
      </c>
      <c r="F225" s="4" t="s">
        <v>492</v>
      </c>
      <c r="G225" s="4" t="s">
        <v>515</v>
      </c>
      <c r="H225" s="4" t="s">
        <v>376</v>
      </c>
      <c r="I225" s="4" t="s">
        <v>53</v>
      </c>
      <c r="J225" s="4" t="s">
        <v>53</v>
      </c>
      <c r="K225" s="6" t="s">
        <v>53</v>
      </c>
      <c r="L225" s="6" t="s">
        <v>53</v>
      </c>
      <c r="M225" s="6" t="s">
        <v>53</v>
      </c>
      <c r="N225" s="4" t="s">
        <v>30</v>
      </c>
      <c r="O225" s="102">
        <v>0</v>
      </c>
      <c r="P225" s="12">
        <v>0</v>
      </c>
      <c r="Q225" s="12">
        <v>483600000</v>
      </c>
      <c r="R225" s="12">
        <v>480521398</v>
      </c>
      <c r="S225" s="12">
        <v>0</v>
      </c>
      <c r="T225" s="74"/>
    </row>
    <row r="226" spans="1:20" s="3" customFormat="1" ht="15" x14ac:dyDescent="0.2">
      <c r="A226" s="4"/>
      <c r="B226" s="5"/>
      <c r="C226" s="23" t="s">
        <v>32</v>
      </c>
      <c r="D226" s="4" t="s">
        <v>225</v>
      </c>
      <c r="E226" s="23" t="s">
        <v>468</v>
      </c>
      <c r="F226" s="4" t="s">
        <v>493</v>
      </c>
      <c r="G226" s="4" t="s">
        <v>515</v>
      </c>
      <c r="H226" s="4" t="s">
        <v>376</v>
      </c>
      <c r="I226" s="4" t="s">
        <v>53</v>
      </c>
      <c r="J226" s="4" t="s">
        <v>53</v>
      </c>
      <c r="K226" s="6" t="s">
        <v>53</v>
      </c>
      <c r="L226" s="6" t="s">
        <v>53</v>
      </c>
      <c r="M226" s="6" t="s">
        <v>53</v>
      </c>
      <c r="N226" s="4" t="s">
        <v>30</v>
      </c>
      <c r="O226" s="102">
        <v>0</v>
      </c>
      <c r="P226" s="12">
        <v>0</v>
      </c>
      <c r="Q226" s="12">
        <v>0</v>
      </c>
      <c r="R226" s="12">
        <v>0</v>
      </c>
      <c r="S226" s="12">
        <v>1500000000</v>
      </c>
      <c r="T226" s="74"/>
    </row>
    <row r="227" spans="1:20" s="3" customFormat="1" ht="15" x14ac:dyDescent="0.2">
      <c r="A227" s="4"/>
      <c r="B227" s="5"/>
      <c r="C227" s="23" t="s">
        <v>229</v>
      </c>
      <c r="D227" s="4" t="s">
        <v>225</v>
      </c>
      <c r="E227" s="23" t="s">
        <v>468</v>
      </c>
      <c r="F227" s="4" t="s">
        <v>496</v>
      </c>
      <c r="G227" s="4" t="s">
        <v>515</v>
      </c>
      <c r="H227" s="4" t="s">
        <v>376</v>
      </c>
      <c r="I227" s="4" t="s">
        <v>53</v>
      </c>
      <c r="J227" s="4" t="s">
        <v>53</v>
      </c>
      <c r="K227" s="6" t="s">
        <v>53</v>
      </c>
      <c r="L227" s="6" t="s">
        <v>53</v>
      </c>
      <c r="M227" s="6" t="s">
        <v>53</v>
      </c>
      <c r="N227" s="4" t="s">
        <v>30</v>
      </c>
      <c r="O227" s="102">
        <v>0</v>
      </c>
      <c r="P227" s="12">
        <v>3050000000</v>
      </c>
      <c r="Q227" s="12">
        <v>0</v>
      </c>
      <c r="R227" s="12">
        <v>0</v>
      </c>
      <c r="S227" s="12">
        <v>0</v>
      </c>
      <c r="T227" s="74"/>
    </row>
    <row r="228" spans="1:20" s="3" customFormat="1" ht="15" x14ac:dyDescent="0.2">
      <c r="A228" s="4"/>
      <c r="B228" s="5"/>
      <c r="C228" s="23" t="s">
        <v>42</v>
      </c>
      <c r="D228" s="4" t="s">
        <v>225</v>
      </c>
      <c r="E228" s="23" t="s">
        <v>535</v>
      </c>
      <c r="F228" s="4" t="s">
        <v>475</v>
      </c>
      <c r="G228" s="4" t="s">
        <v>543</v>
      </c>
      <c r="H228" s="4" t="s">
        <v>376</v>
      </c>
      <c r="I228" s="4" t="s">
        <v>53</v>
      </c>
      <c r="J228" s="4" t="s">
        <v>53</v>
      </c>
      <c r="K228" s="6" t="s">
        <v>53</v>
      </c>
      <c r="L228" s="6" t="s">
        <v>53</v>
      </c>
      <c r="M228" s="6" t="s">
        <v>53</v>
      </c>
      <c r="N228" s="4" t="s">
        <v>30</v>
      </c>
      <c r="O228" s="102">
        <v>0</v>
      </c>
      <c r="P228" s="12">
        <v>0</v>
      </c>
      <c r="Q228" s="12">
        <v>0</v>
      </c>
      <c r="R228" s="12">
        <v>2000000000</v>
      </c>
      <c r="S228" s="12">
        <v>2000000000</v>
      </c>
      <c r="T228" s="74"/>
    </row>
    <row r="229" spans="1:20" s="3" customFormat="1" ht="15" x14ac:dyDescent="0.2">
      <c r="A229" s="4"/>
      <c r="B229" s="5"/>
      <c r="C229" s="23" t="s">
        <v>42</v>
      </c>
      <c r="D229" s="4" t="s">
        <v>225</v>
      </c>
      <c r="E229" s="23" t="s">
        <v>535</v>
      </c>
      <c r="F229" s="4" t="s">
        <v>546</v>
      </c>
      <c r="G229" s="4" t="s">
        <v>543</v>
      </c>
      <c r="H229" s="4" t="s">
        <v>375</v>
      </c>
      <c r="I229" s="4" t="s">
        <v>53</v>
      </c>
      <c r="J229" s="4" t="s">
        <v>53</v>
      </c>
      <c r="K229" s="6" t="s">
        <v>53</v>
      </c>
      <c r="L229" s="6" t="s">
        <v>53</v>
      </c>
      <c r="M229" s="6" t="s">
        <v>53</v>
      </c>
      <c r="N229" s="4" t="s">
        <v>30</v>
      </c>
      <c r="O229" s="102">
        <v>0</v>
      </c>
      <c r="P229" s="12">
        <v>0</v>
      </c>
      <c r="Q229" s="12">
        <v>0</v>
      </c>
      <c r="R229" s="12">
        <v>2858800000</v>
      </c>
      <c r="S229" s="12">
        <v>2845600000</v>
      </c>
      <c r="T229" s="74"/>
    </row>
    <row r="230" spans="1:20" s="3" customFormat="1" ht="15" x14ac:dyDescent="0.2">
      <c r="A230" s="4"/>
      <c r="B230" s="5"/>
      <c r="C230" s="23" t="s">
        <v>42</v>
      </c>
      <c r="D230" s="4" t="s">
        <v>225</v>
      </c>
      <c r="E230" s="23" t="s">
        <v>535</v>
      </c>
      <c r="F230" s="4" t="s">
        <v>474</v>
      </c>
      <c r="G230" s="4" t="s">
        <v>543</v>
      </c>
      <c r="H230" s="4" t="s">
        <v>376</v>
      </c>
      <c r="I230" s="4" t="s">
        <v>53</v>
      </c>
      <c r="J230" s="4" t="s">
        <v>53</v>
      </c>
      <c r="K230" s="6" t="s">
        <v>53</v>
      </c>
      <c r="L230" s="6" t="s">
        <v>53</v>
      </c>
      <c r="M230" s="6" t="s">
        <v>53</v>
      </c>
      <c r="N230" s="4" t="s">
        <v>30</v>
      </c>
      <c r="O230" s="102">
        <v>0</v>
      </c>
      <c r="P230" s="12">
        <v>2000000000</v>
      </c>
      <c r="Q230" s="12">
        <v>2000000000</v>
      </c>
      <c r="R230" s="12">
        <v>0</v>
      </c>
      <c r="S230" s="12">
        <v>0</v>
      </c>
      <c r="T230" s="74"/>
    </row>
    <row r="231" spans="1:20" s="3" customFormat="1" ht="15" x14ac:dyDescent="0.2">
      <c r="A231" s="4"/>
      <c r="B231" s="5"/>
      <c r="C231" s="23" t="s">
        <v>42</v>
      </c>
      <c r="D231" s="4" t="s">
        <v>225</v>
      </c>
      <c r="E231" s="23" t="s">
        <v>535</v>
      </c>
      <c r="F231" s="4" t="s">
        <v>477</v>
      </c>
      <c r="G231" s="4" t="s">
        <v>543</v>
      </c>
      <c r="H231" s="4" t="s">
        <v>376</v>
      </c>
      <c r="I231" s="4" t="s">
        <v>53</v>
      </c>
      <c r="J231" s="4" t="s">
        <v>53</v>
      </c>
      <c r="K231" s="6" t="s">
        <v>53</v>
      </c>
      <c r="L231" s="6" t="s">
        <v>53</v>
      </c>
      <c r="M231" s="6" t="s">
        <v>53</v>
      </c>
      <c r="N231" s="4" t="s">
        <v>30</v>
      </c>
      <c r="O231" s="102">
        <v>400000000</v>
      </c>
      <c r="P231" s="12">
        <v>400000000</v>
      </c>
      <c r="Q231" s="12">
        <v>400000000</v>
      </c>
      <c r="R231" s="12">
        <v>0</v>
      </c>
      <c r="S231" s="12">
        <v>0</v>
      </c>
      <c r="T231" s="74"/>
    </row>
    <row r="232" spans="1:20" s="3" customFormat="1" ht="15" x14ac:dyDescent="0.2">
      <c r="A232" s="4"/>
      <c r="B232" s="5"/>
      <c r="C232" s="23" t="s">
        <v>42</v>
      </c>
      <c r="D232" s="4" t="s">
        <v>225</v>
      </c>
      <c r="E232" s="23" t="s">
        <v>535</v>
      </c>
      <c r="F232" s="4" t="s">
        <v>545</v>
      </c>
      <c r="G232" s="4" t="s">
        <v>543</v>
      </c>
      <c r="H232" s="4" t="s">
        <v>375</v>
      </c>
      <c r="I232" s="4" t="s">
        <v>53</v>
      </c>
      <c r="J232" s="4" t="s">
        <v>53</v>
      </c>
      <c r="K232" s="6" t="s">
        <v>53</v>
      </c>
      <c r="L232" s="6" t="s">
        <v>53</v>
      </c>
      <c r="M232" s="6" t="s">
        <v>53</v>
      </c>
      <c r="N232" s="4" t="s">
        <v>30</v>
      </c>
      <c r="O232" s="102">
        <v>3219000000</v>
      </c>
      <c r="P232" s="12">
        <v>3100000000</v>
      </c>
      <c r="Q232" s="12">
        <v>3100000000</v>
      </c>
      <c r="R232" s="12">
        <v>0</v>
      </c>
      <c r="S232" s="12">
        <v>0</v>
      </c>
      <c r="T232" s="74"/>
    </row>
    <row r="233" spans="1:20" s="3" customFormat="1" ht="15" x14ac:dyDescent="0.2">
      <c r="A233" s="4"/>
      <c r="B233" s="5"/>
      <c r="C233" s="23" t="s">
        <v>229</v>
      </c>
      <c r="D233" s="4" t="s">
        <v>225</v>
      </c>
      <c r="E233" s="23" t="s">
        <v>228</v>
      </c>
      <c r="F233" s="4" t="s">
        <v>576</v>
      </c>
      <c r="G233" s="4" t="s">
        <v>549</v>
      </c>
      <c r="H233" s="4" t="s">
        <v>376</v>
      </c>
      <c r="I233" s="4" t="s">
        <v>53</v>
      </c>
      <c r="J233" s="4" t="s">
        <v>53</v>
      </c>
      <c r="K233" s="6" t="s">
        <v>53</v>
      </c>
      <c r="L233" s="6" t="s">
        <v>53</v>
      </c>
      <c r="M233" s="6" t="s">
        <v>53</v>
      </c>
      <c r="N233" s="4" t="s">
        <v>30</v>
      </c>
      <c r="O233" s="102">
        <v>4000000000</v>
      </c>
      <c r="P233" s="12">
        <v>0</v>
      </c>
      <c r="Q233" s="12">
        <v>0</v>
      </c>
      <c r="R233" s="12">
        <v>0</v>
      </c>
      <c r="S233" s="12">
        <v>0</v>
      </c>
      <c r="T233" s="74"/>
    </row>
    <row r="234" spans="1:20" s="3" customFormat="1" ht="15" x14ac:dyDescent="0.2">
      <c r="A234" s="4"/>
      <c r="B234" s="5"/>
      <c r="C234" s="23" t="s">
        <v>229</v>
      </c>
      <c r="D234" s="4" t="s">
        <v>225</v>
      </c>
      <c r="E234" s="23" t="s">
        <v>228</v>
      </c>
      <c r="F234" s="4" t="s">
        <v>577</v>
      </c>
      <c r="G234" s="4" t="s">
        <v>549</v>
      </c>
      <c r="H234" s="4" t="s">
        <v>376</v>
      </c>
      <c r="I234" s="4" t="s">
        <v>53</v>
      </c>
      <c r="J234" s="4" t="s">
        <v>53</v>
      </c>
      <c r="K234" s="6" t="s">
        <v>53</v>
      </c>
      <c r="L234" s="6" t="s">
        <v>53</v>
      </c>
      <c r="M234" s="6" t="s">
        <v>53</v>
      </c>
      <c r="N234" s="4" t="s">
        <v>30</v>
      </c>
      <c r="O234" s="102">
        <v>600000000</v>
      </c>
      <c r="P234" s="12">
        <v>0</v>
      </c>
      <c r="Q234" s="12">
        <v>0</v>
      </c>
      <c r="R234" s="12">
        <v>0</v>
      </c>
      <c r="S234" s="12">
        <v>0</v>
      </c>
      <c r="T234" s="74"/>
    </row>
    <row r="235" spans="1:20" s="3" customFormat="1" ht="15" x14ac:dyDescent="0.2">
      <c r="A235" s="4"/>
      <c r="B235" s="5"/>
      <c r="C235" s="23" t="s">
        <v>229</v>
      </c>
      <c r="D235" s="4" t="s">
        <v>225</v>
      </c>
      <c r="E235" s="23" t="s">
        <v>228</v>
      </c>
      <c r="F235" s="4" t="s">
        <v>573</v>
      </c>
      <c r="G235" s="4" t="s">
        <v>549</v>
      </c>
      <c r="H235" s="4" t="s">
        <v>376</v>
      </c>
      <c r="I235" s="4" t="s">
        <v>53</v>
      </c>
      <c r="J235" s="4" t="s">
        <v>53</v>
      </c>
      <c r="K235" s="6" t="s">
        <v>53</v>
      </c>
      <c r="L235" s="6" t="s">
        <v>53</v>
      </c>
      <c r="M235" s="6" t="s">
        <v>53</v>
      </c>
      <c r="N235" s="4" t="s">
        <v>30</v>
      </c>
      <c r="O235" s="102">
        <v>1500000000</v>
      </c>
      <c r="P235" s="12">
        <v>1500000000</v>
      </c>
      <c r="Q235" s="12">
        <v>0</v>
      </c>
      <c r="R235" s="12">
        <v>0</v>
      </c>
      <c r="S235" s="12">
        <v>0</v>
      </c>
      <c r="T235" s="74"/>
    </row>
    <row r="236" spans="1:20" s="3" customFormat="1" ht="15" x14ac:dyDescent="0.2">
      <c r="A236" s="4"/>
      <c r="B236" s="5"/>
      <c r="C236" s="23" t="s">
        <v>229</v>
      </c>
      <c r="D236" s="4" t="s">
        <v>225</v>
      </c>
      <c r="E236" s="23" t="s">
        <v>228</v>
      </c>
      <c r="F236" s="4" t="s">
        <v>572</v>
      </c>
      <c r="G236" s="4" t="s">
        <v>549</v>
      </c>
      <c r="H236" s="4" t="s">
        <v>375</v>
      </c>
      <c r="I236" s="4" t="s">
        <v>53</v>
      </c>
      <c r="J236" s="4" t="s">
        <v>53</v>
      </c>
      <c r="K236" s="6" t="s">
        <v>53</v>
      </c>
      <c r="L236" s="6" t="s">
        <v>53</v>
      </c>
      <c r="M236" s="6" t="s">
        <v>53</v>
      </c>
      <c r="N236" s="4" t="s">
        <v>30</v>
      </c>
      <c r="O236" s="102">
        <v>3824123715</v>
      </c>
      <c r="P236" s="12">
        <v>3875000000</v>
      </c>
      <c r="Q236" s="12">
        <v>3875000000</v>
      </c>
      <c r="R236" s="12">
        <v>0</v>
      </c>
      <c r="S236" s="12">
        <v>0</v>
      </c>
      <c r="T236" s="74"/>
    </row>
    <row r="237" spans="1:20" s="3" customFormat="1" ht="15" x14ac:dyDescent="0.2">
      <c r="A237" s="4"/>
      <c r="B237" s="5"/>
      <c r="C237" s="23" t="s">
        <v>229</v>
      </c>
      <c r="D237" s="4" t="s">
        <v>225</v>
      </c>
      <c r="E237" s="23" t="s">
        <v>228</v>
      </c>
      <c r="F237" s="4" t="s">
        <v>570</v>
      </c>
      <c r="G237" s="4" t="s">
        <v>549</v>
      </c>
      <c r="H237" s="4" t="s">
        <v>376</v>
      </c>
      <c r="I237" s="4" t="s">
        <v>53</v>
      </c>
      <c r="J237" s="4" t="s">
        <v>53</v>
      </c>
      <c r="K237" s="6" t="s">
        <v>53</v>
      </c>
      <c r="L237" s="6" t="s">
        <v>53</v>
      </c>
      <c r="M237" s="6" t="s">
        <v>53</v>
      </c>
      <c r="N237" s="4" t="s">
        <v>30</v>
      </c>
      <c r="O237" s="102">
        <v>6000000000</v>
      </c>
      <c r="P237" s="12">
        <v>6000000000</v>
      </c>
      <c r="Q237" s="12">
        <v>8000000000</v>
      </c>
      <c r="R237" s="12">
        <v>5500000000</v>
      </c>
      <c r="S237" s="12">
        <v>2000000000</v>
      </c>
      <c r="T237" s="74"/>
    </row>
    <row r="238" spans="1:20" s="3" customFormat="1" ht="15" x14ac:dyDescent="0.2">
      <c r="A238" s="4"/>
      <c r="B238" s="5"/>
      <c r="C238" s="23" t="s">
        <v>229</v>
      </c>
      <c r="D238" s="4" t="s">
        <v>225</v>
      </c>
      <c r="E238" s="23" t="s">
        <v>228</v>
      </c>
      <c r="F238" s="4" t="s">
        <v>569</v>
      </c>
      <c r="G238" s="4" t="s">
        <v>549</v>
      </c>
      <c r="H238" s="4" t="s">
        <v>376</v>
      </c>
      <c r="I238" s="4" t="s">
        <v>53</v>
      </c>
      <c r="J238" s="4" t="s">
        <v>53</v>
      </c>
      <c r="K238" s="6" t="s">
        <v>53</v>
      </c>
      <c r="L238" s="6" t="s">
        <v>53</v>
      </c>
      <c r="M238" s="6" t="s">
        <v>53</v>
      </c>
      <c r="N238" s="4" t="s">
        <v>30</v>
      </c>
      <c r="O238" s="102">
        <v>2000000000</v>
      </c>
      <c r="P238" s="12">
        <v>2000000000</v>
      </c>
      <c r="Q238" s="12">
        <v>2000000000</v>
      </c>
      <c r="R238" s="12">
        <v>2000000000</v>
      </c>
      <c r="S238" s="12">
        <v>2000000000</v>
      </c>
      <c r="T238" s="74"/>
    </row>
    <row r="239" spans="1:20" s="3" customFormat="1" ht="15" x14ac:dyDescent="0.2">
      <c r="A239" s="4"/>
      <c r="B239" s="5"/>
      <c r="C239" s="23" t="s">
        <v>32</v>
      </c>
      <c r="D239" s="4" t="s">
        <v>225</v>
      </c>
      <c r="E239" s="23" t="s">
        <v>228</v>
      </c>
      <c r="F239" s="4" t="s">
        <v>556</v>
      </c>
      <c r="G239" s="4" t="s">
        <v>549</v>
      </c>
      <c r="H239" s="4" t="s">
        <v>376</v>
      </c>
      <c r="I239" s="4" t="s">
        <v>53</v>
      </c>
      <c r="J239" s="4" t="s">
        <v>53</v>
      </c>
      <c r="K239" s="6" t="s">
        <v>53</v>
      </c>
      <c r="L239" s="6" t="s">
        <v>53</v>
      </c>
      <c r="M239" s="6" t="s">
        <v>53</v>
      </c>
      <c r="N239" s="4" t="s">
        <v>30</v>
      </c>
      <c r="O239" s="102">
        <v>0</v>
      </c>
      <c r="P239" s="12">
        <v>38452200</v>
      </c>
      <c r="Q239" s="12">
        <v>0</v>
      </c>
      <c r="R239" s="12">
        <v>0</v>
      </c>
      <c r="S239" s="12">
        <v>0</v>
      </c>
      <c r="T239" s="74"/>
    </row>
    <row r="240" spans="1:20" s="3" customFormat="1" ht="15" x14ac:dyDescent="0.2">
      <c r="A240" s="4"/>
      <c r="B240" s="5"/>
      <c r="C240" s="23" t="s">
        <v>32</v>
      </c>
      <c r="D240" s="4" t="s">
        <v>225</v>
      </c>
      <c r="E240" s="23" t="s">
        <v>228</v>
      </c>
      <c r="F240" s="4" t="s">
        <v>557</v>
      </c>
      <c r="G240" s="4" t="s">
        <v>549</v>
      </c>
      <c r="H240" s="4" t="s">
        <v>376</v>
      </c>
      <c r="I240" s="4" t="s">
        <v>53</v>
      </c>
      <c r="J240" s="4" t="s">
        <v>53</v>
      </c>
      <c r="K240" s="6" t="s">
        <v>53</v>
      </c>
      <c r="L240" s="6" t="s">
        <v>53</v>
      </c>
      <c r="M240" s="6" t="s">
        <v>53</v>
      </c>
      <c r="N240" s="4" t="s">
        <v>30</v>
      </c>
      <c r="O240" s="102">
        <v>0</v>
      </c>
      <c r="P240" s="12">
        <v>37566090</v>
      </c>
      <c r="Q240" s="12">
        <v>0</v>
      </c>
      <c r="R240" s="12">
        <v>0</v>
      </c>
      <c r="S240" s="12">
        <v>0</v>
      </c>
      <c r="T240" s="74"/>
    </row>
    <row r="241" spans="1:20" s="3" customFormat="1" ht="15" x14ac:dyDescent="0.2">
      <c r="A241" s="4"/>
      <c r="B241" s="5"/>
      <c r="C241" s="23" t="s">
        <v>32</v>
      </c>
      <c r="D241" s="4" t="s">
        <v>225</v>
      </c>
      <c r="E241" s="23" t="s">
        <v>228</v>
      </c>
      <c r="F241" s="4" t="s">
        <v>558</v>
      </c>
      <c r="G241" s="4" t="s">
        <v>549</v>
      </c>
      <c r="H241" s="4" t="s">
        <v>376</v>
      </c>
      <c r="I241" s="4" t="s">
        <v>53</v>
      </c>
      <c r="J241" s="4" t="s">
        <v>53</v>
      </c>
      <c r="K241" s="6" t="s">
        <v>53</v>
      </c>
      <c r="L241" s="6" t="s">
        <v>53</v>
      </c>
      <c r="M241" s="6" t="s">
        <v>53</v>
      </c>
      <c r="N241" s="4" t="s">
        <v>30</v>
      </c>
      <c r="O241" s="102">
        <v>0</v>
      </c>
      <c r="P241" s="12">
        <v>38508890</v>
      </c>
      <c r="Q241" s="12">
        <v>0</v>
      </c>
      <c r="R241" s="12">
        <v>0</v>
      </c>
      <c r="S241" s="12">
        <v>0</v>
      </c>
      <c r="T241" s="74"/>
    </row>
    <row r="242" spans="1:20" s="3" customFormat="1" ht="15" x14ac:dyDescent="0.2">
      <c r="A242" s="4"/>
      <c r="B242" s="5"/>
      <c r="C242" s="23" t="s">
        <v>229</v>
      </c>
      <c r="D242" s="4" t="s">
        <v>225</v>
      </c>
      <c r="E242" s="23" t="s">
        <v>228</v>
      </c>
      <c r="F242" s="4" t="s">
        <v>559</v>
      </c>
      <c r="G242" s="4" t="s">
        <v>549</v>
      </c>
      <c r="H242" s="4" t="s">
        <v>376</v>
      </c>
      <c r="I242" s="4" t="s">
        <v>53</v>
      </c>
      <c r="J242" s="4" t="s">
        <v>53</v>
      </c>
      <c r="K242" s="6" t="s">
        <v>53</v>
      </c>
      <c r="L242" s="6" t="s">
        <v>53</v>
      </c>
      <c r="M242" s="6" t="s">
        <v>53</v>
      </c>
      <c r="N242" s="4" t="s">
        <v>30</v>
      </c>
      <c r="O242" s="102">
        <v>0</v>
      </c>
      <c r="P242" s="12">
        <v>0</v>
      </c>
      <c r="Q242" s="12">
        <v>1500000000</v>
      </c>
      <c r="R242" s="12">
        <v>1500000000</v>
      </c>
      <c r="S242" s="12">
        <v>0</v>
      </c>
      <c r="T242" s="74"/>
    </row>
    <row r="243" spans="1:20" s="3" customFormat="1" ht="15" x14ac:dyDescent="0.2">
      <c r="A243" s="4"/>
      <c r="B243" s="5"/>
      <c r="C243" s="23" t="s">
        <v>229</v>
      </c>
      <c r="D243" s="4" t="s">
        <v>225</v>
      </c>
      <c r="E243" s="23" t="s">
        <v>228</v>
      </c>
      <c r="F243" s="4" t="s">
        <v>568</v>
      </c>
      <c r="G243" s="4" t="s">
        <v>549</v>
      </c>
      <c r="H243" s="4" t="s">
        <v>376</v>
      </c>
      <c r="I243" s="4" t="s">
        <v>53</v>
      </c>
      <c r="J243" s="4" t="s">
        <v>53</v>
      </c>
      <c r="K243" s="6" t="s">
        <v>53</v>
      </c>
      <c r="L243" s="6" t="s">
        <v>53</v>
      </c>
      <c r="M243" s="6" t="s">
        <v>53</v>
      </c>
      <c r="N243" s="4" t="s">
        <v>30</v>
      </c>
      <c r="O243" s="102">
        <v>0</v>
      </c>
      <c r="P243" s="12">
        <v>0</v>
      </c>
      <c r="Q243" s="12">
        <v>3000000000</v>
      </c>
      <c r="R243" s="12">
        <v>3000000000</v>
      </c>
      <c r="S243" s="12">
        <v>3000000000</v>
      </c>
      <c r="T243" s="74"/>
    </row>
    <row r="244" spans="1:20" s="3" customFormat="1" ht="15" x14ac:dyDescent="0.2">
      <c r="A244" s="4"/>
      <c r="B244" s="5"/>
      <c r="C244" s="23" t="s">
        <v>229</v>
      </c>
      <c r="D244" s="4" t="s">
        <v>225</v>
      </c>
      <c r="E244" s="23" t="s">
        <v>228</v>
      </c>
      <c r="F244" s="4" t="s">
        <v>560</v>
      </c>
      <c r="G244" s="4" t="s">
        <v>549</v>
      </c>
      <c r="H244" s="4" t="s">
        <v>376</v>
      </c>
      <c r="I244" s="4" t="s">
        <v>53</v>
      </c>
      <c r="J244" s="4" t="s">
        <v>53</v>
      </c>
      <c r="K244" s="6" t="s">
        <v>53</v>
      </c>
      <c r="L244" s="6" t="s">
        <v>53</v>
      </c>
      <c r="M244" s="6" t="s">
        <v>53</v>
      </c>
      <c r="N244" s="4" t="s">
        <v>30</v>
      </c>
      <c r="O244" s="102">
        <v>0</v>
      </c>
      <c r="P244" s="12">
        <v>0</v>
      </c>
      <c r="Q244" s="12">
        <v>3000000000</v>
      </c>
      <c r="R244" s="12">
        <v>3000000000</v>
      </c>
      <c r="S244" s="12">
        <v>0</v>
      </c>
      <c r="T244" s="74"/>
    </row>
    <row r="245" spans="1:20" s="3" customFormat="1" ht="15" x14ac:dyDescent="0.2">
      <c r="A245" s="4"/>
      <c r="B245" s="5"/>
      <c r="C245" s="23" t="s">
        <v>229</v>
      </c>
      <c r="D245" s="4" t="s">
        <v>225</v>
      </c>
      <c r="E245" s="23" t="s">
        <v>228</v>
      </c>
      <c r="F245" s="4" t="s">
        <v>561</v>
      </c>
      <c r="G245" s="4" t="s">
        <v>549</v>
      </c>
      <c r="H245" s="4" t="s">
        <v>376</v>
      </c>
      <c r="I245" s="4" t="s">
        <v>53</v>
      </c>
      <c r="J245" s="4" t="s">
        <v>53</v>
      </c>
      <c r="K245" s="6" t="s">
        <v>53</v>
      </c>
      <c r="L245" s="6" t="s">
        <v>53</v>
      </c>
      <c r="M245" s="6" t="s">
        <v>53</v>
      </c>
      <c r="N245" s="4" t="s">
        <v>30</v>
      </c>
      <c r="O245" s="102">
        <v>0</v>
      </c>
      <c r="P245" s="12">
        <v>0</v>
      </c>
      <c r="Q245" s="12">
        <v>0</v>
      </c>
      <c r="R245" s="12">
        <v>3000000000</v>
      </c>
      <c r="S245" s="12">
        <v>0</v>
      </c>
      <c r="T245" s="74"/>
    </row>
    <row r="246" spans="1:20" s="3" customFormat="1" ht="15" x14ac:dyDescent="0.2">
      <c r="A246" s="4"/>
      <c r="B246" s="5"/>
      <c r="C246" s="23" t="s">
        <v>229</v>
      </c>
      <c r="D246" s="4" t="s">
        <v>225</v>
      </c>
      <c r="E246" s="23" t="s">
        <v>228</v>
      </c>
      <c r="F246" s="4" t="s">
        <v>562</v>
      </c>
      <c r="G246" s="4" t="s">
        <v>549</v>
      </c>
      <c r="H246" s="4" t="s">
        <v>375</v>
      </c>
      <c r="I246" s="4" t="s">
        <v>53</v>
      </c>
      <c r="J246" s="4" t="s">
        <v>53</v>
      </c>
      <c r="K246" s="6" t="s">
        <v>53</v>
      </c>
      <c r="L246" s="6" t="s">
        <v>53</v>
      </c>
      <c r="M246" s="6" t="s">
        <v>53</v>
      </c>
      <c r="N246" s="4" t="s">
        <v>30</v>
      </c>
      <c r="O246" s="102">
        <v>0</v>
      </c>
      <c r="P246" s="12">
        <v>0</v>
      </c>
      <c r="Q246" s="12">
        <v>1550000000</v>
      </c>
      <c r="R246" s="12">
        <v>1429400000</v>
      </c>
      <c r="S246" s="12">
        <v>1422800000</v>
      </c>
      <c r="T246" s="74"/>
    </row>
    <row r="247" spans="1:20" s="3" customFormat="1" ht="15" x14ac:dyDescent="0.2">
      <c r="A247" s="4"/>
      <c r="B247" s="5"/>
      <c r="C247" s="23" t="s">
        <v>229</v>
      </c>
      <c r="D247" s="4" t="s">
        <v>225</v>
      </c>
      <c r="E247" s="23" t="s">
        <v>228</v>
      </c>
      <c r="F247" s="4" t="s">
        <v>563</v>
      </c>
      <c r="G247" s="4" t="s">
        <v>549</v>
      </c>
      <c r="H247" s="4" t="s">
        <v>376</v>
      </c>
      <c r="I247" s="4" t="s">
        <v>53</v>
      </c>
      <c r="J247" s="4" t="s">
        <v>53</v>
      </c>
      <c r="K247" s="6" t="s">
        <v>53</v>
      </c>
      <c r="L247" s="6" t="s">
        <v>53</v>
      </c>
      <c r="M247" s="6" t="s">
        <v>53</v>
      </c>
      <c r="N247" s="4" t="s">
        <v>30</v>
      </c>
      <c r="O247" s="102">
        <v>0</v>
      </c>
      <c r="P247" s="12">
        <v>0</v>
      </c>
      <c r="Q247" s="12">
        <v>1500000000</v>
      </c>
      <c r="R247" s="12">
        <v>0</v>
      </c>
      <c r="S247" s="12">
        <v>0</v>
      </c>
      <c r="T247" s="74"/>
    </row>
    <row r="248" spans="1:20" s="3" customFormat="1" ht="15" x14ac:dyDescent="0.2">
      <c r="A248" s="4"/>
      <c r="B248" s="5"/>
      <c r="C248" s="23" t="s">
        <v>229</v>
      </c>
      <c r="D248" s="4" t="s">
        <v>225</v>
      </c>
      <c r="E248" s="23" t="s">
        <v>228</v>
      </c>
      <c r="F248" s="4" t="s">
        <v>563</v>
      </c>
      <c r="G248" s="4" t="s">
        <v>549</v>
      </c>
      <c r="H248" s="4" t="s">
        <v>376</v>
      </c>
      <c r="I248" s="4" t="s">
        <v>53</v>
      </c>
      <c r="J248" s="4" t="s">
        <v>53</v>
      </c>
      <c r="K248" s="6" t="s">
        <v>53</v>
      </c>
      <c r="L248" s="6" t="s">
        <v>53</v>
      </c>
      <c r="M248" s="6" t="s">
        <v>53</v>
      </c>
      <c r="N248" s="4" t="s">
        <v>30</v>
      </c>
      <c r="O248" s="102">
        <v>0</v>
      </c>
      <c r="P248" s="12">
        <v>0</v>
      </c>
      <c r="Q248" s="12">
        <v>1000000000</v>
      </c>
      <c r="R248" s="12">
        <v>0</v>
      </c>
      <c r="S248" s="12">
        <v>0</v>
      </c>
      <c r="T248" s="74"/>
    </row>
    <row r="249" spans="1:20" s="3" customFormat="1" ht="15" x14ac:dyDescent="0.2">
      <c r="A249" s="4"/>
      <c r="B249" s="5"/>
      <c r="C249" s="23" t="s">
        <v>229</v>
      </c>
      <c r="D249" s="4" t="s">
        <v>225</v>
      </c>
      <c r="E249" s="23" t="s">
        <v>228</v>
      </c>
      <c r="F249" s="4" t="s">
        <v>564</v>
      </c>
      <c r="G249" s="4" t="s">
        <v>549</v>
      </c>
      <c r="H249" s="4" t="s">
        <v>376</v>
      </c>
      <c r="I249" s="4" t="s">
        <v>53</v>
      </c>
      <c r="J249" s="4" t="s">
        <v>53</v>
      </c>
      <c r="K249" s="6" t="s">
        <v>53</v>
      </c>
      <c r="L249" s="6" t="s">
        <v>53</v>
      </c>
      <c r="M249" s="6" t="s">
        <v>53</v>
      </c>
      <c r="N249" s="4" t="s">
        <v>30</v>
      </c>
      <c r="O249" s="102">
        <v>0</v>
      </c>
      <c r="P249" s="12">
        <v>4000000000</v>
      </c>
      <c r="Q249" s="12">
        <v>0</v>
      </c>
      <c r="R249" s="12">
        <v>0</v>
      </c>
      <c r="S249" s="12">
        <v>0</v>
      </c>
      <c r="T249" s="74"/>
    </row>
    <row r="250" spans="1:20" s="3" customFormat="1" ht="15" x14ac:dyDescent="0.2">
      <c r="A250" s="4"/>
      <c r="B250" s="5"/>
      <c r="C250" s="23" t="s">
        <v>229</v>
      </c>
      <c r="D250" s="4" t="s">
        <v>225</v>
      </c>
      <c r="E250" s="23" t="s">
        <v>228</v>
      </c>
      <c r="F250" s="4" t="s">
        <v>565</v>
      </c>
      <c r="G250" s="4" t="s">
        <v>549</v>
      </c>
      <c r="H250" s="4" t="s">
        <v>376</v>
      </c>
      <c r="I250" s="4" t="s">
        <v>53</v>
      </c>
      <c r="J250" s="4" t="s">
        <v>53</v>
      </c>
      <c r="K250" s="6" t="s">
        <v>53</v>
      </c>
      <c r="L250" s="6" t="s">
        <v>53</v>
      </c>
      <c r="M250" s="6" t="s">
        <v>53</v>
      </c>
      <c r="N250" s="4" t="s">
        <v>30</v>
      </c>
      <c r="O250" s="102">
        <v>0</v>
      </c>
      <c r="P250" s="12">
        <v>600000000</v>
      </c>
      <c r="Q250" s="12">
        <v>0</v>
      </c>
      <c r="R250" s="12">
        <v>0</v>
      </c>
      <c r="S250" s="12">
        <v>0</v>
      </c>
      <c r="T250" s="74"/>
    </row>
    <row r="251" spans="1:20" s="3" customFormat="1" ht="15" x14ac:dyDescent="0.2">
      <c r="A251" s="4"/>
      <c r="B251" s="5"/>
      <c r="C251" s="23" t="s">
        <v>229</v>
      </c>
      <c r="D251" s="4" t="s">
        <v>225</v>
      </c>
      <c r="E251" s="23" t="s">
        <v>228</v>
      </c>
      <c r="F251" s="4" t="s">
        <v>566</v>
      </c>
      <c r="G251" s="4" t="s">
        <v>549</v>
      </c>
      <c r="H251" s="4" t="s">
        <v>376</v>
      </c>
      <c r="I251" s="4" t="s">
        <v>53</v>
      </c>
      <c r="J251" s="4" t="s">
        <v>53</v>
      </c>
      <c r="K251" s="6" t="s">
        <v>53</v>
      </c>
      <c r="L251" s="6" t="s">
        <v>53</v>
      </c>
      <c r="M251" s="6" t="s">
        <v>53</v>
      </c>
      <c r="N251" s="4" t="s">
        <v>30</v>
      </c>
      <c r="O251" s="102">
        <v>0</v>
      </c>
      <c r="P251" s="12">
        <v>3000000000</v>
      </c>
      <c r="Q251" s="12">
        <v>0</v>
      </c>
      <c r="R251" s="12">
        <v>0</v>
      </c>
      <c r="S251" s="12">
        <v>0</v>
      </c>
      <c r="T251" s="74"/>
    </row>
    <row r="252" spans="1:20" s="3" customFormat="1" ht="15" x14ac:dyDescent="0.2">
      <c r="A252" s="4"/>
      <c r="B252" s="5"/>
      <c r="C252" s="23" t="s">
        <v>32</v>
      </c>
      <c r="D252" s="4" t="s">
        <v>225</v>
      </c>
      <c r="E252" s="23" t="s">
        <v>228</v>
      </c>
      <c r="F252" s="4" t="s">
        <v>567</v>
      </c>
      <c r="G252" s="4" t="s">
        <v>549</v>
      </c>
      <c r="H252" s="4" t="s">
        <v>376</v>
      </c>
      <c r="I252" s="4" t="s">
        <v>53</v>
      </c>
      <c r="J252" s="4" t="s">
        <v>53</v>
      </c>
      <c r="K252" s="6" t="s">
        <v>53</v>
      </c>
      <c r="L252" s="6" t="s">
        <v>53</v>
      </c>
      <c r="M252" s="6" t="s">
        <v>53</v>
      </c>
      <c r="N252" s="4" t="s">
        <v>30</v>
      </c>
      <c r="O252" s="102">
        <v>0</v>
      </c>
      <c r="P252" s="12">
        <v>39063410</v>
      </c>
      <c r="Q252" s="12">
        <v>0</v>
      </c>
      <c r="R252" s="12">
        <v>0</v>
      </c>
      <c r="S252" s="12">
        <v>0</v>
      </c>
      <c r="T252" s="74"/>
    </row>
    <row r="253" spans="1:20" s="3" customFormat="1" ht="15" x14ac:dyDescent="0.2">
      <c r="A253" s="4"/>
      <c r="B253" s="5"/>
      <c r="C253" s="23" t="s">
        <v>42</v>
      </c>
      <c r="D253" s="4" t="s">
        <v>225</v>
      </c>
      <c r="E253" s="23" t="s">
        <v>378</v>
      </c>
      <c r="F253" s="4" t="s">
        <v>600</v>
      </c>
      <c r="G253" s="4" t="s">
        <v>591</v>
      </c>
      <c r="H253" s="4" t="s">
        <v>376</v>
      </c>
      <c r="I253" s="4" t="s">
        <v>53</v>
      </c>
      <c r="J253" s="4" t="s">
        <v>53</v>
      </c>
      <c r="K253" s="6" t="s">
        <v>53</v>
      </c>
      <c r="L253" s="6" t="s">
        <v>53</v>
      </c>
      <c r="M253" s="6" t="s">
        <v>53</v>
      </c>
      <c r="N253" s="4"/>
      <c r="O253" s="102">
        <v>0</v>
      </c>
      <c r="P253" s="12">
        <v>0</v>
      </c>
      <c r="Q253" s="12">
        <v>3000000000</v>
      </c>
      <c r="R253" s="12">
        <v>3000000000</v>
      </c>
      <c r="S253" s="12">
        <v>3000000000</v>
      </c>
    </row>
    <row r="254" spans="1:20" s="3" customFormat="1" ht="15" x14ac:dyDescent="0.2">
      <c r="A254" s="4"/>
      <c r="B254" s="5"/>
      <c r="C254" s="23" t="s">
        <v>42</v>
      </c>
      <c r="D254" s="4" t="s">
        <v>225</v>
      </c>
      <c r="E254" s="23" t="s">
        <v>378</v>
      </c>
      <c r="F254" s="4" t="s">
        <v>601</v>
      </c>
      <c r="G254" s="4" t="s">
        <v>591</v>
      </c>
      <c r="H254" s="4" t="s">
        <v>376</v>
      </c>
      <c r="I254" s="4" t="s">
        <v>53</v>
      </c>
      <c r="J254" s="4" t="s">
        <v>53</v>
      </c>
      <c r="K254" s="6" t="s">
        <v>53</v>
      </c>
      <c r="L254" s="6" t="s">
        <v>53</v>
      </c>
      <c r="M254" s="6" t="s">
        <v>53</v>
      </c>
      <c r="N254" s="4"/>
      <c r="O254" s="102">
        <v>0</v>
      </c>
      <c r="P254" s="12">
        <v>0</v>
      </c>
      <c r="Q254" s="12">
        <v>2400000000</v>
      </c>
      <c r="R254" s="12">
        <v>2000000000</v>
      </c>
      <c r="S254" s="12">
        <v>2400000000</v>
      </c>
    </row>
    <row r="255" spans="1:20" s="3" customFormat="1" ht="15" x14ac:dyDescent="0.2">
      <c r="A255" s="4"/>
      <c r="B255" s="5"/>
      <c r="C255" s="23" t="s">
        <v>42</v>
      </c>
      <c r="D255" s="4" t="s">
        <v>225</v>
      </c>
      <c r="E255" s="23" t="s">
        <v>378</v>
      </c>
      <c r="F255" s="4" t="s">
        <v>592</v>
      </c>
      <c r="G255" s="4" t="s">
        <v>591</v>
      </c>
      <c r="H255" s="4" t="s">
        <v>376</v>
      </c>
      <c r="I255" s="4" t="s">
        <v>53</v>
      </c>
      <c r="J255" s="4" t="s">
        <v>53</v>
      </c>
      <c r="K255" s="6" t="s">
        <v>53</v>
      </c>
      <c r="L255" s="6" t="s">
        <v>53</v>
      </c>
      <c r="M255" s="6" t="s">
        <v>53</v>
      </c>
      <c r="N255" s="4"/>
      <c r="O255" s="102">
        <v>0</v>
      </c>
      <c r="P255" s="12">
        <v>2000000000</v>
      </c>
      <c r="Q255" s="12">
        <v>2000000000</v>
      </c>
      <c r="R255" s="12">
        <v>2000000000</v>
      </c>
      <c r="S255" s="12">
        <v>0</v>
      </c>
    </row>
    <row r="256" spans="1:20" s="3" customFormat="1" ht="15" x14ac:dyDescent="0.2">
      <c r="A256" s="4"/>
      <c r="B256" s="5"/>
      <c r="C256" s="23" t="s">
        <v>42</v>
      </c>
      <c r="D256" s="4" t="s">
        <v>225</v>
      </c>
      <c r="E256" s="23" t="s">
        <v>378</v>
      </c>
      <c r="F256" s="4" t="s">
        <v>593</v>
      </c>
      <c r="G256" s="4" t="s">
        <v>591</v>
      </c>
      <c r="H256" s="4" t="s">
        <v>376</v>
      </c>
      <c r="I256" s="4" t="s">
        <v>53</v>
      </c>
      <c r="J256" s="4" t="s">
        <v>53</v>
      </c>
      <c r="K256" s="6" t="s">
        <v>53</v>
      </c>
      <c r="L256" s="6" t="s">
        <v>53</v>
      </c>
      <c r="M256" s="6" t="s">
        <v>53</v>
      </c>
      <c r="N256" s="4"/>
      <c r="O256" s="102">
        <v>0</v>
      </c>
      <c r="P256" s="12">
        <v>2000000000</v>
      </c>
      <c r="Q256" s="12">
        <v>3000000000</v>
      </c>
      <c r="R256" s="12">
        <v>3000000000</v>
      </c>
      <c r="S256" s="12">
        <v>0</v>
      </c>
    </row>
    <row r="257" spans="1:19" s="3" customFormat="1" ht="15" x14ac:dyDescent="0.2">
      <c r="A257" s="4"/>
      <c r="B257" s="5"/>
      <c r="C257" s="23" t="s">
        <v>42</v>
      </c>
      <c r="D257" s="4" t="s">
        <v>225</v>
      </c>
      <c r="E257" s="23" t="s">
        <v>378</v>
      </c>
      <c r="F257" s="4" t="s">
        <v>595</v>
      </c>
      <c r="G257" s="4" t="s">
        <v>591</v>
      </c>
      <c r="H257" s="4" t="s">
        <v>376</v>
      </c>
      <c r="I257" s="4" t="s">
        <v>53</v>
      </c>
      <c r="J257" s="4" t="s">
        <v>53</v>
      </c>
      <c r="K257" s="6" t="s">
        <v>53</v>
      </c>
      <c r="L257" s="6" t="s">
        <v>53</v>
      </c>
      <c r="M257" s="6" t="s">
        <v>53</v>
      </c>
      <c r="N257" s="4"/>
      <c r="O257" s="102">
        <v>0</v>
      </c>
      <c r="P257" s="12">
        <v>3100000000</v>
      </c>
      <c r="Q257" s="12">
        <v>3100000000</v>
      </c>
      <c r="R257" s="12">
        <v>2858800000</v>
      </c>
      <c r="S257" s="12">
        <v>2845600000</v>
      </c>
    </row>
    <row r="258" spans="1:19" s="3" customFormat="1" ht="15" x14ac:dyDescent="0.2">
      <c r="A258" s="4"/>
      <c r="B258" s="5"/>
      <c r="C258" s="23" t="s">
        <v>42</v>
      </c>
      <c r="D258" s="4" t="s">
        <v>225</v>
      </c>
      <c r="E258" s="23" t="s">
        <v>378</v>
      </c>
      <c r="F258" s="4" t="s">
        <v>594</v>
      </c>
      <c r="G258" s="4" t="s">
        <v>591</v>
      </c>
      <c r="H258" s="4" t="s">
        <v>376</v>
      </c>
      <c r="I258" s="4" t="s">
        <v>53</v>
      </c>
      <c r="J258" s="4" t="s">
        <v>53</v>
      </c>
      <c r="K258" s="6" t="s">
        <v>53</v>
      </c>
      <c r="L258" s="6" t="s">
        <v>53</v>
      </c>
      <c r="M258" s="6" t="s">
        <v>53</v>
      </c>
      <c r="N258" s="4"/>
      <c r="O258" s="102">
        <v>0</v>
      </c>
      <c r="P258" s="12">
        <v>3100000000</v>
      </c>
      <c r="Q258" s="12">
        <v>3100000000</v>
      </c>
      <c r="R258" s="12">
        <v>2858800000</v>
      </c>
      <c r="S258" s="12">
        <v>2845600000</v>
      </c>
    </row>
    <row r="259" spans="1:19" s="3" customFormat="1" ht="15" x14ac:dyDescent="0.2">
      <c r="A259" s="4"/>
      <c r="B259" s="5"/>
      <c r="C259" s="23" t="s">
        <v>42</v>
      </c>
      <c r="D259" s="4" t="s">
        <v>225</v>
      </c>
      <c r="E259" s="23" t="s">
        <v>378</v>
      </c>
      <c r="F259" s="4" t="s">
        <v>598</v>
      </c>
      <c r="G259" s="4" t="s">
        <v>591</v>
      </c>
      <c r="H259" s="4" t="s">
        <v>376</v>
      </c>
      <c r="I259" s="4" t="s">
        <v>53</v>
      </c>
      <c r="J259" s="4" t="s">
        <v>53</v>
      </c>
      <c r="K259" s="6" t="s">
        <v>53</v>
      </c>
      <c r="L259" s="6" t="s">
        <v>53</v>
      </c>
      <c r="M259" s="6" t="s">
        <v>53</v>
      </c>
      <c r="N259" s="4"/>
      <c r="O259" s="102">
        <v>0</v>
      </c>
      <c r="P259" s="12">
        <v>0</v>
      </c>
      <c r="Q259" s="12">
        <v>0</v>
      </c>
      <c r="R259" s="12">
        <v>0</v>
      </c>
      <c r="S259" s="12">
        <v>2000000000</v>
      </c>
    </row>
    <row r="260" spans="1:19" s="3" customFormat="1" ht="15" x14ac:dyDescent="0.2">
      <c r="A260" s="4"/>
      <c r="B260" s="5"/>
      <c r="C260" s="23" t="s">
        <v>42</v>
      </c>
      <c r="D260" s="4" t="s">
        <v>225</v>
      </c>
      <c r="E260" s="23" t="s">
        <v>378</v>
      </c>
      <c r="F260" s="4" t="s">
        <v>570</v>
      </c>
      <c r="G260" s="4" t="s">
        <v>591</v>
      </c>
      <c r="H260" s="4" t="s">
        <v>376</v>
      </c>
      <c r="I260" s="4" t="s">
        <v>53</v>
      </c>
      <c r="J260" s="4" t="s">
        <v>53</v>
      </c>
      <c r="K260" s="6" t="s">
        <v>53</v>
      </c>
      <c r="L260" s="6" t="s">
        <v>53</v>
      </c>
      <c r="M260" s="6" t="s">
        <v>53</v>
      </c>
      <c r="N260" s="4"/>
      <c r="O260" s="102">
        <v>3000000000</v>
      </c>
      <c r="P260" s="12">
        <v>3000000000</v>
      </c>
      <c r="Q260" s="12">
        <v>3000000000</v>
      </c>
      <c r="R260" s="12">
        <v>3000000000</v>
      </c>
      <c r="S260" s="12">
        <v>0</v>
      </c>
    </row>
    <row r="261" spans="1:19" s="3" customFormat="1" ht="15" x14ac:dyDescent="0.2">
      <c r="A261" s="4"/>
      <c r="B261" s="5"/>
      <c r="C261" s="23" t="s">
        <v>42</v>
      </c>
      <c r="D261" s="4" t="s">
        <v>225</v>
      </c>
      <c r="E261" s="23" t="s">
        <v>378</v>
      </c>
      <c r="F261" s="4" t="s">
        <v>594</v>
      </c>
      <c r="G261" s="4" t="s">
        <v>591</v>
      </c>
      <c r="H261" s="4" t="s">
        <v>376</v>
      </c>
      <c r="I261" s="4" t="s">
        <v>53</v>
      </c>
      <c r="J261" s="4" t="s">
        <v>53</v>
      </c>
      <c r="K261" s="6" t="s">
        <v>53</v>
      </c>
      <c r="L261" s="6" t="s">
        <v>53</v>
      </c>
      <c r="M261" s="6" t="s">
        <v>53</v>
      </c>
      <c r="N261" s="4"/>
      <c r="O261" s="102">
        <v>3219000000</v>
      </c>
      <c r="P261" s="12">
        <v>3100000000</v>
      </c>
      <c r="Q261" s="12">
        <v>3100000000</v>
      </c>
      <c r="R261" s="12">
        <v>2858800000</v>
      </c>
      <c r="S261" s="12">
        <v>2845600000</v>
      </c>
    </row>
    <row r="262" spans="1:19" s="3" customFormat="1" ht="15" x14ac:dyDescent="0.2">
      <c r="A262" s="4"/>
      <c r="B262" s="5"/>
      <c r="C262" s="23" t="s">
        <v>42</v>
      </c>
      <c r="D262" s="4" t="s">
        <v>225</v>
      </c>
      <c r="E262" s="23" t="s">
        <v>378</v>
      </c>
      <c r="F262" s="4" t="s">
        <v>596</v>
      </c>
      <c r="G262" s="4" t="s">
        <v>591</v>
      </c>
      <c r="H262" s="4" t="s">
        <v>376</v>
      </c>
      <c r="I262" s="4" t="s">
        <v>53</v>
      </c>
      <c r="J262" s="4" t="s">
        <v>53</v>
      </c>
      <c r="K262" s="6" t="s">
        <v>53</v>
      </c>
      <c r="L262" s="6" t="s">
        <v>53</v>
      </c>
      <c r="M262" s="6" t="s">
        <v>53</v>
      </c>
      <c r="N262" s="4"/>
      <c r="O262" s="102">
        <v>3219000000</v>
      </c>
      <c r="P262" s="12">
        <v>3100000000</v>
      </c>
      <c r="Q262" s="12">
        <v>3100000000</v>
      </c>
      <c r="R262" s="12">
        <v>2858800000</v>
      </c>
      <c r="S262" s="12">
        <v>2845600000</v>
      </c>
    </row>
    <row r="263" spans="1:19" s="3" customFormat="1" ht="15" x14ac:dyDescent="0.2">
      <c r="A263" s="4"/>
      <c r="B263" s="5"/>
      <c r="C263" s="23" t="s">
        <v>42</v>
      </c>
      <c r="D263" s="4" t="s">
        <v>225</v>
      </c>
      <c r="E263" s="23" t="s">
        <v>378</v>
      </c>
      <c r="F263" s="4" t="s">
        <v>597</v>
      </c>
      <c r="G263" s="4" t="s">
        <v>591</v>
      </c>
      <c r="H263" s="4" t="s">
        <v>376</v>
      </c>
      <c r="I263" s="4" t="s">
        <v>53</v>
      </c>
      <c r="J263" s="4" t="s">
        <v>53</v>
      </c>
      <c r="K263" s="6" t="s">
        <v>53</v>
      </c>
      <c r="L263" s="6" t="s">
        <v>53</v>
      </c>
      <c r="M263" s="6" t="s">
        <v>53</v>
      </c>
      <c r="N263" s="4"/>
      <c r="O263" s="102">
        <v>3219000000</v>
      </c>
      <c r="P263" s="12">
        <v>4650000000</v>
      </c>
      <c r="Q263" s="12">
        <v>4650000000</v>
      </c>
      <c r="R263" s="12">
        <v>4288200000</v>
      </c>
      <c r="S263" s="12">
        <v>4268400000</v>
      </c>
    </row>
    <row r="264" spans="1:19" s="3" customFormat="1" ht="15" x14ac:dyDescent="0.2">
      <c r="A264" s="4"/>
      <c r="B264" s="5"/>
      <c r="C264" s="23" t="s">
        <v>42</v>
      </c>
      <c r="D264" s="4" t="s">
        <v>225</v>
      </c>
      <c r="E264" s="23" t="s">
        <v>378</v>
      </c>
      <c r="F264" s="4" t="s">
        <v>599</v>
      </c>
      <c r="G264" s="4" t="s">
        <v>591</v>
      </c>
      <c r="H264" s="4" t="s">
        <v>376</v>
      </c>
      <c r="I264" s="4" t="s">
        <v>53</v>
      </c>
      <c r="J264" s="4" t="s">
        <v>53</v>
      </c>
      <c r="K264" s="6" t="s">
        <v>53</v>
      </c>
      <c r="L264" s="6" t="s">
        <v>53</v>
      </c>
      <c r="M264" s="6" t="s">
        <v>53</v>
      </c>
      <c r="N264" s="4"/>
      <c r="O264" s="102">
        <v>2600000000</v>
      </c>
      <c r="P264" s="12">
        <v>2600000000</v>
      </c>
      <c r="Q264" s="12">
        <v>0</v>
      </c>
      <c r="R264" s="12">
        <v>0</v>
      </c>
      <c r="S264" s="12">
        <v>0</v>
      </c>
    </row>
    <row r="265" spans="1:19" s="3" customFormat="1" ht="15" x14ac:dyDescent="0.2">
      <c r="A265" s="4"/>
      <c r="B265" s="5"/>
      <c r="C265" s="23" t="s">
        <v>32</v>
      </c>
      <c r="D265" s="4" t="s">
        <v>225</v>
      </c>
      <c r="E265" s="23" t="s">
        <v>611</v>
      </c>
      <c r="F265" s="4" t="s">
        <v>615</v>
      </c>
      <c r="G265" s="4" t="s">
        <v>622</v>
      </c>
      <c r="H265" s="4" t="s">
        <v>376</v>
      </c>
      <c r="I265" s="4" t="s">
        <v>53</v>
      </c>
      <c r="J265" s="4" t="s">
        <v>53</v>
      </c>
      <c r="K265" s="6" t="s">
        <v>53</v>
      </c>
      <c r="L265" s="6" t="s">
        <v>53</v>
      </c>
      <c r="M265" s="6" t="s">
        <v>53</v>
      </c>
      <c r="N265" s="4"/>
      <c r="O265" s="102">
        <v>0</v>
      </c>
      <c r="P265" s="12">
        <v>3079270383</v>
      </c>
      <c r="Q265" s="12">
        <v>3151868626</v>
      </c>
      <c r="R265" s="12">
        <v>2694794778</v>
      </c>
      <c r="S265" s="12">
        <v>885545044</v>
      </c>
    </row>
    <row r="266" spans="1:19" s="3" customFormat="1" ht="15" x14ac:dyDescent="0.2">
      <c r="A266" s="4"/>
      <c r="B266" s="5"/>
      <c r="C266" s="23" t="s">
        <v>32</v>
      </c>
      <c r="D266" s="4" t="s">
        <v>225</v>
      </c>
      <c r="E266" s="23" t="s">
        <v>611</v>
      </c>
      <c r="F266" s="4" t="s">
        <v>616</v>
      </c>
      <c r="G266" s="4" t="s">
        <v>622</v>
      </c>
      <c r="H266" s="4" t="s">
        <v>376</v>
      </c>
      <c r="I266" s="4" t="s">
        <v>53</v>
      </c>
      <c r="J266" s="4" t="s">
        <v>53</v>
      </c>
      <c r="K266" s="6" t="s">
        <v>53</v>
      </c>
      <c r="L266" s="6" t="s">
        <v>53</v>
      </c>
      <c r="M266" s="6" t="s">
        <v>53</v>
      </c>
      <c r="N266" s="4"/>
      <c r="O266" s="102">
        <v>0</v>
      </c>
      <c r="P266" s="12">
        <v>0</v>
      </c>
      <c r="Q266" s="12">
        <v>0</v>
      </c>
      <c r="R266" s="12">
        <v>936703225</v>
      </c>
      <c r="S266" s="12">
        <v>931923957</v>
      </c>
    </row>
    <row r="267" spans="1:19" s="3" customFormat="1" ht="15" x14ac:dyDescent="0.2">
      <c r="A267" s="4"/>
      <c r="B267" s="5"/>
      <c r="C267" s="23" t="s">
        <v>32</v>
      </c>
      <c r="D267" s="4" t="s">
        <v>225</v>
      </c>
      <c r="E267" s="23" t="s">
        <v>611</v>
      </c>
      <c r="F267" s="4" t="s">
        <v>617</v>
      </c>
      <c r="G267" s="4" t="s">
        <v>622</v>
      </c>
      <c r="H267" s="4" t="s">
        <v>376</v>
      </c>
      <c r="I267" s="4" t="s">
        <v>53</v>
      </c>
      <c r="J267" s="4" t="s">
        <v>53</v>
      </c>
      <c r="K267" s="6" t="s">
        <v>53</v>
      </c>
      <c r="L267" s="6" t="s">
        <v>53</v>
      </c>
      <c r="M267" s="6" t="s">
        <v>53</v>
      </c>
      <c r="N267" s="4"/>
      <c r="O267" s="102">
        <v>0</v>
      </c>
      <c r="P267" s="12">
        <v>107749230</v>
      </c>
      <c r="Q267" s="12">
        <v>202779947</v>
      </c>
      <c r="R267" s="12">
        <v>264789559</v>
      </c>
      <c r="S267" s="12">
        <v>240368654</v>
      </c>
    </row>
    <row r="268" spans="1:19" s="3" customFormat="1" ht="15" x14ac:dyDescent="0.2">
      <c r="A268" s="4"/>
      <c r="B268" s="5"/>
      <c r="C268" s="23" t="s">
        <v>32</v>
      </c>
      <c r="D268" s="4" t="s">
        <v>225</v>
      </c>
      <c r="E268" s="23" t="s">
        <v>611</v>
      </c>
      <c r="F268" s="4" t="s">
        <v>618</v>
      </c>
      <c r="G268" s="4" t="s">
        <v>622</v>
      </c>
      <c r="H268" s="4" t="s">
        <v>376</v>
      </c>
      <c r="I268" s="4" t="s">
        <v>53</v>
      </c>
      <c r="J268" s="4" t="s">
        <v>53</v>
      </c>
      <c r="K268" s="6" t="s">
        <v>53</v>
      </c>
      <c r="L268" s="6" t="s">
        <v>53</v>
      </c>
      <c r="M268" s="6" t="s">
        <v>53</v>
      </c>
      <c r="N268" s="4"/>
      <c r="O268" s="102">
        <v>0</v>
      </c>
      <c r="P268" s="12">
        <v>105590059</v>
      </c>
      <c r="Q268" s="12">
        <v>167188434</v>
      </c>
      <c r="R268" s="12">
        <v>216118647</v>
      </c>
      <c r="S268" s="12">
        <v>249477939</v>
      </c>
    </row>
    <row r="269" spans="1:19" s="3" customFormat="1" ht="15" x14ac:dyDescent="0.2">
      <c r="A269" s="4"/>
      <c r="B269" s="5"/>
      <c r="C269" s="23" t="s">
        <v>32</v>
      </c>
      <c r="D269" s="4" t="s">
        <v>225</v>
      </c>
      <c r="E269" s="23" t="s">
        <v>611</v>
      </c>
      <c r="F269" s="4" t="s">
        <v>619</v>
      </c>
      <c r="G269" s="4" t="s">
        <v>622</v>
      </c>
      <c r="H269" s="4" t="s">
        <v>376</v>
      </c>
      <c r="I269" s="4" t="s">
        <v>53</v>
      </c>
      <c r="J269" s="4" t="s">
        <v>53</v>
      </c>
      <c r="K269" s="6" t="s">
        <v>53</v>
      </c>
      <c r="L269" s="6" t="s">
        <v>53</v>
      </c>
      <c r="M269" s="6" t="s">
        <v>53</v>
      </c>
      <c r="N269" s="4"/>
      <c r="O269" s="102">
        <v>0</v>
      </c>
      <c r="P269" s="12">
        <v>0</v>
      </c>
      <c r="Q269" s="12">
        <v>0</v>
      </c>
      <c r="R269" s="12">
        <v>0</v>
      </c>
      <c r="S269" s="12">
        <v>1859969393</v>
      </c>
    </row>
    <row r="270" spans="1:19" s="3" customFormat="1" ht="15" x14ac:dyDescent="0.2">
      <c r="A270" s="4"/>
      <c r="B270" s="5"/>
      <c r="C270" s="23" t="s">
        <v>621</v>
      </c>
      <c r="D270" s="4" t="s">
        <v>225</v>
      </c>
      <c r="E270" s="23" t="s">
        <v>611</v>
      </c>
      <c r="F270" s="4" t="s">
        <v>620</v>
      </c>
      <c r="G270" s="4" t="s">
        <v>622</v>
      </c>
      <c r="H270" s="4" t="s">
        <v>376</v>
      </c>
      <c r="I270" s="4" t="s">
        <v>53</v>
      </c>
      <c r="J270" s="4" t="s">
        <v>53</v>
      </c>
      <c r="K270" s="6" t="s">
        <v>53</v>
      </c>
      <c r="L270" s="6" t="s">
        <v>53</v>
      </c>
      <c r="M270" s="6" t="s">
        <v>53</v>
      </c>
      <c r="N270" s="4"/>
      <c r="O270" s="102">
        <v>422118838</v>
      </c>
      <c r="P270" s="12">
        <v>0</v>
      </c>
      <c r="Q270" s="12">
        <v>0</v>
      </c>
      <c r="R270" s="12">
        <v>0</v>
      </c>
      <c r="S270" s="12">
        <v>0</v>
      </c>
    </row>
    <row r="271" spans="1:19" s="3" customFormat="1" ht="15" x14ac:dyDescent="0.2">
      <c r="A271" s="4"/>
      <c r="B271" s="5" t="e">
        <f t="shared" ref="B271:B289" si="14">VLOOKUP(C271,T:U,2,)</f>
        <v>#N/A</v>
      </c>
      <c r="C271" s="23" t="s">
        <v>188</v>
      </c>
      <c r="D271" s="4" t="s">
        <v>225</v>
      </c>
      <c r="E271" s="23" t="s">
        <v>636</v>
      </c>
      <c r="F271" s="4" t="s">
        <v>645</v>
      </c>
      <c r="G271" s="4" t="s">
        <v>666</v>
      </c>
      <c r="H271" s="4" t="s">
        <v>376</v>
      </c>
      <c r="I271" s="4" t="s">
        <v>53</v>
      </c>
      <c r="J271" s="4" t="s">
        <v>53</v>
      </c>
      <c r="K271" s="6" t="s">
        <v>53</v>
      </c>
      <c r="L271" s="6" t="s">
        <v>53</v>
      </c>
      <c r="M271" s="6" t="s">
        <v>53</v>
      </c>
      <c r="N271" s="4"/>
      <c r="O271" s="102">
        <v>0</v>
      </c>
      <c r="P271" s="12">
        <v>490849503</v>
      </c>
      <c r="Q271" s="12">
        <v>300807399</v>
      </c>
      <c r="R271" s="12">
        <v>968068071</v>
      </c>
      <c r="S271" s="12">
        <v>0</v>
      </c>
    </row>
    <row r="272" spans="1:19" s="3" customFormat="1" ht="15" x14ac:dyDescent="0.2">
      <c r="A272" s="4"/>
      <c r="B272" s="5" t="e">
        <f t="shared" si="14"/>
        <v>#N/A</v>
      </c>
      <c r="C272" s="23" t="s">
        <v>188</v>
      </c>
      <c r="D272" s="4" t="s">
        <v>225</v>
      </c>
      <c r="E272" s="23" t="s">
        <v>636</v>
      </c>
      <c r="F272" s="4" t="s">
        <v>646</v>
      </c>
      <c r="G272" s="4" t="s">
        <v>666</v>
      </c>
      <c r="H272" s="4" t="s">
        <v>375</v>
      </c>
      <c r="I272" s="4" t="s">
        <v>53</v>
      </c>
      <c r="J272" s="4" t="s">
        <v>53</v>
      </c>
      <c r="K272" s="6" t="s">
        <v>53</v>
      </c>
      <c r="L272" s="6" t="s">
        <v>53</v>
      </c>
      <c r="M272" s="6" t="s">
        <v>53</v>
      </c>
      <c r="N272" s="4"/>
      <c r="O272" s="102">
        <v>0</v>
      </c>
      <c r="P272" s="12">
        <v>0</v>
      </c>
      <c r="Q272" s="12">
        <v>580723000</v>
      </c>
      <c r="R272" s="12">
        <v>763985712</v>
      </c>
      <c r="S272" s="12">
        <v>661730052</v>
      </c>
    </row>
    <row r="273" spans="1:21" s="3" customFormat="1" ht="15" x14ac:dyDescent="0.2">
      <c r="A273" s="4"/>
      <c r="B273" s="5" t="e">
        <f t="shared" si="14"/>
        <v>#N/A</v>
      </c>
      <c r="C273" s="23" t="s">
        <v>188</v>
      </c>
      <c r="D273" s="4" t="s">
        <v>225</v>
      </c>
      <c r="E273" s="23" t="s">
        <v>636</v>
      </c>
      <c r="F273" s="4" t="s">
        <v>482</v>
      </c>
      <c r="G273" s="4" t="s">
        <v>666</v>
      </c>
      <c r="H273" s="4" t="s">
        <v>376</v>
      </c>
      <c r="I273" s="4" t="s">
        <v>53</v>
      </c>
      <c r="J273" s="4" t="s">
        <v>53</v>
      </c>
      <c r="K273" s="6" t="s">
        <v>53</v>
      </c>
      <c r="L273" s="6" t="s">
        <v>53</v>
      </c>
      <c r="M273" s="6" t="s">
        <v>53</v>
      </c>
      <c r="N273" s="4"/>
      <c r="O273" s="102">
        <v>0</v>
      </c>
      <c r="P273" s="12">
        <v>0</v>
      </c>
      <c r="Q273" s="12">
        <v>0</v>
      </c>
      <c r="R273" s="12">
        <v>0</v>
      </c>
      <c r="S273" s="12">
        <v>1022596897</v>
      </c>
    </row>
    <row r="274" spans="1:21" s="3" customFormat="1" ht="15" x14ac:dyDescent="0.2">
      <c r="A274" s="4"/>
      <c r="B274" s="5" t="e">
        <f t="shared" si="14"/>
        <v>#N/A</v>
      </c>
      <c r="C274" s="23" t="s">
        <v>188</v>
      </c>
      <c r="D274" s="4" t="s">
        <v>225</v>
      </c>
      <c r="E274" s="23" t="s">
        <v>636</v>
      </c>
      <c r="F274" s="4" t="s">
        <v>647</v>
      </c>
      <c r="G274" s="4" t="s">
        <v>666</v>
      </c>
      <c r="H274" s="4" t="s">
        <v>376</v>
      </c>
      <c r="I274" s="4" t="s">
        <v>53</v>
      </c>
      <c r="J274" s="4" t="s">
        <v>53</v>
      </c>
      <c r="K274" s="6" t="s">
        <v>53</v>
      </c>
      <c r="L274" s="6" t="s">
        <v>53</v>
      </c>
      <c r="M274" s="6" t="s">
        <v>53</v>
      </c>
      <c r="N274" s="4"/>
      <c r="O274" s="102">
        <v>0</v>
      </c>
      <c r="P274" s="12">
        <v>0</v>
      </c>
      <c r="Q274" s="12">
        <v>0</v>
      </c>
      <c r="R274" s="12">
        <v>0</v>
      </c>
      <c r="S274" s="12">
        <v>1728081046</v>
      </c>
    </row>
    <row r="275" spans="1:21" s="3" customFormat="1" ht="15" x14ac:dyDescent="0.2">
      <c r="A275" s="4"/>
      <c r="B275" s="5" t="e">
        <f t="shared" si="14"/>
        <v>#N/A</v>
      </c>
      <c r="C275" s="23" t="s">
        <v>188</v>
      </c>
      <c r="D275" s="4" t="s">
        <v>225</v>
      </c>
      <c r="E275" s="23" t="s">
        <v>636</v>
      </c>
      <c r="F275" s="4" t="s">
        <v>648</v>
      </c>
      <c r="G275" s="4" t="s">
        <v>666</v>
      </c>
      <c r="H275" s="4" t="s">
        <v>376</v>
      </c>
      <c r="I275" s="4" t="s">
        <v>53</v>
      </c>
      <c r="J275" s="4" t="s">
        <v>53</v>
      </c>
      <c r="K275" s="6" t="s">
        <v>53</v>
      </c>
      <c r="L275" s="6" t="s">
        <v>53</v>
      </c>
      <c r="M275" s="6" t="s">
        <v>53</v>
      </c>
      <c r="N275" s="4"/>
      <c r="O275" s="102">
        <v>0</v>
      </c>
      <c r="P275" s="12">
        <v>0</v>
      </c>
      <c r="Q275" s="12">
        <v>0</v>
      </c>
      <c r="R275" s="12">
        <v>0</v>
      </c>
      <c r="S275" s="12">
        <v>3000000000</v>
      </c>
    </row>
    <row r="276" spans="1:21" s="3" customFormat="1" ht="15" x14ac:dyDescent="0.2">
      <c r="A276" s="4"/>
      <c r="B276" s="5" t="e">
        <f t="shared" si="14"/>
        <v>#N/A</v>
      </c>
      <c r="C276" s="23" t="s">
        <v>188</v>
      </c>
      <c r="D276" s="4" t="s">
        <v>225</v>
      </c>
      <c r="E276" s="23" t="s">
        <v>636</v>
      </c>
      <c r="F276" s="4" t="s">
        <v>649</v>
      </c>
      <c r="G276" s="4" t="s">
        <v>666</v>
      </c>
      <c r="H276" s="4" t="s">
        <v>376</v>
      </c>
      <c r="I276" s="4" t="s">
        <v>53</v>
      </c>
      <c r="J276" s="4" t="s">
        <v>53</v>
      </c>
      <c r="K276" s="6" t="s">
        <v>53</v>
      </c>
      <c r="L276" s="6" t="s">
        <v>53</v>
      </c>
      <c r="M276" s="6" t="s">
        <v>53</v>
      </c>
      <c r="N276" s="4"/>
      <c r="O276" s="102">
        <v>0</v>
      </c>
      <c r="P276" s="12">
        <v>0</v>
      </c>
      <c r="Q276" s="12">
        <v>0</v>
      </c>
      <c r="R276" s="12">
        <v>0</v>
      </c>
      <c r="S276" s="12">
        <v>1619992451</v>
      </c>
    </row>
    <row r="277" spans="1:21" s="3" customFormat="1" ht="15" x14ac:dyDescent="0.2">
      <c r="A277" s="4"/>
      <c r="B277" s="5" t="e">
        <f t="shared" si="14"/>
        <v>#N/A</v>
      </c>
      <c r="C277" s="23" t="s">
        <v>229</v>
      </c>
      <c r="D277" s="4" t="s">
        <v>225</v>
      </c>
      <c r="E277" s="23" t="s">
        <v>636</v>
      </c>
      <c r="F277" s="4" t="s">
        <v>650</v>
      </c>
      <c r="G277" s="4" t="s">
        <v>666</v>
      </c>
      <c r="H277" s="4" t="s">
        <v>376</v>
      </c>
      <c r="I277" s="4" t="s">
        <v>53</v>
      </c>
      <c r="J277" s="4" t="s">
        <v>53</v>
      </c>
      <c r="K277" s="6" t="s">
        <v>53</v>
      </c>
      <c r="L277" s="6" t="s">
        <v>53</v>
      </c>
      <c r="M277" s="6" t="s">
        <v>53</v>
      </c>
      <c r="N277" s="4"/>
      <c r="O277" s="102">
        <v>0</v>
      </c>
      <c r="P277" s="12">
        <v>1950000000</v>
      </c>
      <c r="Q277" s="12">
        <v>1950000000</v>
      </c>
      <c r="R277" s="12">
        <v>0</v>
      </c>
      <c r="S277" s="12">
        <v>0</v>
      </c>
    </row>
    <row r="278" spans="1:21" s="3" customFormat="1" ht="15" x14ac:dyDescent="0.2">
      <c r="A278" s="4"/>
      <c r="B278" s="5" t="e">
        <f t="shared" si="14"/>
        <v>#N/A</v>
      </c>
      <c r="C278" s="23" t="s">
        <v>229</v>
      </c>
      <c r="D278" s="4" t="s">
        <v>225</v>
      </c>
      <c r="E278" s="23" t="s">
        <v>636</v>
      </c>
      <c r="F278" s="4" t="s">
        <v>651</v>
      </c>
      <c r="G278" s="4" t="s">
        <v>666</v>
      </c>
      <c r="H278" s="4" t="s">
        <v>376</v>
      </c>
      <c r="I278" s="4" t="s">
        <v>53</v>
      </c>
      <c r="J278" s="4" t="s">
        <v>53</v>
      </c>
      <c r="K278" s="6" t="s">
        <v>53</v>
      </c>
      <c r="L278" s="6" t="s">
        <v>53</v>
      </c>
      <c r="M278" s="6" t="s">
        <v>53</v>
      </c>
      <c r="N278" s="4"/>
      <c r="O278" s="102">
        <v>0</v>
      </c>
      <c r="P278" s="12">
        <v>0</v>
      </c>
      <c r="Q278" s="12">
        <v>1000000000</v>
      </c>
      <c r="R278" s="12">
        <v>0</v>
      </c>
      <c r="S278" s="12">
        <v>0</v>
      </c>
    </row>
    <row r="279" spans="1:21" s="3" customFormat="1" ht="15" x14ac:dyDescent="0.2">
      <c r="A279" s="4"/>
      <c r="B279" s="5" t="e">
        <f t="shared" si="14"/>
        <v>#N/A</v>
      </c>
      <c r="C279" s="23" t="s">
        <v>229</v>
      </c>
      <c r="D279" s="4" t="s">
        <v>225</v>
      </c>
      <c r="E279" s="23" t="s">
        <v>636</v>
      </c>
      <c r="F279" s="4" t="s">
        <v>652</v>
      </c>
      <c r="G279" s="4" t="s">
        <v>666</v>
      </c>
      <c r="H279" s="4" t="s">
        <v>376</v>
      </c>
      <c r="I279" s="4" t="s">
        <v>53</v>
      </c>
      <c r="J279" s="4" t="s">
        <v>53</v>
      </c>
      <c r="K279" s="6" t="s">
        <v>53</v>
      </c>
      <c r="L279" s="6" t="s">
        <v>53</v>
      </c>
      <c r="M279" s="6" t="s">
        <v>53</v>
      </c>
      <c r="N279" s="4"/>
      <c r="O279" s="102">
        <v>0</v>
      </c>
      <c r="P279" s="12">
        <v>0</v>
      </c>
      <c r="Q279" s="12">
        <v>695100000</v>
      </c>
      <c r="R279" s="12">
        <v>0</v>
      </c>
      <c r="S279" s="12">
        <v>0</v>
      </c>
    </row>
    <row r="280" spans="1:21" s="3" customFormat="1" ht="15" x14ac:dyDescent="0.2">
      <c r="A280" s="4"/>
      <c r="B280" s="5" t="e">
        <f t="shared" si="14"/>
        <v>#N/A</v>
      </c>
      <c r="C280" s="23" t="s">
        <v>229</v>
      </c>
      <c r="D280" s="4" t="s">
        <v>225</v>
      </c>
      <c r="E280" s="23" t="s">
        <v>636</v>
      </c>
      <c r="F280" s="4" t="s">
        <v>653</v>
      </c>
      <c r="G280" s="4" t="s">
        <v>666</v>
      </c>
      <c r="H280" s="4" t="s">
        <v>376</v>
      </c>
      <c r="I280" s="4" t="s">
        <v>53</v>
      </c>
      <c r="J280" s="4" t="s">
        <v>53</v>
      </c>
      <c r="K280" s="6" t="s">
        <v>53</v>
      </c>
      <c r="L280" s="6" t="s">
        <v>53</v>
      </c>
      <c r="M280" s="6" t="s">
        <v>53</v>
      </c>
      <c r="N280" s="4"/>
      <c r="O280" s="102">
        <v>0</v>
      </c>
      <c r="P280" s="12">
        <v>0</v>
      </c>
      <c r="Q280" s="12">
        <v>2470000000</v>
      </c>
      <c r="R280" s="12">
        <v>0</v>
      </c>
      <c r="S280" s="12">
        <v>0</v>
      </c>
    </row>
    <row r="281" spans="1:21" s="3" customFormat="1" ht="15" x14ac:dyDescent="0.2">
      <c r="A281" s="4"/>
      <c r="B281" s="5" t="e">
        <f t="shared" si="14"/>
        <v>#N/A</v>
      </c>
      <c r="C281" s="23" t="s">
        <v>229</v>
      </c>
      <c r="D281" s="4" t="s">
        <v>225</v>
      </c>
      <c r="E281" s="23" t="s">
        <v>636</v>
      </c>
      <c r="F281" s="4" t="s">
        <v>650</v>
      </c>
      <c r="G281" s="4" t="s">
        <v>666</v>
      </c>
      <c r="H281" s="4" t="s">
        <v>376</v>
      </c>
      <c r="I281" s="4" t="s">
        <v>53</v>
      </c>
      <c r="J281" s="4" t="s">
        <v>53</v>
      </c>
      <c r="K281" s="6" t="s">
        <v>53</v>
      </c>
      <c r="L281" s="6" t="s">
        <v>53</v>
      </c>
      <c r="M281" s="6" t="s">
        <v>53</v>
      </c>
      <c r="N281" s="4"/>
      <c r="O281" s="102">
        <v>0</v>
      </c>
      <c r="P281" s="12">
        <v>2000000000</v>
      </c>
      <c r="Q281" s="12">
        <v>2000000000</v>
      </c>
      <c r="R281" s="12">
        <v>0</v>
      </c>
      <c r="S281" s="12">
        <v>0</v>
      </c>
    </row>
    <row r="282" spans="1:21" s="3" customFormat="1" ht="15" x14ac:dyDescent="0.2">
      <c r="A282" s="4"/>
      <c r="B282" s="5" t="e">
        <f t="shared" si="14"/>
        <v>#N/A</v>
      </c>
      <c r="C282" s="23" t="s">
        <v>229</v>
      </c>
      <c r="D282" s="4" t="s">
        <v>225</v>
      </c>
      <c r="E282" s="23" t="s">
        <v>636</v>
      </c>
      <c r="F282" s="4" t="s">
        <v>656</v>
      </c>
      <c r="G282" s="4" t="s">
        <v>666</v>
      </c>
      <c r="H282" s="4" t="s">
        <v>376</v>
      </c>
      <c r="I282" s="4" t="s">
        <v>53</v>
      </c>
      <c r="J282" s="4" t="s">
        <v>53</v>
      </c>
      <c r="K282" s="6" t="s">
        <v>53</v>
      </c>
      <c r="L282" s="6" t="s">
        <v>53</v>
      </c>
      <c r="M282" s="6" t="s">
        <v>53</v>
      </c>
      <c r="N282" s="4"/>
      <c r="O282" s="102">
        <v>0</v>
      </c>
      <c r="P282" s="12">
        <v>3400000000</v>
      </c>
      <c r="Q282" s="12">
        <v>0</v>
      </c>
      <c r="R282" s="12">
        <v>0</v>
      </c>
      <c r="S282" s="12">
        <v>0</v>
      </c>
    </row>
    <row r="283" spans="1:21" s="3" customFormat="1" ht="15" x14ac:dyDescent="0.2">
      <c r="A283" s="4"/>
      <c r="B283" s="5" t="e">
        <f t="shared" si="14"/>
        <v>#N/A</v>
      </c>
      <c r="C283" s="23" t="s">
        <v>188</v>
      </c>
      <c r="D283" s="4" t="s">
        <v>225</v>
      </c>
      <c r="E283" s="23" t="s">
        <v>636</v>
      </c>
      <c r="F283" s="4" t="s">
        <v>658</v>
      </c>
      <c r="G283" s="4" t="s">
        <v>666</v>
      </c>
      <c r="H283" s="4" t="s">
        <v>376</v>
      </c>
      <c r="I283" s="4" t="s">
        <v>53</v>
      </c>
      <c r="J283" s="4" t="s">
        <v>53</v>
      </c>
      <c r="K283" s="6" t="s">
        <v>53</v>
      </c>
      <c r="L283" s="6" t="s">
        <v>53</v>
      </c>
      <c r="M283" s="6" t="s">
        <v>53</v>
      </c>
      <c r="N283" s="4"/>
      <c r="O283" s="102">
        <v>0</v>
      </c>
      <c r="P283" s="12">
        <v>376556671</v>
      </c>
      <c r="Q283" s="12">
        <v>0</v>
      </c>
      <c r="R283" s="12">
        <v>0</v>
      </c>
      <c r="S283" s="12">
        <v>0</v>
      </c>
    </row>
    <row r="284" spans="1:21" s="3" customFormat="1" ht="15" x14ac:dyDescent="0.2">
      <c r="A284" s="4"/>
      <c r="B284" s="5" t="e">
        <f t="shared" si="14"/>
        <v>#N/A</v>
      </c>
      <c r="C284" s="23" t="s">
        <v>229</v>
      </c>
      <c r="D284" s="4" t="s">
        <v>225</v>
      </c>
      <c r="E284" s="23" t="s">
        <v>636</v>
      </c>
      <c r="F284" s="4" t="s">
        <v>659</v>
      </c>
      <c r="G284" s="4" t="s">
        <v>666</v>
      </c>
      <c r="H284" s="4" t="s">
        <v>375</v>
      </c>
      <c r="I284" s="4" t="s">
        <v>53</v>
      </c>
      <c r="J284" s="4" t="s">
        <v>53</v>
      </c>
      <c r="K284" s="6" t="s">
        <v>53</v>
      </c>
      <c r="L284" s="6" t="s">
        <v>53</v>
      </c>
      <c r="M284" s="6" t="s">
        <v>53</v>
      </c>
      <c r="N284" s="4"/>
      <c r="O284" s="102">
        <v>0</v>
      </c>
      <c r="P284" s="12">
        <v>3089000000</v>
      </c>
      <c r="Q284" s="12">
        <v>0</v>
      </c>
      <c r="R284" s="12">
        <v>0</v>
      </c>
      <c r="S284" s="12">
        <v>0</v>
      </c>
    </row>
    <row r="285" spans="1:21" s="3" customFormat="1" ht="15" x14ac:dyDescent="0.2">
      <c r="A285" s="4"/>
      <c r="B285" s="4" t="e">
        <f t="shared" si="14"/>
        <v>#N/A</v>
      </c>
      <c r="C285" s="4" t="s">
        <v>229</v>
      </c>
      <c r="D285" s="4" t="s">
        <v>225</v>
      </c>
      <c r="E285" s="23" t="s">
        <v>636</v>
      </c>
      <c r="F285" s="4" t="s">
        <v>641</v>
      </c>
      <c r="G285" s="4" t="s">
        <v>666</v>
      </c>
      <c r="H285" s="4" t="s">
        <v>376</v>
      </c>
      <c r="I285" s="4" t="s">
        <v>376</v>
      </c>
      <c r="J285" s="4">
        <v>2025</v>
      </c>
      <c r="K285" s="6" t="s">
        <v>53</v>
      </c>
      <c r="L285" s="6" t="s">
        <v>53</v>
      </c>
      <c r="M285" s="6" t="s">
        <v>53</v>
      </c>
      <c r="N285" s="4"/>
      <c r="O285" s="11">
        <v>0</v>
      </c>
      <c r="P285" s="11">
        <v>0</v>
      </c>
      <c r="Q285" s="11">
        <v>0</v>
      </c>
      <c r="R285" s="11">
        <v>3000000000</v>
      </c>
      <c r="S285" s="11">
        <v>3000000000</v>
      </c>
      <c r="T285" s="25"/>
      <c r="U285" s="24"/>
    </row>
    <row r="286" spans="1:21" s="3" customFormat="1" ht="15" x14ac:dyDescent="0.2">
      <c r="A286" s="4"/>
      <c r="B286" s="4" t="e">
        <f t="shared" si="14"/>
        <v>#N/A</v>
      </c>
      <c r="C286" s="4" t="s">
        <v>229</v>
      </c>
      <c r="D286" s="4" t="s">
        <v>225</v>
      </c>
      <c r="E286" s="23" t="s">
        <v>636</v>
      </c>
      <c r="F286" s="4" t="s">
        <v>642</v>
      </c>
      <c r="G286" s="4" t="s">
        <v>666</v>
      </c>
      <c r="H286" s="4" t="s">
        <v>376</v>
      </c>
      <c r="I286" s="4" t="s">
        <v>376</v>
      </c>
      <c r="J286" s="4">
        <v>2025</v>
      </c>
      <c r="K286" s="6" t="s">
        <v>53</v>
      </c>
      <c r="L286" s="6" t="s">
        <v>53</v>
      </c>
      <c r="M286" s="6" t="s">
        <v>53</v>
      </c>
      <c r="N286" s="4"/>
      <c r="O286" s="11">
        <v>0</v>
      </c>
      <c r="P286" s="11">
        <v>0</v>
      </c>
      <c r="Q286" s="11">
        <v>3000000000</v>
      </c>
      <c r="R286" s="11">
        <v>3000000000</v>
      </c>
      <c r="S286" s="11">
        <v>0</v>
      </c>
      <c r="T286" s="25"/>
      <c r="U286" s="24"/>
    </row>
    <row r="287" spans="1:21" s="3" customFormat="1" ht="15" x14ac:dyDescent="0.2">
      <c r="A287" s="4"/>
      <c r="B287" s="4" t="e">
        <f t="shared" si="14"/>
        <v>#N/A</v>
      </c>
      <c r="C287" s="4" t="s">
        <v>229</v>
      </c>
      <c r="D287" s="4" t="s">
        <v>225</v>
      </c>
      <c r="E287" s="23" t="s">
        <v>636</v>
      </c>
      <c r="F287" s="4" t="s">
        <v>546</v>
      </c>
      <c r="G287" s="4" t="s">
        <v>666</v>
      </c>
      <c r="H287" s="4" t="s">
        <v>375</v>
      </c>
      <c r="I287" s="4" t="s">
        <v>376</v>
      </c>
      <c r="J287" s="4">
        <v>2025</v>
      </c>
      <c r="K287" s="6" t="s">
        <v>53</v>
      </c>
      <c r="L287" s="6" t="s">
        <v>53</v>
      </c>
      <c r="M287" s="6" t="s">
        <v>53</v>
      </c>
      <c r="N287" s="4"/>
      <c r="O287" s="11">
        <v>0</v>
      </c>
      <c r="P287" s="11">
        <v>0</v>
      </c>
      <c r="Q287" s="11">
        <v>3000800000</v>
      </c>
      <c r="R287" s="11">
        <v>2858800000</v>
      </c>
      <c r="S287" s="11">
        <v>2845600000</v>
      </c>
      <c r="T287" s="25"/>
      <c r="U287" s="24"/>
    </row>
    <row r="288" spans="1:21" s="3" customFormat="1" ht="15" x14ac:dyDescent="0.2">
      <c r="A288" s="4"/>
      <c r="B288" s="4" t="e">
        <f t="shared" si="14"/>
        <v>#N/A</v>
      </c>
      <c r="C288" s="4" t="s">
        <v>229</v>
      </c>
      <c r="D288" s="4" t="s">
        <v>225</v>
      </c>
      <c r="E288" s="23" t="s">
        <v>636</v>
      </c>
      <c r="F288" s="4" t="s">
        <v>643</v>
      </c>
      <c r="G288" s="4" t="s">
        <v>666</v>
      </c>
      <c r="H288" s="4" t="s">
        <v>376</v>
      </c>
      <c r="I288" s="4" t="s">
        <v>376</v>
      </c>
      <c r="J288" s="4">
        <v>2025</v>
      </c>
      <c r="K288" s="6" t="s">
        <v>53</v>
      </c>
      <c r="L288" s="6" t="s">
        <v>53</v>
      </c>
      <c r="M288" s="6" t="s">
        <v>53</v>
      </c>
      <c r="N288" s="4"/>
      <c r="O288" s="11">
        <v>0</v>
      </c>
      <c r="P288" s="11">
        <v>0</v>
      </c>
      <c r="Q288" s="11">
        <v>0</v>
      </c>
      <c r="R288" s="11">
        <v>0</v>
      </c>
      <c r="S288" s="11">
        <v>3000000000</v>
      </c>
      <c r="T288" s="25"/>
      <c r="U288" s="24"/>
    </row>
    <row r="289" spans="1:21" s="3" customFormat="1" ht="15" x14ac:dyDescent="0.2">
      <c r="A289" s="4"/>
      <c r="B289" s="4" t="e">
        <f t="shared" si="14"/>
        <v>#N/A</v>
      </c>
      <c r="C289" s="4" t="s">
        <v>229</v>
      </c>
      <c r="D289" s="4" t="s">
        <v>225</v>
      </c>
      <c r="E289" s="23" t="s">
        <v>636</v>
      </c>
      <c r="F289" s="4" t="s">
        <v>644</v>
      </c>
      <c r="G289" s="4" t="s">
        <v>666</v>
      </c>
      <c r="H289" s="4" t="s">
        <v>375</v>
      </c>
      <c r="I289" s="4" t="s">
        <v>376</v>
      </c>
      <c r="J289" s="4">
        <v>2025</v>
      </c>
      <c r="K289" s="6" t="s">
        <v>53</v>
      </c>
      <c r="L289" s="6" t="s">
        <v>53</v>
      </c>
      <c r="M289" s="6" t="s">
        <v>53</v>
      </c>
      <c r="N289" s="4"/>
      <c r="O289" s="11">
        <v>0</v>
      </c>
      <c r="P289" s="11">
        <v>0</v>
      </c>
      <c r="Q289" s="11">
        <v>0</v>
      </c>
      <c r="R289" s="11">
        <v>0</v>
      </c>
      <c r="S289" s="11">
        <v>700000000</v>
      </c>
      <c r="T289" s="25"/>
      <c r="U289" s="24"/>
    </row>
    <row r="290" spans="1:21" s="3" customFormat="1" ht="15" x14ac:dyDescent="0.2">
      <c r="A290" s="4"/>
      <c r="B290" s="4"/>
      <c r="C290" s="23" t="s">
        <v>42</v>
      </c>
      <c r="D290" s="4" t="s">
        <v>225</v>
      </c>
      <c r="E290" s="23" t="s">
        <v>636</v>
      </c>
      <c r="F290" s="4" t="s">
        <v>660</v>
      </c>
      <c r="G290" s="4" t="s">
        <v>666</v>
      </c>
      <c r="H290" s="4" t="s">
        <v>376</v>
      </c>
      <c r="I290" s="4" t="s">
        <v>53</v>
      </c>
      <c r="J290" s="4" t="s">
        <v>53</v>
      </c>
      <c r="K290" s="6" t="s">
        <v>53</v>
      </c>
      <c r="L290" s="6" t="s">
        <v>53</v>
      </c>
      <c r="M290" s="6" t="s">
        <v>53</v>
      </c>
      <c r="N290" s="4"/>
      <c r="O290" s="102">
        <v>2669194800</v>
      </c>
      <c r="P290" s="12">
        <v>0</v>
      </c>
      <c r="Q290" s="12">
        <v>0</v>
      </c>
      <c r="R290" s="12">
        <v>0</v>
      </c>
      <c r="S290" s="12">
        <v>0</v>
      </c>
      <c r="T290" s="25"/>
      <c r="U290" s="24"/>
    </row>
    <row r="291" spans="1:21" s="3" customFormat="1" ht="15" x14ac:dyDescent="0.2">
      <c r="A291" s="4"/>
      <c r="B291" s="4"/>
      <c r="C291" s="23" t="s">
        <v>42</v>
      </c>
      <c r="D291" s="4" t="s">
        <v>225</v>
      </c>
      <c r="E291" s="23" t="s">
        <v>636</v>
      </c>
      <c r="F291" s="4" t="s">
        <v>663</v>
      </c>
      <c r="G291" s="4" t="s">
        <v>666</v>
      </c>
      <c r="H291" s="4" t="s">
        <v>376</v>
      </c>
      <c r="I291" s="4" t="s">
        <v>53</v>
      </c>
      <c r="J291" s="4" t="s">
        <v>53</v>
      </c>
      <c r="K291" s="6" t="s">
        <v>53</v>
      </c>
      <c r="L291" s="6" t="s">
        <v>53</v>
      </c>
      <c r="M291" s="6" t="s">
        <v>53</v>
      </c>
      <c r="N291" s="4"/>
      <c r="O291" s="102">
        <v>2041200000</v>
      </c>
      <c r="P291" s="12">
        <v>0</v>
      </c>
      <c r="Q291" s="12">
        <v>0</v>
      </c>
      <c r="R291" s="12">
        <v>0</v>
      </c>
      <c r="S291" s="12">
        <v>0</v>
      </c>
      <c r="T291" s="25"/>
      <c r="U291" s="24"/>
    </row>
    <row r="292" spans="1:21" s="3" customFormat="1" ht="15" x14ac:dyDescent="0.2">
      <c r="A292" s="4"/>
      <c r="B292" s="4"/>
      <c r="C292" s="23" t="s">
        <v>42</v>
      </c>
      <c r="D292" s="4" t="s">
        <v>225</v>
      </c>
      <c r="E292" s="23" t="s">
        <v>636</v>
      </c>
      <c r="F292" s="4" t="s">
        <v>664</v>
      </c>
      <c r="G292" s="4" t="s">
        <v>666</v>
      </c>
      <c r="H292" s="4" t="s">
        <v>376</v>
      </c>
      <c r="I292" s="4" t="s">
        <v>53</v>
      </c>
      <c r="J292" s="4" t="s">
        <v>53</v>
      </c>
      <c r="K292" s="6" t="s">
        <v>53</v>
      </c>
      <c r="L292" s="6" t="s">
        <v>53</v>
      </c>
      <c r="M292" s="6" t="s">
        <v>53</v>
      </c>
      <c r="N292" s="4"/>
      <c r="O292" s="102">
        <v>1940000000</v>
      </c>
      <c r="P292" s="12">
        <v>0</v>
      </c>
      <c r="Q292" s="12">
        <v>0</v>
      </c>
      <c r="R292" s="12">
        <v>0</v>
      </c>
      <c r="S292" s="12">
        <v>0</v>
      </c>
      <c r="T292" s="25"/>
      <c r="U292" s="24"/>
    </row>
    <row r="293" spans="1:21" s="3" customFormat="1" ht="15" x14ac:dyDescent="0.2">
      <c r="A293" s="4"/>
      <c r="B293" s="5"/>
      <c r="C293" s="23" t="s">
        <v>188</v>
      </c>
      <c r="D293" s="4" t="s">
        <v>225</v>
      </c>
      <c r="E293" s="23" t="s">
        <v>678</v>
      </c>
      <c r="F293" s="4" t="s">
        <v>670</v>
      </c>
      <c r="G293" s="4" t="s">
        <v>679</v>
      </c>
      <c r="H293" s="4" t="s">
        <v>376</v>
      </c>
      <c r="I293" s="4" t="s">
        <v>53</v>
      </c>
      <c r="J293" s="4" t="s">
        <v>53</v>
      </c>
      <c r="K293" s="6" t="s">
        <v>53</v>
      </c>
      <c r="L293" s="6" t="s">
        <v>53</v>
      </c>
      <c r="M293" s="6" t="s">
        <v>53</v>
      </c>
      <c r="N293" s="4"/>
      <c r="O293" s="102">
        <v>0</v>
      </c>
      <c r="P293" s="12">
        <v>0</v>
      </c>
      <c r="Q293" s="12">
        <v>0</v>
      </c>
      <c r="R293" s="12">
        <v>1052659450</v>
      </c>
      <c r="S293" s="12">
        <v>1072392000</v>
      </c>
    </row>
    <row r="294" spans="1:21" s="3" customFormat="1" ht="15" x14ac:dyDescent="0.2">
      <c r="A294" s="4"/>
      <c r="B294" s="5"/>
      <c r="C294" s="23" t="s">
        <v>188</v>
      </c>
      <c r="D294" s="4" t="s">
        <v>225</v>
      </c>
      <c r="E294" s="23" t="s">
        <v>678</v>
      </c>
      <c r="F294" s="4" t="s">
        <v>671</v>
      </c>
      <c r="G294" s="4" t="s">
        <v>679</v>
      </c>
      <c r="H294" s="4" t="s">
        <v>376</v>
      </c>
      <c r="I294" s="4" t="s">
        <v>53</v>
      </c>
      <c r="J294" s="4" t="s">
        <v>53</v>
      </c>
      <c r="K294" s="6" t="s">
        <v>53</v>
      </c>
      <c r="L294" s="6" t="s">
        <v>53</v>
      </c>
      <c r="M294" s="6" t="s">
        <v>53</v>
      </c>
      <c r="N294" s="4"/>
      <c r="O294" s="102">
        <v>0</v>
      </c>
      <c r="P294" s="12">
        <v>0</v>
      </c>
      <c r="Q294" s="12">
        <v>0</v>
      </c>
      <c r="R294" s="12">
        <v>908816730</v>
      </c>
      <c r="S294" s="12">
        <v>895007000</v>
      </c>
    </row>
    <row r="295" spans="1:21" s="3" customFormat="1" ht="15" x14ac:dyDescent="0.2">
      <c r="A295" s="4"/>
      <c r="B295" s="5"/>
      <c r="C295" s="23" t="s">
        <v>188</v>
      </c>
      <c r="D295" s="4" t="s">
        <v>225</v>
      </c>
      <c r="E295" s="23" t="s">
        <v>678</v>
      </c>
      <c r="F295" s="4" t="s">
        <v>823</v>
      </c>
      <c r="G295" s="4" t="s">
        <v>679</v>
      </c>
      <c r="H295" s="4" t="s">
        <v>376</v>
      </c>
      <c r="I295" s="4" t="s">
        <v>53</v>
      </c>
      <c r="J295" s="4" t="s">
        <v>53</v>
      </c>
      <c r="K295" s="6" t="s">
        <v>53</v>
      </c>
      <c r="L295" s="6" t="s">
        <v>53</v>
      </c>
      <c r="M295" s="6" t="s">
        <v>53</v>
      </c>
      <c r="N295" s="4"/>
      <c r="O295" s="102">
        <v>5450835</v>
      </c>
      <c r="P295" s="12">
        <v>0</v>
      </c>
      <c r="Q295" s="12">
        <v>0</v>
      </c>
      <c r="R295" s="12">
        <v>0</v>
      </c>
      <c r="S295" s="12">
        <v>0</v>
      </c>
    </row>
    <row r="296" spans="1:21" s="3" customFormat="1" ht="30" customHeight="1" x14ac:dyDescent="0.2">
      <c r="A296" s="4"/>
      <c r="B296" s="5"/>
      <c r="C296" s="23" t="s">
        <v>32</v>
      </c>
      <c r="D296" s="5" t="s">
        <v>225</v>
      </c>
      <c r="E296" s="5" t="s">
        <v>713</v>
      </c>
      <c r="F296" s="4" t="s">
        <v>722</v>
      </c>
      <c r="G296" s="4" t="s">
        <v>683</v>
      </c>
      <c r="H296" s="4" t="s">
        <v>376</v>
      </c>
      <c r="I296" s="4" t="s">
        <v>53</v>
      </c>
      <c r="J296" s="4" t="s">
        <v>53</v>
      </c>
      <c r="K296" s="6" t="s">
        <v>53</v>
      </c>
      <c r="L296" s="6" t="s">
        <v>53</v>
      </c>
      <c r="M296" s="6" t="s">
        <v>53</v>
      </c>
      <c r="N296" s="4"/>
      <c r="O296" s="11">
        <v>0</v>
      </c>
      <c r="P296" s="11">
        <v>0</v>
      </c>
      <c r="Q296" s="11">
        <v>159446670</v>
      </c>
      <c r="R296" s="11">
        <v>159446670</v>
      </c>
      <c r="S296" s="11">
        <v>1539516000</v>
      </c>
    </row>
    <row r="297" spans="1:21" s="3" customFormat="1" ht="30" customHeight="1" x14ac:dyDescent="0.2">
      <c r="A297" s="4"/>
      <c r="B297" s="5"/>
      <c r="C297" s="23" t="s">
        <v>32</v>
      </c>
      <c r="D297" s="5" t="s">
        <v>225</v>
      </c>
      <c r="E297" s="5" t="s">
        <v>713</v>
      </c>
      <c r="F297" s="4" t="s">
        <v>723</v>
      </c>
      <c r="G297" s="4" t="s">
        <v>683</v>
      </c>
      <c r="H297" s="4" t="s">
        <v>376</v>
      </c>
      <c r="I297" s="4" t="s">
        <v>53</v>
      </c>
      <c r="J297" s="4" t="s">
        <v>53</v>
      </c>
      <c r="K297" s="6" t="s">
        <v>53</v>
      </c>
      <c r="L297" s="6" t="s">
        <v>53</v>
      </c>
      <c r="M297" s="6" t="s">
        <v>53</v>
      </c>
      <c r="N297" s="4"/>
      <c r="O297" s="11">
        <v>0</v>
      </c>
      <c r="P297" s="11">
        <v>0</v>
      </c>
      <c r="Q297" s="11">
        <v>110528100</v>
      </c>
      <c r="R297" s="11">
        <v>110528100</v>
      </c>
      <c r="S297" s="11">
        <v>1070000000</v>
      </c>
    </row>
    <row r="298" spans="1:21" s="3" customFormat="1" ht="30" customHeight="1" x14ac:dyDescent="0.2">
      <c r="A298" s="4"/>
      <c r="B298" s="5"/>
      <c r="C298" s="23" t="s">
        <v>32</v>
      </c>
      <c r="D298" s="5" t="s">
        <v>225</v>
      </c>
      <c r="E298" s="5" t="s">
        <v>713</v>
      </c>
      <c r="F298" s="4" t="s">
        <v>724</v>
      </c>
      <c r="G298" s="4" t="s">
        <v>683</v>
      </c>
      <c r="H298" s="4" t="s">
        <v>376</v>
      </c>
      <c r="I298" s="4" t="s">
        <v>53</v>
      </c>
      <c r="J298" s="4" t="s">
        <v>53</v>
      </c>
      <c r="K298" s="6" t="s">
        <v>53</v>
      </c>
      <c r="L298" s="6" t="s">
        <v>53</v>
      </c>
      <c r="M298" s="6" t="s">
        <v>53</v>
      </c>
      <c r="N298" s="4"/>
      <c r="O298" s="11">
        <v>0</v>
      </c>
      <c r="P298" s="11">
        <v>0</v>
      </c>
      <c r="Q298" s="11">
        <v>113677428</v>
      </c>
      <c r="R298" s="11">
        <v>113677428</v>
      </c>
      <c r="S298" s="11">
        <v>1000000000</v>
      </c>
    </row>
    <row r="299" spans="1:21" s="3" customFormat="1" ht="30" customHeight="1" x14ac:dyDescent="0.2">
      <c r="A299" s="4"/>
      <c r="B299" s="5"/>
      <c r="C299" s="23" t="s">
        <v>32</v>
      </c>
      <c r="D299" s="5" t="s">
        <v>225</v>
      </c>
      <c r="E299" s="5" t="s">
        <v>713</v>
      </c>
      <c r="F299" s="4" t="s">
        <v>725</v>
      </c>
      <c r="G299" s="4" t="s">
        <v>683</v>
      </c>
      <c r="H299" s="4" t="s">
        <v>376</v>
      </c>
      <c r="I299" s="4" t="s">
        <v>53</v>
      </c>
      <c r="J299" s="4" t="s">
        <v>53</v>
      </c>
      <c r="K299" s="6" t="s">
        <v>53</v>
      </c>
      <c r="L299" s="6" t="s">
        <v>53</v>
      </c>
      <c r="M299" s="6" t="s">
        <v>53</v>
      </c>
      <c r="N299" s="4"/>
      <c r="O299" s="11">
        <v>0</v>
      </c>
      <c r="P299" s="11">
        <v>0</v>
      </c>
      <c r="Q299" s="11">
        <v>265205093</v>
      </c>
      <c r="R299" s="11">
        <v>265205093</v>
      </c>
      <c r="S299" s="11">
        <v>1265860000</v>
      </c>
    </row>
    <row r="300" spans="1:21" s="3" customFormat="1" ht="30" customHeight="1" x14ac:dyDescent="0.2">
      <c r="A300" s="4"/>
      <c r="B300" s="5"/>
      <c r="C300" s="103" t="s">
        <v>32</v>
      </c>
      <c r="D300" s="5" t="s">
        <v>225</v>
      </c>
      <c r="E300" s="5" t="s">
        <v>713</v>
      </c>
      <c r="F300" s="63" t="s">
        <v>726</v>
      </c>
      <c r="G300" s="4" t="s">
        <v>683</v>
      </c>
      <c r="H300" s="4" t="s">
        <v>376</v>
      </c>
      <c r="I300" s="4" t="s">
        <v>53</v>
      </c>
      <c r="J300" s="4" t="s">
        <v>53</v>
      </c>
      <c r="K300" s="6" t="s">
        <v>53</v>
      </c>
      <c r="L300" s="6" t="s">
        <v>53</v>
      </c>
      <c r="M300" s="6" t="s">
        <v>53</v>
      </c>
      <c r="N300" s="4"/>
      <c r="O300" s="107">
        <v>0</v>
      </c>
      <c r="P300" s="107">
        <v>0</v>
      </c>
      <c r="Q300" s="107">
        <v>321899470</v>
      </c>
      <c r="R300" s="107">
        <v>321899470</v>
      </c>
      <c r="S300" s="107">
        <v>2888028000</v>
      </c>
    </row>
    <row r="301" spans="1:21" s="3" customFormat="1" ht="30" customHeight="1" x14ac:dyDescent="0.2">
      <c r="A301" s="4"/>
      <c r="B301" s="5"/>
      <c r="C301" s="103" t="s">
        <v>32</v>
      </c>
      <c r="D301" s="5" t="s">
        <v>225</v>
      </c>
      <c r="E301" s="5" t="s">
        <v>713</v>
      </c>
      <c r="F301" s="63" t="s">
        <v>727</v>
      </c>
      <c r="G301" s="4" t="s">
        <v>683</v>
      </c>
      <c r="H301" s="4" t="s">
        <v>376</v>
      </c>
      <c r="I301" s="4" t="s">
        <v>53</v>
      </c>
      <c r="J301" s="4" t="s">
        <v>53</v>
      </c>
      <c r="K301" s="6" t="s">
        <v>53</v>
      </c>
      <c r="L301" s="6" t="s">
        <v>53</v>
      </c>
      <c r="M301" s="6" t="s">
        <v>53</v>
      </c>
      <c r="N301" s="4"/>
      <c r="O301" s="107">
        <v>0</v>
      </c>
      <c r="P301" s="107">
        <v>0</v>
      </c>
      <c r="Q301" s="107">
        <v>200729952</v>
      </c>
      <c r="R301" s="107">
        <v>200729952</v>
      </c>
      <c r="S301" s="107">
        <v>1324395000</v>
      </c>
    </row>
    <row r="302" spans="1:21" s="3" customFormat="1" ht="30" customHeight="1" x14ac:dyDescent="0.2">
      <c r="A302" s="4"/>
      <c r="B302" s="5"/>
      <c r="C302" s="103" t="s">
        <v>32</v>
      </c>
      <c r="D302" s="5" t="s">
        <v>225</v>
      </c>
      <c r="E302" s="5" t="s">
        <v>713</v>
      </c>
      <c r="F302" s="63" t="s">
        <v>728</v>
      </c>
      <c r="G302" s="4" t="s">
        <v>683</v>
      </c>
      <c r="H302" s="4" t="s">
        <v>376</v>
      </c>
      <c r="I302" s="4" t="s">
        <v>53</v>
      </c>
      <c r="J302" s="4" t="s">
        <v>53</v>
      </c>
      <c r="K302" s="6" t="s">
        <v>53</v>
      </c>
      <c r="L302" s="6" t="s">
        <v>53</v>
      </c>
      <c r="M302" s="6" t="s">
        <v>53</v>
      </c>
      <c r="N302" s="4"/>
      <c r="O302" s="107">
        <v>0</v>
      </c>
      <c r="P302" s="107">
        <v>0</v>
      </c>
      <c r="Q302" s="107">
        <v>266558320</v>
      </c>
      <c r="R302" s="107">
        <v>266558320</v>
      </c>
      <c r="S302" s="107">
        <v>2565860000</v>
      </c>
    </row>
    <row r="303" spans="1:21" s="3" customFormat="1" ht="30" customHeight="1" x14ac:dyDescent="0.2">
      <c r="A303" s="4"/>
      <c r="B303" s="5"/>
      <c r="C303" s="103" t="s">
        <v>32</v>
      </c>
      <c r="D303" s="5" t="s">
        <v>225</v>
      </c>
      <c r="E303" s="5" t="s">
        <v>713</v>
      </c>
      <c r="F303" s="63" t="s">
        <v>729</v>
      </c>
      <c r="G303" s="4" t="s">
        <v>683</v>
      </c>
      <c r="H303" s="4" t="s">
        <v>376</v>
      </c>
      <c r="I303" s="4" t="s">
        <v>53</v>
      </c>
      <c r="J303" s="4" t="s">
        <v>53</v>
      </c>
      <c r="K303" s="6" t="s">
        <v>53</v>
      </c>
      <c r="L303" s="6" t="s">
        <v>53</v>
      </c>
      <c r="M303" s="6" t="s">
        <v>53</v>
      </c>
      <c r="N303" s="4"/>
      <c r="O303" s="107">
        <v>0</v>
      </c>
      <c r="P303" s="107">
        <v>0</v>
      </c>
      <c r="Q303" s="107">
        <v>241533922</v>
      </c>
      <c r="R303" s="107">
        <v>241533922</v>
      </c>
      <c r="S303" s="107">
        <v>2160000000</v>
      </c>
    </row>
    <row r="304" spans="1:21" s="3" customFormat="1" ht="30" customHeight="1" x14ac:dyDescent="0.2">
      <c r="A304" s="4"/>
      <c r="B304" s="5"/>
      <c r="C304" s="103" t="s">
        <v>229</v>
      </c>
      <c r="D304" s="5" t="s">
        <v>225</v>
      </c>
      <c r="E304" s="5" t="s">
        <v>713</v>
      </c>
      <c r="F304" s="63" t="s">
        <v>730</v>
      </c>
      <c r="G304" s="4" t="s">
        <v>683</v>
      </c>
      <c r="H304" s="4" t="s">
        <v>376</v>
      </c>
      <c r="I304" s="4" t="s">
        <v>53</v>
      </c>
      <c r="J304" s="4" t="s">
        <v>53</v>
      </c>
      <c r="K304" s="6" t="s">
        <v>53</v>
      </c>
      <c r="L304" s="6" t="s">
        <v>53</v>
      </c>
      <c r="M304" s="6" t="s">
        <v>53</v>
      </c>
      <c r="N304" s="4"/>
      <c r="O304" s="107">
        <v>0</v>
      </c>
      <c r="P304" s="107">
        <v>0</v>
      </c>
      <c r="Q304" s="107">
        <v>0</v>
      </c>
      <c r="R304" s="107">
        <v>600000000</v>
      </c>
      <c r="S304" s="107">
        <v>600000000</v>
      </c>
    </row>
    <row r="305" spans="1:19" s="3" customFormat="1" ht="30" customHeight="1" x14ac:dyDescent="0.2">
      <c r="A305" s="4"/>
      <c r="B305" s="5"/>
      <c r="C305" s="103" t="s">
        <v>229</v>
      </c>
      <c r="D305" s="5" t="s">
        <v>225</v>
      </c>
      <c r="E305" s="5" t="s">
        <v>713</v>
      </c>
      <c r="F305" s="63" t="s">
        <v>731</v>
      </c>
      <c r="G305" s="4" t="s">
        <v>683</v>
      </c>
      <c r="H305" s="4" t="s">
        <v>376</v>
      </c>
      <c r="I305" s="4" t="s">
        <v>53</v>
      </c>
      <c r="J305" s="4" t="s">
        <v>53</v>
      </c>
      <c r="K305" s="6" t="s">
        <v>53</v>
      </c>
      <c r="L305" s="6" t="s">
        <v>53</v>
      </c>
      <c r="M305" s="6" t="s">
        <v>53</v>
      </c>
      <c r="N305" s="4"/>
      <c r="O305" s="107">
        <v>0</v>
      </c>
      <c r="P305" s="107">
        <v>0</v>
      </c>
      <c r="Q305" s="107">
        <v>0</v>
      </c>
      <c r="R305" s="107">
        <v>3000000000</v>
      </c>
      <c r="S305" s="107">
        <v>3000000000</v>
      </c>
    </row>
    <row r="306" spans="1:19" s="3" customFormat="1" ht="30" customHeight="1" x14ac:dyDescent="0.2">
      <c r="A306" s="4"/>
      <c r="B306" s="5"/>
      <c r="C306" s="103" t="s">
        <v>229</v>
      </c>
      <c r="D306" s="5" t="s">
        <v>225</v>
      </c>
      <c r="E306" s="5" t="s">
        <v>713</v>
      </c>
      <c r="F306" s="63" t="s">
        <v>732</v>
      </c>
      <c r="G306" s="4" t="s">
        <v>683</v>
      </c>
      <c r="H306" s="4" t="s">
        <v>376</v>
      </c>
      <c r="I306" s="4" t="s">
        <v>53</v>
      </c>
      <c r="J306" s="4" t="s">
        <v>53</v>
      </c>
      <c r="K306" s="6" t="s">
        <v>53</v>
      </c>
      <c r="L306" s="6" t="s">
        <v>53</v>
      </c>
      <c r="M306" s="6" t="s">
        <v>53</v>
      </c>
      <c r="N306" s="4"/>
      <c r="O306" s="107">
        <v>0</v>
      </c>
      <c r="P306" s="107">
        <v>0</v>
      </c>
      <c r="Q306" s="107">
        <v>0</v>
      </c>
      <c r="R306" s="107">
        <v>2000000000</v>
      </c>
      <c r="S306" s="107"/>
    </row>
    <row r="307" spans="1:19" s="3" customFormat="1" ht="30" customHeight="1" x14ac:dyDescent="0.2">
      <c r="A307" s="4"/>
      <c r="B307" s="5"/>
      <c r="C307" s="103" t="s">
        <v>229</v>
      </c>
      <c r="D307" s="5" t="s">
        <v>225</v>
      </c>
      <c r="E307" s="5" t="s">
        <v>713</v>
      </c>
      <c r="F307" s="63" t="s">
        <v>733</v>
      </c>
      <c r="G307" s="4" t="s">
        <v>683</v>
      </c>
      <c r="H307" s="4" t="s">
        <v>376</v>
      </c>
      <c r="I307" s="4" t="s">
        <v>53</v>
      </c>
      <c r="J307" s="4" t="s">
        <v>53</v>
      </c>
      <c r="K307" s="6" t="s">
        <v>53</v>
      </c>
      <c r="L307" s="6" t="s">
        <v>53</v>
      </c>
      <c r="M307" s="6" t="s">
        <v>53</v>
      </c>
      <c r="N307" s="4"/>
      <c r="O307" s="107">
        <v>0</v>
      </c>
      <c r="P307" s="107">
        <v>0</v>
      </c>
      <c r="Q307" s="107">
        <v>0</v>
      </c>
      <c r="R307" s="107">
        <v>2165000000</v>
      </c>
      <c r="S307" s="107">
        <v>2165000000</v>
      </c>
    </row>
    <row r="308" spans="1:19" s="3" customFormat="1" ht="30" customHeight="1" x14ac:dyDescent="0.2">
      <c r="A308" s="4"/>
      <c r="B308" s="5"/>
      <c r="C308" s="103" t="s">
        <v>229</v>
      </c>
      <c r="D308" s="5" t="s">
        <v>225</v>
      </c>
      <c r="E308" s="5" t="s">
        <v>713</v>
      </c>
      <c r="F308" s="63" t="s">
        <v>734</v>
      </c>
      <c r="G308" s="4" t="s">
        <v>683</v>
      </c>
      <c r="H308" s="4" t="s">
        <v>376</v>
      </c>
      <c r="I308" s="4" t="s">
        <v>53</v>
      </c>
      <c r="J308" s="4" t="s">
        <v>53</v>
      </c>
      <c r="K308" s="6" t="s">
        <v>53</v>
      </c>
      <c r="L308" s="6" t="s">
        <v>53</v>
      </c>
      <c r="M308" s="6" t="s">
        <v>53</v>
      </c>
      <c r="N308" s="4"/>
      <c r="O308" s="107">
        <v>0</v>
      </c>
      <c r="P308" s="107">
        <v>0</v>
      </c>
      <c r="Q308" s="107">
        <v>0</v>
      </c>
      <c r="R308" s="107">
        <v>2000000000</v>
      </c>
      <c r="S308" s="107"/>
    </row>
    <row r="309" spans="1:19" s="3" customFormat="1" ht="30" customHeight="1" x14ac:dyDescent="0.2">
      <c r="A309" s="4"/>
      <c r="B309" s="5"/>
      <c r="C309" s="103" t="s">
        <v>188</v>
      </c>
      <c r="D309" s="5" t="s">
        <v>225</v>
      </c>
      <c r="E309" s="5" t="s">
        <v>713</v>
      </c>
      <c r="F309" s="63" t="s">
        <v>735</v>
      </c>
      <c r="G309" s="4" t="s">
        <v>683</v>
      </c>
      <c r="H309" s="4" t="s">
        <v>376</v>
      </c>
      <c r="I309" s="4" t="s">
        <v>53</v>
      </c>
      <c r="J309" s="4" t="s">
        <v>53</v>
      </c>
      <c r="K309" s="6" t="s">
        <v>53</v>
      </c>
      <c r="L309" s="6" t="s">
        <v>53</v>
      </c>
      <c r="M309" s="6" t="s">
        <v>53</v>
      </c>
      <c r="N309" s="4"/>
      <c r="O309" s="107">
        <v>0</v>
      </c>
      <c r="P309" s="107">
        <v>0</v>
      </c>
      <c r="Q309" s="107">
        <v>0</v>
      </c>
      <c r="R309" s="107">
        <v>3000000000</v>
      </c>
      <c r="S309" s="107">
        <v>3000000000</v>
      </c>
    </row>
    <row r="310" spans="1:19" s="3" customFormat="1" ht="30" customHeight="1" x14ac:dyDescent="0.2">
      <c r="A310" s="4"/>
      <c r="B310" s="5"/>
      <c r="C310" s="103" t="s">
        <v>188</v>
      </c>
      <c r="D310" s="5" t="s">
        <v>225</v>
      </c>
      <c r="E310" s="5" t="s">
        <v>713</v>
      </c>
      <c r="F310" s="63" t="s">
        <v>736</v>
      </c>
      <c r="G310" s="4" t="s">
        <v>683</v>
      </c>
      <c r="H310" s="4" t="s">
        <v>376</v>
      </c>
      <c r="I310" s="4" t="s">
        <v>53</v>
      </c>
      <c r="J310" s="4" t="s">
        <v>53</v>
      </c>
      <c r="K310" s="6" t="s">
        <v>53</v>
      </c>
      <c r="L310" s="6" t="s">
        <v>53</v>
      </c>
      <c r="M310" s="6" t="s">
        <v>53</v>
      </c>
      <c r="N310" s="4"/>
      <c r="O310" s="107">
        <v>0</v>
      </c>
      <c r="P310" s="107">
        <v>0</v>
      </c>
      <c r="Q310" s="107">
        <v>0</v>
      </c>
      <c r="R310" s="107">
        <v>3000000000</v>
      </c>
      <c r="S310" s="107">
        <v>3000000000</v>
      </c>
    </row>
    <row r="311" spans="1:19" s="3" customFormat="1" ht="30" customHeight="1" x14ac:dyDescent="0.2">
      <c r="A311" s="4"/>
      <c r="B311" s="5"/>
      <c r="C311" s="103" t="s">
        <v>188</v>
      </c>
      <c r="D311" s="5" t="s">
        <v>225</v>
      </c>
      <c r="E311" s="5" t="s">
        <v>713</v>
      </c>
      <c r="F311" s="63" t="s">
        <v>721</v>
      </c>
      <c r="G311" s="4" t="s">
        <v>683</v>
      </c>
      <c r="H311" s="4" t="s">
        <v>376</v>
      </c>
      <c r="I311" s="4" t="s">
        <v>53</v>
      </c>
      <c r="J311" s="4" t="s">
        <v>53</v>
      </c>
      <c r="K311" s="6" t="s">
        <v>53</v>
      </c>
      <c r="L311" s="6" t="s">
        <v>53</v>
      </c>
      <c r="M311" s="6" t="s">
        <v>53</v>
      </c>
      <c r="N311" s="4"/>
      <c r="O311" s="107">
        <v>0</v>
      </c>
      <c r="P311" s="107">
        <v>0</v>
      </c>
      <c r="Q311" s="107">
        <v>0</v>
      </c>
      <c r="R311" s="107">
        <v>0</v>
      </c>
      <c r="S311" s="107">
        <v>1514513688</v>
      </c>
    </row>
    <row r="312" spans="1:19" s="3" customFormat="1" ht="30" customHeight="1" x14ac:dyDescent="0.2">
      <c r="A312" s="4"/>
      <c r="B312" s="5"/>
      <c r="C312" s="103" t="s">
        <v>32</v>
      </c>
      <c r="D312" s="5" t="s">
        <v>225</v>
      </c>
      <c r="E312" s="5" t="s">
        <v>713</v>
      </c>
      <c r="F312" s="63" t="s">
        <v>737</v>
      </c>
      <c r="G312" s="4" t="s">
        <v>683</v>
      </c>
      <c r="H312" s="4" t="s">
        <v>376</v>
      </c>
      <c r="I312" s="4" t="s">
        <v>53</v>
      </c>
      <c r="J312" s="4" t="s">
        <v>53</v>
      </c>
      <c r="K312" s="6" t="s">
        <v>53</v>
      </c>
      <c r="L312" s="6" t="s">
        <v>53</v>
      </c>
      <c r="M312" s="6" t="s">
        <v>53</v>
      </c>
      <c r="N312" s="4"/>
      <c r="O312" s="107">
        <v>0</v>
      </c>
      <c r="P312" s="107">
        <v>0</v>
      </c>
      <c r="Q312" s="107">
        <v>0</v>
      </c>
      <c r="R312" s="107">
        <v>987313436</v>
      </c>
      <c r="S312" s="107">
        <v>0</v>
      </c>
    </row>
    <row r="313" spans="1:19" s="3" customFormat="1" ht="30" customHeight="1" x14ac:dyDescent="0.2">
      <c r="A313" s="4"/>
      <c r="B313" s="5"/>
      <c r="C313" s="103" t="s">
        <v>32</v>
      </c>
      <c r="D313" s="5" t="s">
        <v>225</v>
      </c>
      <c r="E313" s="5" t="s">
        <v>713</v>
      </c>
      <c r="F313" s="63" t="s">
        <v>738</v>
      </c>
      <c r="G313" s="4" t="s">
        <v>683</v>
      </c>
      <c r="H313" s="4" t="s">
        <v>376</v>
      </c>
      <c r="I313" s="4" t="s">
        <v>53</v>
      </c>
      <c r="J313" s="4" t="s">
        <v>53</v>
      </c>
      <c r="K313" s="6" t="s">
        <v>53</v>
      </c>
      <c r="L313" s="6" t="s">
        <v>53</v>
      </c>
      <c r="M313" s="6" t="s">
        <v>53</v>
      </c>
      <c r="N313" s="4"/>
      <c r="O313" s="107">
        <v>0</v>
      </c>
      <c r="P313" s="107">
        <v>0</v>
      </c>
      <c r="Q313" s="107">
        <v>0</v>
      </c>
      <c r="R313" s="107">
        <v>1503843152</v>
      </c>
      <c r="S313" s="107">
        <v>0</v>
      </c>
    </row>
    <row r="314" spans="1:19" s="3" customFormat="1" ht="30" customHeight="1" x14ac:dyDescent="0.2">
      <c r="A314" s="4"/>
      <c r="B314" s="5"/>
      <c r="C314" s="103" t="s">
        <v>32</v>
      </c>
      <c r="D314" s="5" t="s">
        <v>225</v>
      </c>
      <c r="E314" s="5" t="s">
        <v>713</v>
      </c>
      <c r="F314" s="63" t="s">
        <v>739</v>
      </c>
      <c r="G314" s="4" t="s">
        <v>683</v>
      </c>
      <c r="H314" s="4" t="s">
        <v>376</v>
      </c>
      <c r="I314" s="4" t="s">
        <v>53</v>
      </c>
      <c r="J314" s="4" t="s">
        <v>53</v>
      </c>
      <c r="K314" s="6" t="s">
        <v>53</v>
      </c>
      <c r="L314" s="6" t="s">
        <v>53</v>
      </c>
      <c r="M314" s="6" t="s">
        <v>53</v>
      </c>
      <c r="N314" s="4"/>
      <c r="O314" s="107">
        <v>0</v>
      </c>
      <c r="P314" s="107">
        <v>0</v>
      </c>
      <c r="Q314" s="107">
        <v>0</v>
      </c>
      <c r="R314" s="107">
        <v>686054824</v>
      </c>
      <c r="S314" s="107">
        <v>0</v>
      </c>
    </row>
    <row r="315" spans="1:19" s="3" customFormat="1" ht="30" customHeight="1" x14ac:dyDescent="0.2">
      <c r="A315" s="4"/>
      <c r="B315" s="5"/>
      <c r="C315" s="103" t="s">
        <v>229</v>
      </c>
      <c r="D315" s="5" t="s">
        <v>225</v>
      </c>
      <c r="E315" s="5" t="s">
        <v>713</v>
      </c>
      <c r="F315" s="63" t="s">
        <v>741</v>
      </c>
      <c r="G315" s="4" t="s">
        <v>683</v>
      </c>
      <c r="H315" s="4" t="s">
        <v>376</v>
      </c>
      <c r="I315" s="4" t="s">
        <v>53</v>
      </c>
      <c r="J315" s="4" t="s">
        <v>53</v>
      </c>
      <c r="K315" s="6" t="s">
        <v>53</v>
      </c>
      <c r="L315" s="6" t="s">
        <v>53</v>
      </c>
      <c r="M315" s="6" t="s">
        <v>53</v>
      </c>
      <c r="N315" s="4"/>
      <c r="O315" s="107">
        <v>0</v>
      </c>
      <c r="P315" s="107">
        <v>0</v>
      </c>
      <c r="Q315" s="107">
        <v>2000000000</v>
      </c>
      <c r="R315" s="107">
        <v>0</v>
      </c>
      <c r="S315" s="107">
        <v>0</v>
      </c>
    </row>
    <row r="316" spans="1:19" s="3" customFormat="1" ht="30" customHeight="1" x14ac:dyDescent="0.2">
      <c r="A316" s="4"/>
      <c r="B316" s="5"/>
      <c r="C316" s="103" t="s">
        <v>229</v>
      </c>
      <c r="D316" s="5" t="s">
        <v>225</v>
      </c>
      <c r="E316" s="5" t="s">
        <v>713</v>
      </c>
      <c r="F316" s="63" t="s">
        <v>742</v>
      </c>
      <c r="G316" s="4" t="s">
        <v>683</v>
      </c>
      <c r="H316" s="4" t="s">
        <v>376</v>
      </c>
      <c r="I316" s="4" t="s">
        <v>53</v>
      </c>
      <c r="J316" s="4" t="s">
        <v>53</v>
      </c>
      <c r="K316" s="6" t="s">
        <v>53</v>
      </c>
      <c r="L316" s="6" t="s">
        <v>53</v>
      </c>
      <c r="M316" s="6" t="s">
        <v>53</v>
      </c>
      <c r="N316" s="4"/>
      <c r="O316" s="107">
        <v>0</v>
      </c>
      <c r="P316" s="107">
        <v>0</v>
      </c>
      <c r="Q316" s="107">
        <v>2000000000</v>
      </c>
      <c r="R316" s="107">
        <v>0</v>
      </c>
      <c r="S316" s="107">
        <v>0</v>
      </c>
    </row>
    <row r="317" spans="1:19" s="3" customFormat="1" ht="30" customHeight="1" x14ac:dyDescent="0.2">
      <c r="A317" s="4"/>
      <c r="B317" s="5"/>
      <c r="C317" s="103" t="s">
        <v>229</v>
      </c>
      <c r="D317" s="5" t="s">
        <v>225</v>
      </c>
      <c r="E317" s="5" t="s">
        <v>713</v>
      </c>
      <c r="F317" s="63" t="s">
        <v>743</v>
      </c>
      <c r="G317" s="4" t="s">
        <v>683</v>
      </c>
      <c r="H317" s="4" t="s">
        <v>376</v>
      </c>
      <c r="I317" s="4" t="s">
        <v>53</v>
      </c>
      <c r="J317" s="4" t="s">
        <v>53</v>
      </c>
      <c r="K317" s="6" t="s">
        <v>53</v>
      </c>
      <c r="L317" s="6" t="s">
        <v>53</v>
      </c>
      <c r="M317" s="6" t="s">
        <v>53</v>
      </c>
      <c r="N317" s="4"/>
      <c r="O317" s="107">
        <v>0</v>
      </c>
      <c r="P317" s="107">
        <v>0</v>
      </c>
      <c r="Q317" s="107">
        <v>1050000000</v>
      </c>
      <c r="R317" s="107">
        <v>0</v>
      </c>
      <c r="S317" s="107">
        <v>0</v>
      </c>
    </row>
    <row r="318" spans="1:19" s="3" customFormat="1" ht="30" customHeight="1" x14ac:dyDescent="0.2">
      <c r="A318" s="4"/>
      <c r="B318" s="5"/>
      <c r="C318" s="103" t="s">
        <v>229</v>
      </c>
      <c r="D318" s="5" t="s">
        <v>225</v>
      </c>
      <c r="E318" s="5" t="s">
        <v>713</v>
      </c>
      <c r="F318" s="63" t="s">
        <v>743</v>
      </c>
      <c r="G318" s="4" t="s">
        <v>683</v>
      </c>
      <c r="H318" s="4" t="s">
        <v>376</v>
      </c>
      <c r="I318" s="4" t="s">
        <v>53</v>
      </c>
      <c r="J318" s="4" t="s">
        <v>53</v>
      </c>
      <c r="K318" s="6" t="s">
        <v>53</v>
      </c>
      <c r="L318" s="6" t="s">
        <v>53</v>
      </c>
      <c r="M318" s="6" t="s">
        <v>53</v>
      </c>
      <c r="N318" s="4"/>
      <c r="O318" s="107">
        <v>0</v>
      </c>
      <c r="P318" s="107">
        <v>0</v>
      </c>
      <c r="Q318" s="107">
        <v>1000000000</v>
      </c>
      <c r="R318" s="107">
        <v>0</v>
      </c>
      <c r="S318" s="107">
        <v>0</v>
      </c>
    </row>
    <row r="319" spans="1:19" s="3" customFormat="1" ht="30" customHeight="1" x14ac:dyDescent="0.2">
      <c r="A319" s="4"/>
      <c r="B319" s="5"/>
      <c r="C319" s="103" t="s">
        <v>229</v>
      </c>
      <c r="D319" s="5" t="s">
        <v>225</v>
      </c>
      <c r="E319" s="5" t="s">
        <v>713</v>
      </c>
      <c r="F319" s="63" t="s">
        <v>743</v>
      </c>
      <c r="G319" s="4" t="s">
        <v>683</v>
      </c>
      <c r="H319" s="4" t="s">
        <v>376</v>
      </c>
      <c r="I319" s="4" t="s">
        <v>53</v>
      </c>
      <c r="J319" s="4" t="s">
        <v>53</v>
      </c>
      <c r="K319" s="6" t="s">
        <v>53</v>
      </c>
      <c r="L319" s="6" t="s">
        <v>53</v>
      </c>
      <c r="M319" s="6" t="s">
        <v>53</v>
      </c>
      <c r="N319" s="4"/>
      <c r="O319" s="107">
        <v>0</v>
      </c>
      <c r="P319" s="107">
        <v>0</v>
      </c>
      <c r="Q319" s="107">
        <v>2000000000</v>
      </c>
      <c r="R319" s="107">
        <v>0</v>
      </c>
      <c r="S319" s="107">
        <v>0</v>
      </c>
    </row>
    <row r="320" spans="1:19" s="3" customFormat="1" ht="30" customHeight="1" x14ac:dyDescent="0.2">
      <c r="A320" s="4"/>
      <c r="B320" s="5"/>
      <c r="C320" s="103" t="s">
        <v>229</v>
      </c>
      <c r="D320" s="5" t="s">
        <v>225</v>
      </c>
      <c r="E320" s="5" t="s">
        <v>713</v>
      </c>
      <c r="F320" s="63" t="s">
        <v>744</v>
      </c>
      <c r="G320" s="4" t="s">
        <v>683</v>
      </c>
      <c r="H320" s="4" t="s">
        <v>376</v>
      </c>
      <c r="I320" s="4" t="s">
        <v>53</v>
      </c>
      <c r="J320" s="4" t="s">
        <v>53</v>
      </c>
      <c r="K320" s="6" t="s">
        <v>53</v>
      </c>
      <c r="L320" s="6" t="s">
        <v>53</v>
      </c>
      <c r="M320" s="6" t="s">
        <v>53</v>
      </c>
      <c r="N320" s="4"/>
      <c r="O320" s="107">
        <v>0</v>
      </c>
      <c r="P320" s="107">
        <v>0</v>
      </c>
      <c r="Q320" s="107">
        <v>3000000000</v>
      </c>
      <c r="R320" s="107">
        <v>0</v>
      </c>
      <c r="S320" s="107">
        <v>0</v>
      </c>
    </row>
    <row r="321" spans="1:19" s="3" customFormat="1" ht="30" customHeight="1" x14ac:dyDescent="0.2">
      <c r="A321" s="4"/>
      <c r="B321" s="5"/>
      <c r="C321" s="103" t="s">
        <v>229</v>
      </c>
      <c r="D321" s="5" t="s">
        <v>225</v>
      </c>
      <c r="E321" s="5" t="s">
        <v>713</v>
      </c>
      <c r="F321" s="63" t="s">
        <v>746</v>
      </c>
      <c r="G321" s="4" t="s">
        <v>683</v>
      </c>
      <c r="H321" s="4" t="s">
        <v>376</v>
      </c>
      <c r="I321" s="4" t="s">
        <v>53</v>
      </c>
      <c r="J321" s="4" t="s">
        <v>53</v>
      </c>
      <c r="K321" s="6" t="s">
        <v>53</v>
      </c>
      <c r="L321" s="6" t="s">
        <v>53</v>
      </c>
      <c r="M321" s="6" t="s">
        <v>53</v>
      </c>
      <c r="N321" s="4"/>
      <c r="O321" s="107">
        <v>0</v>
      </c>
      <c r="P321" s="107">
        <v>0</v>
      </c>
      <c r="Q321" s="107">
        <v>1550000000</v>
      </c>
      <c r="R321" s="107">
        <v>0</v>
      </c>
      <c r="S321" s="107">
        <v>0</v>
      </c>
    </row>
    <row r="322" spans="1:19" s="3" customFormat="1" ht="30" customHeight="1" x14ac:dyDescent="0.2">
      <c r="A322" s="4"/>
      <c r="B322" s="5"/>
      <c r="C322" s="103" t="s">
        <v>229</v>
      </c>
      <c r="D322" s="5" t="s">
        <v>225</v>
      </c>
      <c r="E322" s="5" t="s">
        <v>713</v>
      </c>
      <c r="F322" s="63" t="s">
        <v>747</v>
      </c>
      <c r="G322" s="4" t="s">
        <v>683</v>
      </c>
      <c r="H322" s="4" t="s">
        <v>376</v>
      </c>
      <c r="I322" s="4" t="s">
        <v>53</v>
      </c>
      <c r="J322" s="4" t="s">
        <v>53</v>
      </c>
      <c r="K322" s="6" t="s">
        <v>53</v>
      </c>
      <c r="L322" s="6" t="s">
        <v>53</v>
      </c>
      <c r="M322" s="6" t="s">
        <v>53</v>
      </c>
      <c r="N322" s="4"/>
      <c r="O322" s="107">
        <v>0</v>
      </c>
      <c r="P322" s="107">
        <v>0</v>
      </c>
      <c r="Q322" s="107">
        <v>852500000</v>
      </c>
      <c r="R322" s="107">
        <v>0</v>
      </c>
      <c r="S322" s="107">
        <v>0</v>
      </c>
    </row>
    <row r="323" spans="1:19" s="3" customFormat="1" ht="30" customHeight="1" x14ac:dyDescent="0.2">
      <c r="A323" s="4"/>
      <c r="B323" s="5"/>
      <c r="C323" s="103" t="s">
        <v>229</v>
      </c>
      <c r="D323" s="5" t="s">
        <v>225</v>
      </c>
      <c r="E323" s="5" t="s">
        <v>713</v>
      </c>
      <c r="F323" s="63" t="s">
        <v>748</v>
      </c>
      <c r="G323" s="4" t="s">
        <v>683</v>
      </c>
      <c r="H323" s="4" t="s">
        <v>376</v>
      </c>
      <c r="I323" s="4" t="s">
        <v>53</v>
      </c>
      <c r="J323" s="4" t="s">
        <v>53</v>
      </c>
      <c r="K323" s="6" t="s">
        <v>53</v>
      </c>
      <c r="L323" s="6" t="s">
        <v>53</v>
      </c>
      <c r="M323" s="6" t="s">
        <v>53</v>
      </c>
      <c r="N323" s="4"/>
      <c r="O323" s="107">
        <v>0</v>
      </c>
      <c r="P323" s="107">
        <v>0</v>
      </c>
      <c r="Q323" s="107">
        <v>1034156982</v>
      </c>
      <c r="R323" s="107">
        <v>0</v>
      </c>
      <c r="S323" s="107">
        <v>0</v>
      </c>
    </row>
    <row r="324" spans="1:19" s="3" customFormat="1" ht="30" customHeight="1" x14ac:dyDescent="0.2">
      <c r="A324" s="4"/>
      <c r="B324" s="5"/>
      <c r="C324" s="103" t="s">
        <v>229</v>
      </c>
      <c r="D324" s="5" t="s">
        <v>225</v>
      </c>
      <c r="E324" s="5" t="s">
        <v>713</v>
      </c>
      <c r="F324" s="63" t="s">
        <v>750</v>
      </c>
      <c r="G324" s="4" t="s">
        <v>683</v>
      </c>
      <c r="H324" s="4" t="s">
        <v>376</v>
      </c>
      <c r="I324" s="4" t="s">
        <v>53</v>
      </c>
      <c r="J324" s="4" t="s">
        <v>53</v>
      </c>
      <c r="K324" s="6" t="s">
        <v>53</v>
      </c>
      <c r="L324" s="6" t="s">
        <v>53</v>
      </c>
      <c r="M324" s="6" t="s">
        <v>53</v>
      </c>
      <c r="N324" s="4"/>
      <c r="O324" s="107">
        <v>0</v>
      </c>
      <c r="P324" s="107">
        <v>0</v>
      </c>
      <c r="Q324" s="107">
        <v>300204000</v>
      </c>
      <c r="R324" s="107">
        <v>0</v>
      </c>
      <c r="S324" s="107">
        <v>0</v>
      </c>
    </row>
    <row r="325" spans="1:19" s="3" customFormat="1" ht="30" customHeight="1" x14ac:dyDescent="0.2">
      <c r="A325" s="4"/>
      <c r="B325" s="5"/>
      <c r="C325" s="103" t="s">
        <v>229</v>
      </c>
      <c r="D325" s="5" t="s">
        <v>225</v>
      </c>
      <c r="E325" s="5" t="s">
        <v>713</v>
      </c>
      <c r="F325" s="63" t="s">
        <v>752</v>
      </c>
      <c r="G325" s="4" t="s">
        <v>683</v>
      </c>
      <c r="H325" s="4" t="s">
        <v>376</v>
      </c>
      <c r="I325" s="4" t="s">
        <v>53</v>
      </c>
      <c r="J325" s="4" t="s">
        <v>53</v>
      </c>
      <c r="K325" s="6" t="s">
        <v>53</v>
      </c>
      <c r="L325" s="6" t="s">
        <v>53</v>
      </c>
      <c r="M325" s="6" t="s">
        <v>53</v>
      </c>
      <c r="N325" s="4"/>
      <c r="O325" s="107">
        <v>0</v>
      </c>
      <c r="P325" s="107">
        <v>3320000000</v>
      </c>
      <c r="Q325" s="107">
        <v>0</v>
      </c>
      <c r="R325" s="107">
        <v>0</v>
      </c>
      <c r="S325" s="107">
        <v>0</v>
      </c>
    </row>
    <row r="326" spans="1:19" s="3" customFormat="1" ht="30" customHeight="1" x14ac:dyDescent="0.2">
      <c r="A326" s="4"/>
      <c r="B326" s="5"/>
      <c r="C326" s="103" t="s">
        <v>229</v>
      </c>
      <c r="D326" s="5" t="s">
        <v>225</v>
      </c>
      <c r="E326" s="5" t="s">
        <v>713</v>
      </c>
      <c r="F326" s="63" t="s">
        <v>657</v>
      </c>
      <c r="G326" s="4" t="s">
        <v>683</v>
      </c>
      <c r="H326" s="4" t="s">
        <v>376</v>
      </c>
      <c r="I326" s="4" t="s">
        <v>53</v>
      </c>
      <c r="J326" s="4" t="s">
        <v>53</v>
      </c>
      <c r="K326" s="6" t="s">
        <v>53</v>
      </c>
      <c r="L326" s="6" t="s">
        <v>53</v>
      </c>
      <c r="M326" s="6" t="s">
        <v>53</v>
      </c>
      <c r="N326" s="4"/>
      <c r="O326" s="107">
        <v>0</v>
      </c>
      <c r="P326" s="107">
        <v>195000000</v>
      </c>
      <c r="Q326" s="107">
        <v>0</v>
      </c>
      <c r="R326" s="107">
        <v>0</v>
      </c>
      <c r="S326" s="107">
        <v>0</v>
      </c>
    </row>
    <row r="327" spans="1:19" s="3" customFormat="1" ht="30" customHeight="1" x14ac:dyDescent="0.2">
      <c r="A327" s="4"/>
      <c r="B327" s="5"/>
      <c r="C327" s="103" t="s">
        <v>229</v>
      </c>
      <c r="D327" s="5" t="s">
        <v>225</v>
      </c>
      <c r="E327" s="5" t="s">
        <v>713</v>
      </c>
      <c r="F327" s="63" t="s">
        <v>753</v>
      </c>
      <c r="G327" s="4" t="s">
        <v>683</v>
      </c>
      <c r="H327" s="4" t="s">
        <v>376</v>
      </c>
      <c r="I327" s="4" t="s">
        <v>53</v>
      </c>
      <c r="J327" s="4" t="s">
        <v>53</v>
      </c>
      <c r="K327" s="6" t="s">
        <v>53</v>
      </c>
      <c r="L327" s="6" t="s">
        <v>53</v>
      </c>
      <c r="M327" s="6" t="s">
        <v>53</v>
      </c>
      <c r="N327" s="4"/>
      <c r="O327" s="107">
        <v>0</v>
      </c>
      <c r="P327" s="107">
        <v>1959380000</v>
      </c>
      <c r="Q327" s="107">
        <v>0</v>
      </c>
      <c r="R327" s="107">
        <v>0</v>
      </c>
      <c r="S327" s="107">
        <v>0</v>
      </c>
    </row>
    <row r="328" spans="1:19" s="3" customFormat="1" ht="30" customHeight="1" x14ac:dyDescent="0.2">
      <c r="A328" s="4"/>
      <c r="B328" s="5"/>
      <c r="C328" s="103" t="s">
        <v>229</v>
      </c>
      <c r="D328" s="5" t="s">
        <v>225</v>
      </c>
      <c r="E328" s="5" t="s">
        <v>713</v>
      </c>
      <c r="F328" s="63" t="s">
        <v>751</v>
      </c>
      <c r="G328" s="4" t="s">
        <v>683</v>
      </c>
      <c r="H328" s="4" t="s">
        <v>376</v>
      </c>
      <c r="I328" s="4" t="s">
        <v>53</v>
      </c>
      <c r="J328" s="4" t="s">
        <v>53</v>
      </c>
      <c r="K328" s="6" t="s">
        <v>53</v>
      </c>
      <c r="L328" s="6" t="s">
        <v>53</v>
      </c>
      <c r="M328" s="6" t="s">
        <v>53</v>
      </c>
      <c r="N328" s="4"/>
      <c r="O328" s="107">
        <v>0</v>
      </c>
      <c r="P328" s="107">
        <v>3000000000</v>
      </c>
      <c r="Q328" s="107">
        <v>0</v>
      </c>
      <c r="R328" s="107">
        <v>0</v>
      </c>
      <c r="S328" s="107">
        <v>0</v>
      </c>
    </row>
    <row r="329" spans="1:19" s="3" customFormat="1" ht="30" customHeight="1" x14ac:dyDescent="0.2">
      <c r="A329" s="4"/>
      <c r="B329" s="5"/>
      <c r="C329" s="103" t="s">
        <v>229</v>
      </c>
      <c r="D329" s="5" t="s">
        <v>225</v>
      </c>
      <c r="E329" s="5" t="s">
        <v>713</v>
      </c>
      <c r="F329" s="63" t="s">
        <v>754</v>
      </c>
      <c r="G329" s="4" t="s">
        <v>683</v>
      </c>
      <c r="H329" s="4" t="s">
        <v>376</v>
      </c>
      <c r="I329" s="4" t="s">
        <v>53</v>
      </c>
      <c r="J329" s="4" t="s">
        <v>53</v>
      </c>
      <c r="K329" s="6" t="s">
        <v>53</v>
      </c>
      <c r="L329" s="6" t="s">
        <v>53</v>
      </c>
      <c r="M329" s="6" t="s">
        <v>53</v>
      </c>
      <c r="N329" s="4"/>
      <c r="O329" s="107">
        <v>0</v>
      </c>
      <c r="P329" s="107">
        <v>1486185000</v>
      </c>
      <c r="Q329" s="107">
        <v>0</v>
      </c>
      <c r="R329" s="107">
        <v>0</v>
      </c>
      <c r="S329" s="107">
        <v>0</v>
      </c>
    </row>
    <row r="330" spans="1:19" s="3" customFormat="1" ht="30" customHeight="1" x14ac:dyDescent="0.2">
      <c r="A330" s="4"/>
      <c r="B330" s="5"/>
      <c r="C330" s="103" t="s">
        <v>229</v>
      </c>
      <c r="D330" s="5" t="s">
        <v>225</v>
      </c>
      <c r="E330" s="5" t="s">
        <v>713</v>
      </c>
      <c r="F330" s="4" t="s">
        <v>569</v>
      </c>
      <c r="G330" s="4" t="s">
        <v>759</v>
      </c>
      <c r="H330" s="4" t="s">
        <v>376</v>
      </c>
      <c r="I330" s="4" t="s">
        <v>53</v>
      </c>
      <c r="J330" s="4" t="s">
        <v>53</v>
      </c>
      <c r="K330" s="6" t="s">
        <v>53</v>
      </c>
      <c r="L330" s="6" t="s">
        <v>53</v>
      </c>
      <c r="M330" s="6" t="s">
        <v>53</v>
      </c>
      <c r="N330" s="4"/>
      <c r="O330" s="107">
        <v>997170000</v>
      </c>
      <c r="P330" s="107">
        <v>1000000000</v>
      </c>
      <c r="Q330" s="107">
        <v>1000000000</v>
      </c>
      <c r="R330" s="107">
        <v>1000000000</v>
      </c>
      <c r="S330" s="107">
        <v>1000000000</v>
      </c>
    </row>
    <row r="331" spans="1:19" s="3" customFormat="1" ht="30" customHeight="1" x14ac:dyDescent="0.2">
      <c r="A331" s="4"/>
      <c r="B331" s="5"/>
      <c r="C331" s="103" t="s">
        <v>229</v>
      </c>
      <c r="D331" s="5" t="s">
        <v>225</v>
      </c>
      <c r="E331" s="5" t="s">
        <v>713</v>
      </c>
      <c r="F331" s="4" t="s">
        <v>740</v>
      </c>
      <c r="G331" s="4" t="s">
        <v>759</v>
      </c>
      <c r="H331" s="4" t="s">
        <v>376</v>
      </c>
      <c r="I331" s="4" t="s">
        <v>53</v>
      </c>
      <c r="J331" s="4" t="s">
        <v>53</v>
      </c>
      <c r="K331" s="6" t="s">
        <v>53</v>
      </c>
      <c r="L331" s="6" t="s">
        <v>53</v>
      </c>
      <c r="M331" s="6" t="s">
        <v>53</v>
      </c>
      <c r="N331" s="4"/>
      <c r="O331" s="107">
        <v>3848680000</v>
      </c>
      <c r="P331" s="107">
        <v>3957680000</v>
      </c>
      <c r="Q331" s="107">
        <v>4000000000</v>
      </c>
      <c r="R331" s="107">
        <v>0</v>
      </c>
      <c r="S331" s="107">
        <v>0</v>
      </c>
    </row>
    <row r="332" spans="1:19" s="3" customFormat="1" ht="30" customHeight="1" x14ac:dyDescent="0.2">
      <c r="A332" s="4"/>
      <c r="B332" s="5"/>
      <c r="C332" s="103" t="s">
        <v>229</v>
      </c>
      <c r="D332" s="5" t="s">
        <v>225</v>
      </c>
      <c r="E332" s="5" t="s">
        <v>713</v>
      </c>
      <c r="F332" s="4" t="s">
        <v>745</v>
      </c>
      <c r="G332" s="4" t="s">
        <v>759</v>
      </c>
      <c r="H332" s="4" t="s">
        <v>376</v>
      </c>
      <c r="I332" s="4" t="s">
        <v>53</v>
      </c>
      <c r="J332" s="4" t="s">
        <v>53</v>
      </c>
      <c r="K332" s="6" t="s">
        <v>53</v>
      </c>
      <c r="L332" s="6" t="s">
        <v>53</v>
      </c>
      <c r="M332" s="6" t="s">
        <v>53</v>
      </c>
      <c r="N332" s="4"/>
      <c r="O332" s="107">
        <v>0</v>
      </c>
      <c r="P332" s="107">
        <v>2000000000</v>
      </c>
      <c r="Q332" s="107">
        <v>2000000000</v>
      </c>
      <c r="R332" s="107">
        <v>0</v>
      </c>
      <c r="S332" s="107">
        <v>0</v>
      </c>
    </row>
    <row r="333" spans="1:19" s="3" customFormat="1" ht="30" customHeight="1" x14ac:dyDescent="0.2">
      <c r="A333" s="4"/>
      <c r="B333" s="5"/>
      <c r="C333" s="103" t="s">
        <v>229</v>
      </c>
      <c r="D333" s="5" t="s">
        <v>225</v>
      </c>
      <c r="E333" s="5" t="s">
        <v>713</v>
      </c>
      <c r="F333" s="4" t="s">
        <v>749</v>
      </c>
      <c r="G333" s="4" t="s">
        <v>759</v>
      </c>
      <c r="H333" s="4" t="s">
        <v>376</v>
      </c>
      <c r="I333" s="4" t="s">
        <v>53</v>
      </c>
      <c r="J333" s="4" t="s">
        <v>53</v>
      </c>
      <c r="K333" s="6" t="s">
        <v>53</v>
      </c>
      <c r="L333" s="6" t="s">
        <v>53</v>
      </c>
      <c r="M333" s="6" t="s">
        <v>53</v>
      </c>
      <c r="N333" s="4"/>
      <c r="O333" s="107">
        <v>376140150</v>
      </c>
      <c r="P333" s="107">
        <v>421447715</v>
      </c>
      <c r="Q333" s="107">
        <v>604128000</v>
      </c>
      <c r="R333" s="107">
        <v>0</v>
      </c>
      <c r="S333" s="107">
        <v>0</v>
      </c>
    </row>
    <row r="334" spans="1:19" s="3" customFormat="1" ht="30" customHeight="1" x14ac:dyDescent="0.2">
      <c r="A334" s="4"/>
      <c r="B334" s="5"/>
      <c r="C334" s="103" t="s">
        <v>229</v>
      </c>
      <c r="D334" s="5" t="s">
        <v>225</v>
      </c>
      <c r="E334" s="5" t="s">
        <v>713</v>
      </c>
      <c r="F334" s="4" t="s">
        <v>751</v>
      </c>
      <c r="G334" s="4" t="s">
        <v>759</v>
      </c>
      <c r="H334" s="4" t="s">
        <v>376</v>
      </c>
      <c r="I334" s="4" t="s">
        <v>53</v>
      </c>
      <c r="J334" s="4" t="s">
        <v>53</v>
      </c>
      <c r="K334" s="6" t="s">
        <v>53</v>
      </c>
      <c r="L334" s="6" t="s">
        <v>53</v>
      </c>
      <c r="M334" s="6" t="s">
        <v>53</v>
      </c>
      <c r="N334" s="4"/>
      <c r="O334" s="107">
        <v>3025000000</v>
      </c>
      <c r="P334" s="107">
        <v>3025000000</v>
      </c>
      <c r="Q334" s="107">
        <v>0</v>
      </c>
      <c r="R334" s="107">
        <v>0</v>
      </c>
      <c r="S334" s="107">
        <v>0</v>
      </c>
    </row>
    <row r="335" spans="1:19" s="3" customFormat="1" ht="30" customHeight="1" x14ac:dyDescent="0.2">
      <c r="A335" s="4"/>
      <c r="B335" s="5"/>
      <c r="C335" s="103" t="s">
        <v>229</v>
      </c>
      <c r="D335" s="5" t="s">
        <v>225</v>
      </c>
      <c r="E335" s="5" t="s">
        <v>713</v>
      </c>
      <c r="F335" s="4" t="s">
        <v>752</v>
      </c>
      <c r="G335" s="4" t="s">
        <v>759</v>
      </c>
      <c r="H335" s="4" t="s">
        <v>376</v>
      </c>
      <c r="I335" s="4" t="s">
        <v>53</v>
      </c>
      <c r="J335" s="4" t="s">
        <v>53</v>
      </c>
      <c r="K335" s="6" t="s">
        <v>53</v>
      </c>
      <c r="L335" s="6" t="s">
        <v>53</v>
      </c>
      <c r="M335" s="6" t="s">
        <v>53</v>
      </c>
      <c r="N335" s="4"/>
      <c r="O335" s="107">
        <v>3203567000</v>
      </c>
      <c r="P335" s="107">
        <v>3373513500</v>
      </c>
      <c r="Q335" s="107">
        <v>0</v>
      </c>
      <c r="R335" s="107">
        <v>0</v>
      </c>
      <c r="S335" s="107">
        <v>0</v>
      </c>
    </row>
    <row r="336" spans="1:19" s="3" customFormat="1" ht="30" customHeight="1" x14ac:dyDescent="0.2">
      <c r="A336" s="4"/>
      <c r="B336" s="5"/>
      <c r="C336" s="103" t="s">
        <v>229</v>
      </c>
      <c r="D336" s="5" t="s">
        <v>225</v>
      </c>
      <c r="E336" s="5" t="s">
        <v>713</v>
      </c>
      <c r="F336" s="4" t="s">
        <v>657</v>
      </c>
      <c r="G336" s="4" t="s">
        <v>759</v>
      </c>
      <c r="H336" s="4" t="s">
        <v>376</v>
      </c>
      <c r="I336" s="4" t="s">
        <v>53</v>
      </c>
      <c r="J336" s="4" t="s">
        <v>53</v>
      </c>
      <c r="K336" s="6" t="s">
        <v>53</v>
      </c>
      <c r="L336" s="6" t="s">
        <v>53</v>
      </c>
      <c r="M336" s="6" t="s">
        <v>53</v>
      </c>
      <c r="N336" s="4"/>
      <c r="O336" s="107">
        <v>300000000</v>
      </c>
      <c r="P336" s="107">
        <v>300000000</v>
      </c>
      <c r="Q336" s="107">
        <v>0</v>
      </c>
      <c r="R336" s="107">
        <v>0</v>
      </c>
      <c r="S336" s="107">
        <v>0</v>
      </c>
    </row>
    <row r="337" spans="1:19" s="3" customFormat="1" ht="30" customHeight="1" x14ac:dyDescent="0.2">
      <c r="A337" s="4"/>
      <c r="B337" s="5"/>
      <c r="C337" s="103" t="s">
        <v>229</v>
      </c>
      <c r="D337" s="5" t="s">
        <v>225</v>
      </c>
      <c r="E337" s="5" t="s">
        <v>713</v>
      </c>
      <c r="F337" s="4" t="s">
        <v>756</v>
      </c>
      <c r="G337" s="4" t="s">
        <v>759</v>
      </c>
      <c r="H337" s="4" t="s">
        <v>376</v>
      </c>
      <c r="I337" s="4" t="s">
        <v>53</v>
      </c>
      <c r="J337" s="4" t="s">
        <v>53</v>
      </c>
      <c r="K337" s="6" t="s">
        <v>53</v>
      </c>
      <c r="L337" s="6" t="s">
        <v>53</v>
      </c>
      <c r="M337" s="6" t="s">
        <v>53</v>
      </c>
      <c r="N337" s="4"/>
      <c r="O337" s="107">
        <v>1990360000</v>
      </c>
      <c r="P337" s="107">
        <v>0</v>
      </c>
      <c r="Q337" s="107">
        <v>0</v>
      </c>
      <c r="R337" s="107">
        <v>0</v>
      </c>
      <c r="S337" s="107">
        <v>0</v>
      </c>
    </row>
    <row r="338" spans="1:19" s="3" customFormat="1" ht="30" customHeight="1" x14ac:dyDescent="0.2">
      <c r="A338" s="4"/>
      <c r="B338" s="5"/>
      <c r="C338" s="103" t="s">
        <v>229</v>
      </c>
      <c r="D338" s="5" t="s">
        <v>225</v>
      </c>
      <c r="E338" s="5" t="s">
        <v>713</v>
      </c>
      <c r="F338" s="4" t="s">
        <v>577</v>
      </c>
      <c r="G338" s="4" t="s">
        <v>759</v>
      </c>
      <c r="H338" s="4" t="s">
        <v>376</v>
      </c>
      <c r="I338" s="4" t="s">
        <v>53</v>
      </c>
      <c r="J338" s="4" t="s">
        <v>53</v>
      </c>
      <c r="K338" s="6" t="s">
        <v>53</v>
      </c>
      <c r="L338" s="6" t="s">
        <v>53</v>
      </c>
      <c r="M338" s="6" t="s">
        <v>53</v>
      </c>
      <c r="N338" s="4"/>
      <c r="O338" s="107">
        <v>3000000000</v>
      </c>
      <c r="P338" s="107">
        <v>0</v>
      </c>
      <c r="Q338" s="107">
        <v>0</v>
      </c>
      <c r="R338" s="107">
        <v>0</v>
      </c>
      <c r="S338" s="107">
        <v>0</v>
      </c>
    </row>
    <row r="339" spans="1:19" s="3" customFormat="1" ht="30" customHeight="1" x14ac:dyDescent="0.2">
      <c r="A339" s="4"/>
      <c r="B339" s="5"/>
      <c r="C339" s="103" t="s">
        <v>229</v>
      </c>
      <c r="D339" s="5" t="s">
        <v>225</v>
      </c>
      <c r="E339" s="5" t="s">
        <v>713</v>
      </c>
      <c r="F339" s="4" t="s">
        <v>757</v>
      </c>
      <c r="G339" s="4" t="s">
        <v>759</v>
      </c>
      <c r="H339" s="4" t="s">
        <v>376</v>
      </c>
      <c r="I339" s="4" t="s">
        <v>53</v>
      </c>
      <c r="J339" s="4" t="s">
        <v>53</v>
      </c>
      <c r="K339" s="6" t="s">
        <v>53</v>
      </c>
      <c r="L339" s="6" t="s">
        <v>53</v>
      </c>
      <c r="M339" s="6" t="s">
        <v>53</v>
      </c>
      <c r="N339" s="4"/>
      <c r="O339" s="107">
        <v>1485285000</v>
      </c>
      <c r="P339" s="107">
        <v>0</v>
      </c>
      <c r="Q339" s="107">
        <v>0</v>
      </c>
      <c r="R339" s="107">
        <v>0</v>
      </c>
      <c r="S339" s="107">
        <v>0</v>
      </c>
    </row>
    <row r="340" spans="1:19" s="3" customFormat="1" ht="30" customHeight="1" x14ac:dyDescent="0.2">
      <c r="A340" s="4"/>
      <c r="B340" s="5"/>
      <c r="C340" s="103" t="s">
        <v>229</v>
      </c>
      <c r="D340" s="5" t="s">
        <v>225</v>
      </c>
      <c r="E340" s="5" t="s">
        <v>713</v>
      </c>
      <c r="F340" s="4" t="s">
        <v>499</v>
      </c>
      <c r="G340" s="4" t="s">
        <v>759</v>
      </c>
      <c r="H340" s="4" t="s">
        <v>376</v>
      </c>
      <c r="I340" s="4" t="s">
        <v>53</v>
      </c>
      <c r="J340" s="4" t="s">
        <v>53</v>
      </c>
      <c r="K340" s="6" t="s">
        <v>53</v>
      </c>
      <c r="L340" s="6" t="s">
        <v>53</v>
      </c>
      <c r="M340" s="6" t="s">
        <v>53</v>
      </c>
      <c r="N340" s="4"/>
      <c r="O340" s="107">
        <v>195000000</v>
      </c>
      <c r="P340" s="107">
        <v>0</v>
      </c>
      <c r="Q340" s="107">
        <v>0</v>
      </c>
      <c r="R340" s="107">
        <v>0</v>
      </c>
      <c r="S340" s="107">
        <v>0</v>
      </c>
    </row>
    <row r="341" spans="1:19" s="3" customFormat="1" ht="30" customHeight="1" x14ac:dyDescent="0.2">
      <c r="A341" s="4"/>
      <c r="B341" s="5"/>
      <c r="C341" s="23" t="s">
        <v>229</v>
      </c>
      <c r="D341" s="5" t="s">
        <v>225</v>
      </c>
      <c r="E341" s="23" t="s">
        <v>380</v>
      </c>
      <c r="F341" s="5" t="s">
        <v>771</v>
      </c>
      <c r="G341" s="4"/>
      <c r="H341" s="4"/>
      <c r="I341" s="4" t="s">
        <v>53</v>
      </c>
      <c r="J341" s="4" t="s">
        <v>53</v>
      </c>
      <c r="K341" s="6" t="s">
        <v>53</v>
      </c>
      <c r="L341" s="6" t="s">
        <v>53</v>
      </c>
      <c r="M341" s="6" t="s">
        <v>53</v>
      </c>
      <c r="N341" s="4"/>
      <c r="O341" s="102">
        <v>0</v>
      </c>
      <c r="P341" s="12">
        <v>3875000000</v>
      </c>
      <c r="Q341" s="12">
        <v>3875000000</v>
      </c>
      <c r="R341" s="12">
        <v>3573500000</v>
      </c>
      <c r="S341" s="12">
        <v>3557000000</v>
      </c>
    </row>
    <row r="342" spans="1:19" s="3" customFormat="1" ht="30" customHeight="1" x14ac:dyDescent="0.2">
      <c r="A342" s="4"/>
      <c r="B342" s="5"/>
      <c r="C342" s="23" t="s">
        <v>188</v>
      </c>
      <c r="D342" s="5" t="s">
        <v>225</v>
      </c>
      <c r="E342" s="23" t="s">
        <v>380</v>
      </c>
      <c r="F342" s="5" t="s">
        <v>773</v>
      </c>
      <c r="G342" s="4"/>
      <c r="H342" s="4"/>
      <c r="I342" s="4" t="s">
        <v>53</v>
      </c>
      <c r="J342" s="4" t="s">
        <v>53</v>
      </c>
      <c r="K342" s="6" t="s">
        <v>53</v>
      </c>
      <c r="L342" s="6" t="s">
        <v>53</v>
      </c>
      <c r="M342" s="6" t="s">
        <v>53</v>
      </c>
      <c r="N342" s="4"/>
      <c r="O342" s="102">
        <v>0</v>
      </c>
      <c r="P342" s="12">
        <v>0</v>
      </c>
      <c r="Q342" s="12">
        <v>0</v>
      </c>
      <c r="R342" s="12">
        <v>1703852937</v>
      </c>
      <c r="S342" s="12">
        <v>1703852937</v>
      </c>
    </row>
    <row r="343" spans="1:19" s="3" customFormat="1" ht="30" customHeight="1" x14ac:dyDescent="0.2">
      <c r="A343" s="4"/>
      <c r="B343" s="5"/>
      <c r="C343" s="23" t="s">
        <v>188</v>
      </c>
      <c r="D343" s="4"/>
      <c r="E343" s="23" t="s">
        <v>380</v>
      </c>
      <c r="F343" s="5" t="s">
        <v>776</v>
      </c>
      <c r="G343" s="4"/>
      <c r="H343" s="4"/>
      <c r="I343" s="4" t="s">
        <v>53</v>
      </c>
      <c r="J343" s="4" t="s">
        <v>53</v>
      </c>
      <c r="K343" s="6" t="s">
        <v>53</v>
      </c>
      <c r="L343" s="6" t="s">
        <v>53</v>
      </c>
      <c r="M343" s="6" t="s">
        <v>53</v>
      </c>
      <c r="N343" s="4"/>
      <c r="O343" s="102">
        <v>0</v>
      </c>
      <c r="P343" s="12">
        <v>0</v>
      </c>
      <c r="Q343" s="12">
        <v>0</v>
      </c>
      <c r="R343" s="12">
        <v>680923278</v>
      </c>
      <c r="S343" s="12">
        <v>1003941908</v>
      </c>
    </row>
    <row r="344" spans="1:19" s="3" customFormat="1" ht="30" customHeight="1" x14ac:dyDescent="0.2">
      <c r="A344" s="4"/>
      <c r="B344" s="5"/>
      <c r="C344" s="23" t="s">
        <v>32</v>
      </c>
      <c r="D344" s="4"/>
      <c r="E344" s="23" t="s">
        <v>380</v>
      </c>
      <c r="F344" s="5" t="s">
        <v>777</v>
      </c>
      <c r="G344" s="4"/>
      <c r="H344" s="4"/>
      <c r="I344" s="4" t="s">
        <v>53</v>
      </c>
      <c r="J344" s="4" t="s">
        <v>53</v>
      </c>
      <c r="K344" s="6" t="s">
        <v>53</v>
      </c>
      <c r="L344" s="6" t="s">
        <v>53</v>
      </c>
      <c r="M344" s="6" t="s">
        <v>53</v>
      </c>
      <c r="N344" s="4"/>
      <c r="O344" s="102">
        <v>0</v>
      </c>
      <c r="P344" s="12">
        <v>0</v>
      </c>
      <c r="Q344" s="12">
        <v>600547500</v>
      </c>
      <c r="R344" s="12">
        <v>509766922</v>
      </c>
      <c r="S344" s="12">
        <v>0</v>
      </c>
    </row>
    <row r="345" spans="1:19" s="3" customFormat="1" ht="30" customHeight="1" x14ac:dyDescent="0.2">
      <c r="A345" s="4"/>
      <c r="B345" s="5"/>
      <c r="C345" s="23" t="s">
        <v>188</v>
      </c>
      <c r="D345" s="4"/>
      <c r="E345" s="23" t="s">
        <v>380</v>
      </c>
      <c r="F345" s="5" t="s">
        <v>778</v>
      </c>
      <c r="G345" s="4"/>
      <c r="H345" s="4"/>
      <c r="I345" s="4" t="s">
        <v>53</v>
      </c>
      <c r="J345" s="4" t="s">
        <v>53</v>
      </c>
      <c r="K345" s="6" t="s">
        <v>53</v>
      </c>
      <c r="L345" s="6" t="s">
        <v>53</v>
      </c>
      <c r="M345" s="6" t="s">
        <v>53</v>
      </c>
      <c r="N345" s="4"/>
      <c r="O345" s="102">
        <v>0</v>
      </c>
      <c r="P345" s="12">
        <v>0</v>
      </c>
      <c r="Q345" s="12">
        <v>494062500</v>
      </c>
      <c r="R345" s="12">
        <v>0</v>
      </c>
      <c r="S345" s="12">
        <v>0</v>
      </c>
    </row>
    <row r="346" spans="1:19" s="3" customFormat="1" ht="30" customHeight="1" x14ac:dyDescent="0.2">
      <c r="A346" s="4"/>
      <c r="B346" s="5"/>
      <c r="C346" s="23"/>
      <c r="D346" s="4"/>
      <c r="E346" s="5"/>
      <c r="F346" s="63"/>
      <c r="G346" s="4"/>
      <c r="H346" s="4"/>
      <c r="I346" s="4"/>
      <c r="J346" s="4"/>
      <c r="K346" s="6"/>
      <c r="L346" s="6"/>
      <c r="M346" s="6"/>
      <c r="N346" s="4"/>
      <c r="O346" s="107"/>
      <c r="P346" s="107"/>
      <c r="Q346" s="107"/>
      <c r="R346" s="107"/>
      <c r="S346" s="107"/>
    </row>
    <row r="347" spans="1:19" s="3" customFormat="1" ht="30" customHeight="1" x14ac:dyDescent="0.2">
      <c r="A347" s="4"/>
      <c r="B347" s="5"/>
      <c r="C347" s="23"/>
      <c r="D347" s="4"/>
      <c r="E347" s="5"/>
      <c r="F347" s="63"/>
      <c r="G347" s="4"/>
      <c r="H347" s="4"/>
      <c r="I347" s="4"/>
      <c r="J347" s="4"/>
      <c r="K347" s="6"/>
      <c r="L347" s="6"/>
      <c r="M347" s="6"/>
      <c r="N347" s="4"/>
      <c r="O347" s="107"/>
      <c r="P347" s="107"/>
      <c r="Q347" s="107"/>
      <c r="R347" s="107"/>
      <c r="S347" s="107"/>
    </row>
    <row r="348" spans="1:19" s="3" customFormat="1" ht="30" customHeight="1" x14ac:dyDescent="0.2">
      <c r="A348" s="4"/>
      <c r="B348" s="5"/>
      <c r="C348" s="23"/>
      <c r="D348" s="4"/>
      <c r="E348" s="5"/>
      <c r="F348" s="63"/>
      <c r="G348" s="4"/>
      <c r="H348" s="4"/>
      <c r="I348" s="4"/>
      <c r="J348" s="4"/>
      <c r="K348" s="6"/>
      <c r="L348" s="6"/>
      <c r="M348" s="6"/>
      <c r="N348" s="4"/>
      <c r="O348" s="107"/>
      <c r="P348" s="107"/>
      <c r="Q348" s="107"/>
      <c r="R348" s="107"/>
      <c r="S348" s="107"/>
    </row>
    <row r="349" spans="1:19" s="3" customFormat="1" ht="30" customHeight="1" x14ac:dyDescent="0.2">
      <c r="A349" s="4"/>
      <c r="B349" s="5"/>
      <c r="C349" s="23"/>
      <c r="D349" s="4"/>
      <c r="E349" s="5"/>
      <c r="F349" s="63"/>
      <c r="G349" s="4"/>
      <c r="H349" s="4"/>
      <c r="I349" s="4"/>
      <c r="J349" s="4"/>
      <c r="K349" s="6"/>
      <c r="L349" s="6"/>
      <c r="M349" s="6"/>
      <c r="N349" s="4"/>
      <c r="O349" s="107"/>
      <c r="P349" s="107"/>
      <c r="Q349" s="107"/>
      <c r="R349" s="107"/>
      <c r="S349" s="107"/>
    </row>
    <row r="350" spans="1:19" s="3" customFormat="1" ht="30" customHeight="1" x14ac:dyDescent="0.2">
      <c r="A350" s="4"/>
      <c r="B350" s="5"/>
      <c r="C350" s="23"/>
      <c r="D350" s="4"/>
      <c r="E350" s="5"/>
      <c r="F350" s="63"/>
      <c r="G350" s="4"/>
      <c r="H350" s="4"/>
      <c r="I350" s="4"/>
      <c r="J350" s="4"/>
      <c r="K350" s="6"/>
      <c r="L350" s="6"/>
      <c r="M350" s="6"/>
      <c r="N350" s="4"/>
      <c r="O350" s="107"/>
      <c r="P350" s="107"/>
      <c r="Q350" s="107"/>
      <c r="R350" s="107"/>
      <c r="S350" s="107"/>
    </row>
    <row r="351" spans="1:19" s="3" customFormat="1" ht="30" customHeight="1" x14ac:dyDescent="0.2">
      <c r="A351" s="4"/>
      <c r="B351" s="5"/>
      <c r="C351" s="23"/>
      <c r="D351" s="4"/>
      <c r="E351" s="5"/>
      <c r="F351" s="63"/>
      <c r="G351" s="4"/>
      <c r="H351" s="4"/>
      <c r="I351" s="4"/>
      <c r="J351" s="4"/>
      <c r="K351" s="6"/>
      <c r="L351" s="6"/>
      <c r="M351" s="6"/>
      <c r="N351" s="4"/>
      <c r="O351" s="107"/>
      <c r="P351" s="107"/>
      <c r="Q351" s="107"/>
      <c r="R351" s="107"/>
      <c r="S351" s="107"/>
    </row>
    <row r="352" spans="1:19" s="3" customFormat="1" ht="30" customHeight="1" x14ac:dyDescent="0.2">
      <c r="A352" s="4"/>
      <c r="B352" s="5"/>
      <c r="C352" s="23"/>
      <c r="D352" s="4"/>
      <c r="E352" s="23"/>
      <c r="F352" s="5"/>
      <c r="G352" s="4"/>
      <c r="H352" s="4"/>
      <c r="I352" s="4"/>
      <c r="J352" s="4"/>
      <c r="K352" s="6"/>
      <c r="L352" s="6"/>
      <c r="M352" s="6"/>
      <c r="N352" s="4"/>
      <c r="O352" s="102"/>
      <c r="P352" s="102"/>
      <c r="Q352" s="102"/>
      <c r="R352" s="102"/>
      <c r="S352" s="102"/>
    </row>
    <row r="353" spans="1:19" s="3" customFormat="1" ht="30" customHeight="1" x14ac:dyDescent="0.2">
      <c r="A353" s="4"/>
      <c r="B353" s="5"/>
      <c r="C353" s="23"/>
      <c r="D353" s="4"/>
      <c r="E353" s="23"/>
      <c r="F353" s="5"/>
      <c r="G353" s="4"/>
      <c r="H353" s="4"/>
      <c r="I353" s="4"/>
      <c r="J353" s="4"/>
      <c r="K353" s="6"/>
      <c r="L353" s="6"/>
      <c r="M353" s="6"/>
      <c r="N353" s="4"/>
      <c r="O353" s="102"/>
      <c r="P353" s="102"/>
      <c r="Q353" s="102"/>
      <c r="R353" s="102"/>
      <c r="S353" s="102"/>
    </row>
    <row r="354" spans="1:19" s="3" customFormat="1" ht="30" customHeight="1" x14ac:dyDescent="0.2">
      <c r="A354" s="4"/>
      <c r="B354" s="5"/>
      <c r="C354" s="23"/>
      <c r="D354" s="4"/>
      <c r="E354" s="23"/>
      <c r="F354" s="5"/>
      <c r="G354" s="4"/>
      <c r="H354" s="4"/>
      <c r="I354" s="4"/>
      <c r="J354" s="4"/>
      <c r="K354" s="6"/>
      <c r="L354" s="6"/>
      <c r="M354" s="6"/>
      <c r="N354" s="4"/>
      <c r="O354" s="102"/>
      <c r="P354" s="102"/>
      <c r="Q354" s="102"/>
      <c r="R354" s="102"/>
      <c r="S354" s="102"/>
    </row>
    <row r="355" spans="1:19" s="3" customFormat="1" ht="30" customHeight="1" x14ac:dyDescent="0.2">
      <c r="A355" s="4"/>
      <c r="B355" s="5"/>
      <c r="C355" s="23"/>
      <c r="D355" s="4"/>
      <c r="E355" s="23"/>
      <c r="F355" s="5"/>
      <c r="G355" s="4"/>
      <c r="H355" s="4"/>
      <c r="I355" s="4"/>
      <c r="J355" s="4"/>
      <c r="K355" s="6"/>
      <c r="L355" s="6"/>
      <c r="M355" s="6"/>
      <c r="N355" s="4"/>
      <c r="O355" s="102"/>
      <c r="P355" s="102"/>
      <c r="Q355" s="102"/>
      <c r="R355" s="102"/>
      <c r="S355" s="102"/>
    </row>
    <row r="356" spans="1:19" s="3" customFormat="1" ht="30" customHeight="1" x14ac:dyDescent="0.2">
      <c r="A356" s="4"/>
      <c r="B356" s="5"/>
      <c r="C356" s="23"/>
      <c r="D356" s="4"/>
      <c r="E356" s="23"/>
      <c r="F356" s="5"/>
      <c r="G356" s="4"/>
      <c r="H356" s="4"/>
      <c r="I356" s="4"/>
      <c r="J356" s="4"/>
      <c r="K356" s="6"/>
      <c r="L356" s="6"/>
      <c r="M356" s="6"/>
      <c r="N356" s="4"/>
      <c r="O356" s="102"/>
      <c r="P356" s="102"/>
      <c r="Q356" s="102"/>
      <c r="R356" s="102"/>
      <c r="S356" s="102"/>
    </row>
  </sheetData>
  <mergeCells count="1">
    <mergeCell ref="O6:S6"/>
  </mergeCells>
  <pageMargins left="0.7" right="0.7" top="0.75" bottom="0.75" header="0.3" footer="0.3"/>
  <pageSetup scale="22" orientation="portrait" horizontalDpi="0" verticalDpi="0" r:id="rId1"/>
  <colBreaks count="1" manualBreakCount="1">
    <brk id="1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9F56-ABF0-9548-AE1E-871400E81D2D}">
  <dimension ref="A1"/>
  <sheetViews>
    <sheetView topLeftCell="AZ273"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data cadangan</vt:lpstr>
      <vt:lpstr>1770 (2)</vt:lpstr>
      <vt:lpstr>Sheet2</vt:lpstr>
      <vt:lpstr>KAS</vt:lpstr>
      <vt:lpstr>INVEST</vt:lpstr>
      <vt:lpstr>PIUTANG</vt:lpstr>
      <vt:lpstr>HARTA BERGERAK</vt:lpstr>
      <vt:lpstr>HARTA TIDAK BERGERAK</vt:lpstr>
      <vt:lpstr>HIT 2024</vt:lpstr>
      <vt:lpstr>HARTA LAINNYA</vt:lpstr>
      <vt:lpstr>HUTANG</vt:lpstr>
      <vt:lpstr>OMSET</vt:lpstr>
      <vt:lpstr>PPN</vt:lpstr>
      <vt:lpstr>BUPOT</vt:lpstr>
      <vt:lpstr>BUNGA</vt:lpstr>
      <vt:lpstr>RECAP</vt:lpstr>
      <vt:lpstr>INVEST (2)</vt:lpstr>
      <vt:lpstr>Sheet3</vt:lpstr>
      <vt:lpstr>KAS!Print_Area</vt:lpstr>
      <vt:lpstr>OMSET!Print_Area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Erwin Pranata</cp:lastModifiedBy>
  <cp:lastPrinted>2026-01-01T08:30:53Z</cp:lastPrinted>
  <dcterms:created xsi:type="dcterms:W3CDTF">2025-12-22T02:19:20Z</dcterms:created>
  <dcterms:modified xsi:type="dcterms:W3CDTF">2026-10-04T16:36:51Z</dcterms:modified>
</cp:coreProperties>
</file>